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3. RScript/"/>
    </mc:Choice>
  </mc:AlternateContent>
  <xr:revisionPtr revIDLastSave="170" documentId="8_{76B16F73-F20C-4F31-8DC7-5C70D4F8A976}" xr6:coauthVersionLast="47" xr6:coauthVersionMax="47" xr10:uidLastSave="{49CB4080-5577-4E13-AF90-B5AFA6008923}"/>
  <bookViews>
    <workbookView xWindow="-110" yWindow="-110" windowWidth="19420" windowHeight="10300" activeTab="1" xr2:uid="{A5D58F23-B37A-4AFE-A80E-F3E9F3DE9674}"/>
  </bookViews>
  <sheets>
    <sheet name="SAEB" sheetId="1" r:id="rId1"/>
    <sheet name="GASTO" sheetId="2" r:id="rId2"/>
    <sheet name="INSE" sheetId="3" r:id="rId3"/>
    <sheet name="MATRÍCULAS" sheetId="4" r:id="rId4"/>
    <sheet name="TDI" sheetId="5" r:id="rId5"/>
  </sheets>
  <definedNames>
    <definedName name="_xlnm._FilterDatabase" localSheetId="1" hidden="1">GASTO!$A$1:$H$1881</definedName>
    <definedName name="_xlnm._FilterDatabase" localSheetId="2" hidden="1">INSE!$A$1:$E$189</definedName>
    <definedName name="_xlnm._FilterDatabase" localSheetId="3" hidden="1">MATRÍCULAS!$A$1:$G$1881</definedName>
    <definedName name="_xlnm._FilterDatabase" localSheetId="0" hidden="1">SAEB!$A$1:$J$189</definedName>
    <definedName name="_xlnm._FilterDatabase" localSheetId="4" hidden="1">TDI!$A$1:$D$565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4" l="1"/>
  <c r="I3" i="4"/>
  <c r="J3" i="4"/>
  <c r="K3" i="4"/>
  <c r="H4" i="4"/>
  <c r="I4" i="4"/>
  <c r="J4" i="4"/>
  <c r="K4" i="4"/>
  <c r="H5" i="4"/>
  <c r="I5" i="4"/>
  <c r="J5" i="4"/>
  <c r="K5" i="4"/>
  <c r="H6" i="4"/>
  <c r="I6" i="4"/>
  <c r="J6" i="4"/>
  <c r="K6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4" i="4"/>
  <c r="I14" i="4"/>
  <c r="J14" i="4"/>
  <c r="K14" i="4"/>
  <c r="H15" i="4"/>
  <c r="I15" i="4"/>
  <c r="J15" i="4"/>
  <c r="K15" i="4"/>
  <c r="H16" i="4"/>
  <c r="I16" i="4"/>
  <c r="J16" i="4"/>
  <c r="K16" i="4"/>
  <c r="H17" i="4"/>
  <c r="I17" i="4"/>
  <c r="J17" i="4"/>
  <c r="K17" i="4"/>
  <c r="H18" i="4"/>
  <c r="I18" i="4"/>
  <c r="J18" i="4"/>
  <c r="K18" i="4"/>
  <c r="H19" i="4"/>
  <c r="I19" i="4"/>
  <c r="J19" i="4"/>
  <c r="K19" i="4"/>
  <c r="H20" i="4"/>
  <c r="I20" i="4"/>
  <c r="J20" i="4"/>
  <c r="K20" i="4"/>
  <c r="H21" i="4"/>
  <c r="I21" i="4"/>
  <c r="J21" i="4"/>
  <c r="K21" i="4"/>
  <c r="H22" i="4"/>
  <c r="I22" i="4"/>
  <c r="J22" i="4"/>
  <c r="K22" i="4"/>
  <c r="H23" i="4"/>
  <c r="I23" i="4"/>
  <c r="J23" i="4"/>
  <c r="K23" i="4"/>
  <c r="H24" i="4"/>
  <c r="I24" i="4"/>
  <c r="J24" i="4"/>
  <c r="K24" i="4"/>
  <c r="H25" i="4"/>
  <c r="I25" i="4"/>
  <c r="J25" i="4"/>
  <c r="K25" i="4"/>
  <c r="H26" i="4"/>
  <c r="I26" i="4"/>
  <c r="J26" i="4"/>
  <c r="K26" i="4"/>
  <c r="H27" i="4"/>
  <c r="I27" i="4"/>
  <c r="J27" i="4"/>
  <c r="K27" i="4"/>
  <c r="H28" i="4"/>
  <c r="I28" i="4"/>
  <c r="J28" i="4"/>
  <c r="K28" i="4"/>
  <c r="H29" i="4"/>
  <c r="I29" i="4"/>
  <c r="J29" i="4"/>
  <c r="K29" i="4"/>
  <c r="H30" i="4"/>
  <c r="I30" i="4"/>
  <c r="J30" i="4"/>
  <c r="K30" i="4"/>
  <c r="H31" i="4"/>
  <c r="I31" i="4"/>
  <c r="J31" i="4"/>
  <c r="K31" i="4"/>
  <c r="H32" i="4"/>
  <c r="I32" i="4"/>
  <c r="J32" i="4"/>
  <c r="K32" i="4"/>
  <c r="H33" i="4"/>
  <c r="I33" i="4"/>
  <c r="J33" i="4"/>
  <c r="K33" i="4"/>
  <c r="H34" i="4"/>
  <c r="I34" i="4"/>
  <c r="J34" i="4"/>
  <c r="K34" i="4"/>
  <c r="H35" i="4"/>
  <c r="I35" i="4"/>
  <c r="J35" i="4"/>
  <c r="K35" i="4"/>
  <c r="H36" i="4"/>
  <c r="I36" i="4"/>
  <c r="J36" i="4"/>
  <c r="K36" i="4"/>
  <c r="H37" i="4"/>
  <c r="I37" i="4"/>
  <c r="J37" i="4"/>
  <c r="K37" i="4"/>
  <c r="H38" i="4"/>
  <c r="I38" i="4"/>
  <c r="J38" i="4"/>
  <c r="K38" i="4"/>
  <c r="H39" i="4"/>
  <c r="I39" i="4"/>
  <c r="J39" i="4"/>
  <c r="K39" i="4"/>
  <c r="H40" i="4"/>
  <c r="I40" i="4"/>
  <c r="J40" i="4"/>
  <c r="K40" i="4"/>
  <c r="H41" i="4"/>
  <c r="I41" i="4"/>
  <c r="J41" i="4"/>
  <c r="K41" i="4"/>
  <c r="H42" i="4"/>
  <c r="I42" i="4"/>
  <c r="J42" i="4"/>
  <c r="K42" i="4"/>
  <c r="H43" i="4"/>
  <c r="I43" i="4"/>
  <c r="J43" i="4"/>
  <c r="K43" i="4"/>
  <c r="H44" i="4"/>
  <c r="I44" i="4"/>
  <c r="J44" i="4"/>
  <c r="K44" i="4"/>
  <c r="H45" i="4"/>
  <c r="I45" i="4"/>
  <c r="J45" i="4"/>
  <c r="K45" i="4"/>
  <c r="H46" i="4"/>
  <c r="I46" i="4"/>
  <c r="J46" i="4"/>
  <c r="K46" i="4"/>
  <c r="H47" i="4"/>
  <c r="I47" i="4"/>
  <c r="J47" i="4"/>
  <c r="K47" i="4"/>
  <c r="H48" i="4"/>
  <c r="I48" i="4"/>
  <c r="J48" i="4"/>
  <c r="K48" i="4"/>
  <c r="H49" i="4"/>
  <c r="I49" i="4"/>
  <c r="J49" i="4"/>
  <c r="K49" i="4"/>
  <c r="H50" i="4"/>
  <c r="I50" i="4"/>
  <c r="J50" i="4"/>
  <c r="K50" i="4"/>
  <c r="H51" i="4"/>
  <c r="I51" i="4"/>
  <c r="J51" i="4"/>
  <c r="K51" i="4"/>
  <c r="H52" i="4"/>
  <c r="I52" i="4"/>
  <c r="J52" i="4"/>
  <c r="K52" i="4"/>
  <c r="H53" i="4"/>
  <c r="I53" i="4"/>
  <c r="J53" i="4"/>
  <c r="K53" i="4"/>
  <c r="H54" i="4"/>
  <c r="I54" i="4"/>
  <c r="J54" i="4"/>
  <c r="K54" i="4"/>
  <c r="H55" i="4"/>
  <c r="I55" i="4"/>
  <c r="J55" i="4"/>
  <c r="K55" i="4"/>
  <c r="H56" i="4"/>
  <c r="I56" i="4"/>
  <c r="J56" i="4"/>
  <c r="K56" i="4"/>
  <c r="H57" i="4"/>
  <c r="I57" i="4"/>
  <c r="J57" i="4"/>
  <c r="K57" i="4"/>
  <c r="H58" i="4"/>
  <c r="I58" i="4"/>
  <c r="J58" i="4"/>
  <c r="K58" i="4"/>
  <c r="H59" i="4"/>
  <c r="I59" i="4"/>
  <c r="J59" i="4"/>
  <c r="K59" i="4"/>
  <c r="H60" i="4"/>
  <c r="I60" i="4"/>
  <c r="J60" i="4"/>
  <c r="K60" i="4"/>
  <c r="H61" i="4"/>
  <c r="I61" i="4"/>
  <c r="J61" i="4"/>
  <c r="K61" i="4"/>
  <c r="H62" i="4"/>
  <c r="I62" i="4"/>
  <c r="J62" i="4"/>
  <c r="K62" i="4"/>
  <c r="H63" i="4"/>
  <c r="I63" i="4"/>
  <c r="J63" i="4"/>
  <c r="K63" i="4"/>
  <c r="H64" i="4"/>
  <c r="I64" i="4"/>
  <c r="J64" i="4"/>
  <c r="K64" i="4"/>
  <c r="H65" i="4"/>
  <c r="I65" i="4"/>
  <c r="J65" i="4"/>
  <c r="K65" i="4"/>
  <c r="H66" i="4"/>
  <c r="I66" i="4"/>
  <c r="J66" i="4"/>
  <c r="K66" i="4"/>
  <c r="H67" i="4"/>
  <c r="I67" i="4"/>
  <c r="J67" i="4"/>
  <c r="K67" i="4"/>
  <c r="H68" i="4"/>
  <c r="I68" i="4"/>
  <c r="J68" i="4"/>
  <c r="K68" i="4"/>
  <c r="H69" i="4"/>
  <c r="I69" i="4"/>
  <c r="J69" i="4"/>
  <c r="K69" i="4"/>
  <c r="H70" i="4"/>
  <c r="I70" i="4"/>
  <c r="J70" i="4"/>
  <c r="K70" i="4"/>
  <c r="H71" i="4"/>
  <c r="I71" i="4"/>
  <c r="J71" i="4"/>
  <c r="K71" i="4"/>
  <c r="H72" i="4"/>
  <c r="I72" i="4"/>
  <c r="J72" i="4"/>
  <c r="K72" i="4"/>
  <c r="H73" i="4"/>
  <c r="I73" i="4"/>
  <c r="J73" i="4"/>
  <c r="K73" i="4"/>
  <c r="H74" i="4"/>
  <c r="I74" i="4"/>
  <c r="J74" i="4"/>
  <c r="K74" i="4"/>
  <c r="H75" i="4"/>
  <c r="I75" i="4"/>
  <c r="J75" i="4"/>
  <c r="K75" i="4"/>
  <c r="H76" i="4"/>
  <c r="I76" i="4"/>
  <c r="J76" i="4"/>
  <c r="K76" i="4"/>
  <c r="H77" i="4"/>
  <c r="I77" i="4"/>
  <c r="J77" i="4"/>
  <c r="K77" i="4"/>
  <c r="H78" i="4"/>
  <c r="I78" i="4"/>
  <c r="J78" i="4"/>
  <c r="K78" i="4"/>
  <c r="H79" i="4"/>
  <c r="I79" i="4"/>
  <c r="J79" i="4"/>
  <c r="K79" i="4"/>
  <c r="H80" i="4"/>
  <c r="I80" i="4"/>
  <c r="J80" i="4"/>
  <c r="K80" i="4"/>
  <c r="H81" i="4"/>
  <c r="I81" i="4"/>
  <c r="J81" i="4"/>
  <c r="K81" i="4"/>
  <c r="H82" i="4"/>
  <c r="I82" i="4"/>
  <c r="J82" i="4"/>
  <c r="K82" i="4"/>
  <c r="H83" i="4"/>
  <c r="I83" i="4"/>
  <c r="J83" i="4"/>
  <c r="K83" i="4"/>
  <c r="H84" i="4"/>
  <c r="I84" i="4"/>
  <c r="J84" i="4"/>
  <c r="K84" i="4"/>
  <c r="H85" i="4"/>
  <c r="I85" i="4"/>
  <c r="J85" i="4"/>
  <c r="K85" i="4"/>
  <c r="H86" i="4"/>
  <c r="I86" i="4"/>
  <c r="J86" i="4"/>
  <c r="K86" i="4"/>
  <c r="H87" i="4"/>
  <c r="I87" i="4"/>
  <c r="J87" i="4"/>
  <c r="K87" i="4"/>
  <c r="H88" i="4"/>
  <c r="I88" i="4"/>
  <c r="J88" i="4"/>
  <c r="K88" i="4"/>
  <c r="H89" i="4"/>
  <c r="I89" i="4"/>
  <c r="J89" i="4"/>
  <c r="K89" i="4"/>
  <c r="H90" i="4"/>
  <c r="I90" i="4"/>
  <c r="J90" i="4"/>
  <c r="K90" i="4"/>
  <c r="H91" i="4"/>
  <c r="I91" i="4"/>
  <c r="J91" i="4"/>
  <c r="K91" i="4"/>
  <c r="H92" i="4"/>
  <c r="I92" i="4"/>
  <c r="J92" i="4"/>
  <c r="K92" i="4"/>
  <c r="H93" i="4"/>
  <c r="I93" i="4"/>
  <c r="J93" i="4"/>
  <c r="K93" i="4"/>
  <c r="H94" i="4"/>
  <c r="I94" i="4"/>
  <c r="J94" i="4"/>
  <c r="K94" i="4"/>
  <c r="H95" i="4"/>
  <c r="I95" i="4"/>
  <c r="J95" i="4"/>
  <c r="K95" i="4"/>
  <c r="H96" i="4"/>
  <c r="I96" i="4"/>
  <c r="J96" i="4"/>
  <c r="K96" i="4"/>
  <c r="H97" i="4"/>
  <c r="I97" i="4"/>
  <c r="J97" i="4"/>
  <c r="K97" i="4"/>
  <c r="H98" i="4"/>
  <c r="I98" i="4"/>
  <c r="J98" i="4"/>
  <c r="K98" i="4"/>
  <c r="H99" i="4"/>
  <c r="I99" i="4"/>
  <c r="J99" i="4"/>
  <c r="K99" i="4"/>
  <c r="H100" i="4"/>
  <c r="I100" i="4"/>
  <c r="J100" i="4"/>
  <c r="K100" i="4"/>
  <c r="H101" i="4"/>
  <c r="I101" i="4"/>
  <c r="J101" i="4"/>
  <c r="K101" i="4"/>
  <c r="H102" i="4"/>
  <c r="I102" i="4"/>
  <c r="J102" i="4"/>
  <c r="K102" i="4"/>
  <c r="H103" i="4"/>
  <c r="I103" i="4"/>
  <c r="J103" i="4"/>
  <c r="K103" i="4"/>
  <c r="H104" i="4"/>
  <c r="I104" i="4"/>
  <c r="J104" i="4"/>
  <c r="K104" i="4"/>
  <c r="H105" i="4"/>
  <c r="I105" i="4"/>
  <c r="J105" i="4"/>
  <c r="K105" i="4"/>
  <c r="H106" i="4"/>
  <c r="I106" i="4"/>
  <c r="J106" i="4"/>
  <c r="K106" i="4"/>
  <c r="H107" i="4"/>
  <c r="I107" i="4"/>
  <c r="J107" i="4"/>
  <c r="K107" i="4"/>
  <c r="H108" i="4"/>
  <c r="I108" i="4"/>
  <c r="J108" i="4"/>
  <c r="K108" i="4"/>
  <c r="H109" i="4"/>
  <c r="I109" i="4"/>
  <c r="J109" i="4"/>
  <c r="K109" i="4"/>
  <c r="H110" i="4"/>
  <c r="I110" i="4"/>
  <c r="J110" i="4"/>
  <c r="K110" i="4"/>
  <c r="H111" i="4"/>
  <c r="I111" i="4"/>
  <c r="J111" i="4"/>
  <c r="K111" i="4"/>
  <c r="H112" i="4"/>
  <c r="I112" i="4"/>
  <c r="J112" i="4"/>
  <c r="K112" i="4"/>
  <c r="H113" i="4"/>
  <c r="I113" i="4"/>
  <c r="J113" i="4"/>
  <c r="K113" i="4"/>
  <c r="H114" i="4"/>
  <c r="I114" i="4"/>
  <c r="J114" i="4"/>
  <c r="K114" i="4"/>
  <c r="H115" i="4"/>
  <c r="I115" i="4"/>
  <c r="J115" i="4"/>
  <c r="K115" i="4"/>
  <c r="H116" i="4"/>
  <c r="I116" i="4"/>
  <c r="J116" i="4"/>
  <c r="K116" i="4"/>
  <c r="H117" i="4"/>
  <c r="I117" i="4"/>
  <c r="J117" i="4"/>
  <c r="K117" i="4"/>
  <c r="H118" i="4"/>
  <c r="I118" i="4"/>
  <c r="J118" i="4"/>
  <c r="K118" i="4"/>
  <c r="H119" i="4"/>
  <c r="I119" i="4"/>
  <c r="J119" i="4"/>
  <c r="K119" i="4"/>
  <c r="H120" i="4"/>
  <c r="I120" i="4"/>
  <c r="J120" i="4"/>
  <c r="K120" i="4"/>
  <c r="H121" i="4"/>
  <c r="I121" i="4"/>
  <c r="J121" i="4"/>
  <c r="K121" i="4"/>
  <c r="H122" i="4"/>
  <c r="I122" i="4"/>
  <c r="J122" i="4"/>
  <c r="K122" i="4"/>
  <c r="H123" i="4"/>
  <c r="I123" i="4"/>
  <c r="J123" i="4"/>
  <c r="K123" i="4"/>
  <c r="H124" i="4"/>
  <c r="I124" i="4"/>
  <c r="J124" i="4"/>
  <c r="K124" i="4"/>
  <c r="H125" i="4"/>
  <c r="I125" i="4"/>
  <c r="J125" i="4"/>
  <c r="K125" i="4"/>
  <c r="H126" i="4"/>
  <c r="I126" i="4"/>
  <c r="J126" i="4"/>
  <c r="K126" i="4"/>
  <c r="H127" i="4"/>
  <c r="I127" i="4"/>
  <c r="J127" i="4"/>
  <c r="K127" i="4"/>
  <c r="H128" i="4"/>
  <c r="I128" i="4"/>
  <c r="J128" i="4"/>
  <c r="K128" i="4"/>
  <c r="H129" i="4"/>
  <c r="I129" i="4"/>
  <c r="J129" i="4"/>
  <c r="K129" i="4"/>
  <c r="H130" i="4"/>
  <c r="I130" i="4"/>
  <c r="J130" i="4"/>
  <c r="K130" i="4"/>
  <c r="H131" i="4"/>
  <c r="I131" i="4"/>
  <c r="J131" i="4"/>
  <c r="K131" i="4"/>
  <c r="H132" i="4"/>
  <c r="I132" i="4"/>
  <c r="J132" i="4"/>
  <c r="K132" i="4"/>
  <c r="H133" i="4"/>
  <c r="I133" i="4"/>
  <c r="J133" i="4"/>
  <c r="K133" i="4"/>
  <c r="H134" i="4"/>
  <c r="I134" i="4"/>
  <c r="J134" i="4"/>
  <c r="K134" i="4"/>
  <c r="H135" i="4"/>
  <c r="I135" i="4"/>
  <c r="J135" i="4"/>
  <c r="K135" i="4"/>
  <c r="H136" i="4"/>
  <c r="I136" i="4"/>
  <c r="J136" i="4"/>
  <c r="K136" i="4"/>
  <c r="H137" i="4"/>
  <c r="I137" i="4"/>
  <c r="J137" i="4"/>
  <c r="K137" i="4"/>
  <c r="H138" i="4"/>
  <c r="I138" i="4"/>
  <c r="J138" i="4"/>
  <c r="K138" i="4"/>
  <c r="H139" i="4"/>
  <c r="I139" i="4"/>
  <c r="J139" i="4"/>
  <c r="K139" i="4"/>
  <c r="H140" i="4"/>
  <c r="I140" i="4"/>
  <c r="J140" i="4"/>
  <c r="K140" i="4"/>
  <c r="H141" i="4"/>
  <c r="I141" i="4"/>
  <c r="J141" i="4"/>
  <c r="K141" i="4"/>
  <c r="H142" i="4"/>
  <c r="I142" i="4"/>
  <c r="J142" i="4"/>
  <c r="K142" i="4"/>
  <c r="H143" i="4"/>
  <c r="I143" i="4"/>
  <c r="J143" i="4"/>
  <c r="K143" i="4"/>
  <c r="H144" i="4"/>
  <c r="I144" i="4"/>
  <c r="J144" i="4"/>
  <c r="K144" i="4"/>
  <c r="H145" i="4"/>
  <c r="I145" i="4"/>
  <c r="J145" i="4"/>
  <c r="K145" i="4"/>
  <c r="H146" i="4"/>
  <c r="I146" i="4"/>
  <c r="J146" i="4"/>
  <c r="K146" i="4"/>
  <c r="H147" i="4"/>
  <c r="I147" i="4"/>
  <c r="J147" i="4"/>
  <c r="K147" i="4"/>
  <c r="H148" i="4"/>
  <c r="I148" i="4"/>
  <c r="J148" i="4"/>
  <c r="K148" i="4"/>
  <c r="H149" i="4"/>
  <c r="I149" i="4"/>
  <c r="J149" i="4"/>
  <c r="K149" i="4"/>
  <c r="H150" i="4"/>
  <c r="I150" i="4"/>
  <c r="J150" i="4"/>
  <c r="K150" i="4"/>
  <c r="H151" i="4"/>
  <c r="I151" i="4"/>
  <c r="J151" i="4"/>
  <c r="K151" i="4"/>
  <c r="H152" i="4"/>
  <c r="I152" i="4"/>
  <c r="J152" i="4"/>
  <c r="K152" i="4"/>
  <c r="H153" i="4"/>
  <c r="I153" i="4"/>
  <c r="J153" i="4"/>
  <c r="K153" i="4"/>
  <c r="H154" i="4"/>
  <c r="I154" i="4"/>
  <c r="J154" i="4"/>
  <c r="K154" i="4"/>
  <c r="H155" i="4"/>
  <c r="I155" i="4"/>
  <c r="J155" i="4"/>
  <c r="K155" i="4"/>
  <c r="H156" i="4"/>
  <c r="I156" i="4"/>
  <c r="J156" i="4"/>
  <c r="K156" i="4"/>
  <c r="H157" i="4"/>
  <c r="I157" i="4"/>
  <c r="J157" i="4"/>
  <c r="K157" i="4"/>
  <c r="H158" i="4"/>
  <c r="I158" i="4"/>
  <c r="J158" i="4"/>
  <c r="K158" i="4"/>
  <c r="H159" i="4"/>
  <c r="I159" i="4"/>
  <c r="J159" i="4"/>
  <c r="K159" i="4"/>
  <c r="H160" i="4"/>
  <c r="I160" i="4"/>
  <c r="J160" i="4"/>
  <c r="K160" i="4"/>
  <c r="H161" i="4"/>
  <c r="I161" i="4"/>
  <c r="J161" i="4"/>
  <c r="K161" i="4"/>
  <c r="H162" i="4"/>
  <c r="I162" i="4"/>
  <c r="J162" i="4"/>
  <c r="K162" i="4"/>
  <c r="H163" i="4"/>
  <c r="I163" i="4"/>
  <c r="J163" i="4"/>
  <c r="K163" i="4"/>
  <c r="H164" i="4"/>
  <c r="I164" i="4"/>
  <c r="J164" i="4"/>
  <c r="K164" i="4"/>
  <c r="H165" i="4"/>
  <c r="I165" i="4"/>
  <c r="J165" i="4"/>
  <c r="K165" i="4"/>
  <c r="H166" i="4"/>
  <c r="I166" i="4"/>
  <c r="J166" i="4"/>
  <c r="K166" i="4"/>
  <c r="H167" i="4"/>
  <c r="I167" i="4"/>
  <c r="J167" i="4"/>
  <c r="K167" i="4"/>
  <c r="H168" i="4"/>
  <c r="I168" i="4"/>
  <c r="J168" i="4"/>
  <c r="K168" i="4"/>
  <c r="H169" i="4"/>
  <c r="I169" i="4"/>
  <c r="J169" i="4"/>
  <c r="K169" i="4"/>
  <c r="H170" i="4"/>
  <c r="I170" i="4"/>
  <c r="J170" i="4"/>
  <c r="K170" i="4"/>
  <c r="H171" i="4"/>
  <c r="I171" i="4"/>
  <c r="J171" i="4"/>
  <c r="K171" i="4"/>
  <c r="H172" i="4"/>
  <c r="I172" i="4"/>
  <c r="J172" i="4"/>
  <c r="K172" i="4"/>
  <c r="H173" i="4"/>
  <c r="I173" i="4"/>
  <c r="J173" i="4"/>
  <c r="K173" i="4"/>
  <c r="H174" i="4"/>
  <c r="I174" i="4"/>
  <c r="J174" i="4"/>
  <c r="K174" i="4"/>
  <c r="H175" i="4"/>
  <c r="I175" i="4"/>
  <c r="J175" i="4"/>
  <c r="K175" i="4"/>
  <c r="H176" i="4"/>
  <c r="I176" i="4"/>
  <c r="J176" i="4"/>
  <c r="K176" i="4"/>
  <c r="H177" i="4"/>
  <c r="I177" i="4"/>
  <c r="J177" i="4"/>
  <c r="K177" i="4"/>
  <c r="H178" i="4"/>
  <c r="I178" i="4"/>
  <c r="J178" i="4"/>
  <c r="K178" i="4"/>
  <c r="H179" i="4"/>
  <c r="I179" i="4"/>
  <c r="J179" i="4"/>
  <c r="K179" i="4"/>
  <c r="H180" i="4"/>
  <c r="I180" i="4"/>
  <c r="J180" i="4"/>
  <c r="K180" i="4"/>
  <c r="H181" i="4"/>
  <c r="I181" i="4"/>
  <c r="J181" i="4"/>
  <c r="K181" i="4"/>
  <c r="H182" i="4"/>
  <c r="I182" i="4"/>
  <c r="J182" i="4"/>
  <c r="K182" i="4"/>
  <c r="H183" i="4"/>
  <c r="I183" i="4"/>
  <c r="J183" i="4"/>
  <c r="K183" i="4"/>
  <c r="H184" i="4"/>
  <c r="I184" i="4"/>
  <c r="J184" i="4"/>
  <c r="K184" i="4"/>
  <c r="H185" i="4"/>
  <c r="I185" i="4"/>
  <c r="J185" i="4"/>
  <c r="K185" i="4"/>
  <c r="H186" i="4"/>
  <c r="I186" i="4"/>
  <c r="J186" i="4"/>
  <c r="K186" i="4"/>
  <c r="H187" i="4"/>
  <c r="I187" i="4"/>
  <c r="J187" i="4"/>
  <c r="K187" i="4"/>
  <c r="H188" i="4"/>
  <c r="I188" i="4"/>
  <c r="J188" i="4"/>
  <c r="K188" i="4"/>
  <c r="H189" i="4"/>
  <c r="I189" i="4"/>
  <c r="J189" i="4"/>
  <c r="K189" i="4"/>
  <c r="H190" i="4"/>
  <c r="I190" i="4"/>
  <c r="J190" i="4"/>
  <c r="K190" i="4"/>
  <c r="H191" i="4"/>
  <c r="I191" i="4"/>
  <c r="J191" i="4"/>
  <c r="K191" i="4"/>
  <c r="H192" i="4"/>
  <c r="I192" i="4"/>
  <c r="J192" i="4"/>
  <c r="K192" i="4"/>
  <c r="H193" i="4"/>
  <c r="I193" i="4"/>
  <c r="J193" i="4"/>
  <c r="K193" i="4"/>
  <c r="H194" i="4"/>
  <c r="I194" i="4"/>
  <c r="J194" i="4"/>
  <c r="K194" i="4"/>
  <c r="H195" i="4"/>
  <c r="I195" i="4"/>
  <c r="J195" i="4"/>
  <c r="K195" i="4"/>
  <c r="H196" i="4"/>
  <c r="I196" i="4"/>
  <c r="J196" i="4"/>
  <c r="K196" i="4"/>
  <c r="H197" i="4"/>
  <c r="I197" i="4"/>
  <c r="J197" i="4"/>
  <c r="K197" i="4"/>
  <c r="H198" i="4"/>
  <c r="I198" i="4"/>
  <c r="J198" i="4"/>
  <c r="K198" i="4"/>
  <c r="H199" i="4"/>
  <c r="I199" i="4"/>
  <c r="J199" i="4"/>
  <c r="K199" i="4"/>
  <c r="H200" i="4"/>
  <c r="I200" i="4"/>
  <c r="J200" i="4"/>
  <c r="K200" i="4"/>
  <c r="H201" i="4"/>
  <c r="I201" i="4"/>
  <c r="J201" i="4"/>
  <c r="K201" i="4"/>
  <c r="H202" i="4"/>
  <c r="I202" i="4"/>
  <c r="J202" i="4"/>
  <c r="K202" i="4"/>
  <c r="H203" i="4"/>
  <c r="I203" i="4"/>
  <c r="J203" i="4"/>
  <c r="K203" i="4"/>
  <c r="H204" i="4"/>
  <c r="I204" i="4"/>
  <c r="J204" i="4"/>
  <c r="K204" i="4"/>
  <c r="H205" i="4"/>
  <c r="I205" i="4"/>
  <c r="J205" i="4"/>
  <c r="K205" i="4"/>
  <c r="H206" i="4"/>
  <c r="I206" i="4"/>
  <c r="J206" i="4"/>
  <c r="K206" i="4"/>
  <c r="H207" i="4"/>
  <c r="I207" i="4"/>
  <c r="J207" i="4"/>
  <c r="K207" i="4"/>
  <c r="H208" i="4"/>
  <c r="I208" i="4"/>
  <c r="J208" i="4"/>
  <c r="K208" i="4"/>
  <c r="H209" i="4"/>
  <c r="I209" i="4"/>
  <c r="J209" i="4"/>
  <c r="K209" i="4"/>
  <c r="H210" i="4"/>
  <c r="I210" i="4"/>
  <c r="J210" i="4"/>
  <c r="K210" i="4"/>
  <c r="H211" i="4"/>
  <c r="I211" i="4"/>
  <c r="J211" i="4"/>
  <c r="K211" i="4"/>
  <c r="H212" i="4"/>
  <c r="I212" i="4"/>
  <c r="J212" i="4"/>
  <c r="K212" i="4"/>
  <c r="H213" i="4"/>
  <c r="I213" i="4"/>
  <c r="J213" i="4"/>
  <c r="K213" i="4"/>
  <c r="H214" i="4"/>
  <c r="I214" i="4"/>
  <c r="J214" i="4"/>
  <c r="K214" i="4"/>
  <c r="H215" i="4"/>
  <c r="I215" i="4"/>
  <c r="J215" i="4"/>
  <c r="K215" i="4"/>
  <c r="H216" i="4"/>
  <c r="I216" i="4"/>
  <c r="J216" i="4"/>
  <c r="K216" i="4"/>
  <c r="H217" i="4"/>
  <c r="I217" i="4"/>
  <c r="J217" i="4"/>
  <c r="K217" i="4"/>
  <c r="H218" i="4"/>
  <c r="I218" i="4"/>
  <c r="J218" i="4"/>
  <c r="K218" i="4"/>
  <c r="H219" i="4"/>
  <c r="I219" i="4"/>
  <c r="J219" i="4"/>
  <c r="K219" i="4"/>
  <c r="H220" i="4"/>
  <c r="I220" i="4"/>
  <c r="J220" i="4"/>
  <c r="K220" i="4"/>
  <c r="H221" i="4"/>
  <c r="I221" i="4"/>
  <c r="J221" i="4"/>
  <c r="K221" i="4"/>
  <c r="H222" i="4"/>
  <c r="I222" i="4"/>
  <c r="J222" i="4"/>
  <c r="K222" i="4"/>
  <c r="H223" i="4"/>
  <c r="I223" i="4"/>
  <c r="J223" i="4"/>
  <c r="K223" i="4"/>
  <c r="H224" i="4"/>
  <c r="I224" i="4"/>
  <c r="J224" i="4"/>
  <c r="K224" i="4"/>
  <c r="H225" i="4"/>
  <c r="I225" i="4"/>
  <c r="J225" i="4"/>
  <c r="K225" i="4"/>
  <c r="H226" i="4"/>
  <c r="I226" i="4"/>
  <c r="J226" i="4"/>
  <c r="K226" i="4"/>
  <c r="H227" i="4"/>
  <c r="I227" i="4"/>
  <c r="J227" i="4"/>
  <c r="K227" i="4"/>
  <c r="H228" i="4"/>
  <c r="I228" i="4"/>
  <c r="J228" i="4"/>
  <c r="K228" i="4"/>
  <c r="H229" i="4"/>
  <c r="I229" i="4"/>
  <c r="J229" i="4"/>
  <c r="K229" i="4"/>
  <c r="H230" i="4"/>
  <c r="I230" i="4"/>
  <c r="J230" i="4"/>
  <c r="K230" i="4"/>
  <c r="H231" i="4"/>
  <c r="I231" i="4"/>
  <c r="J231" i="4"/>
  <c r="K231" i="4"/>
  <c r="H232" i="4"/>
  <c r="I232" i="4"/>
  <c r="J232" i="4"/>
  <c r="K232" i="4"/>
  <c r="H233" i="4"/>
  <c r="I233" i="4"/>
  <c r="J233" i="4"/>
  <c r="K233" i="4"/>
  <c r="H234" i="4"/>
  <c r="I234" i="4"/>
  <c r="J234" i="4"/>
  <c r="K234" i="4"/>
  <c r="H235" i="4"/>
  <c r="I235" i="4"/>
  <c r="J235" i="4"/>
  <c r="K235" i="4"/>
  <c r="H236" i="4"/>
  <c r="I236" i="4"/>
  <c r="J236" i="4"/>
  <c r="K236" i="4"/>
  <c r="H237" i="4"/>
  <c r="I237" i="4"/>
  <c r="J237" i="4"/>
  <c r="K237" i="4"/>
  <c r="H238" i="4"/>
  <c r="I238" i="4"/>
  <c r="J238" i="4"/>
  <c r="K238" i="4"/>
  <c r="H239" i="4"/>
  <c r="I239" i="4"/>
  <c r="J239" i="4"/>
  <c r="K239" i="4"/>
  <c r="H240" i="4"/>
  <c r="I240" i="4"/>
  <c r="J240" i="4"/>
  <c r="K240" i="4"/>
  <c r="H241" i="4"/>
  <c r="I241" i="4"/>
  <c r="J241" i="4"/>
  <c r="K241" i="4"/>
  <c r="H242" i="4"/>
  <c r="I242" i="4"/>
  <c r="J242" i="4"/>
  <c r="K242" i="4"/>
  <c r="H243" i="4"/>
  <c r="I243" i="4"/>
  <c r="J243" i="4"/>
  <c r="K243" i="4"/>
  <c r="H244" i="4"/>
  <c r="I244" i="4"/>
  <c r="J244" i="4"/>
  <c r="K244" i="4"/>
  <c r="H245" i="4"/>
  <c r="I245" i="4"/>
  <c r="J245" i="4"/>
  <c r="K245" i="4"/>
  <c r="H246" i="4"/>
  <c r="I246" i="4"/>
  <c r="J246" i="4"/>
  <c r="K246" i="4"/>
  <c r="H247" i="4"/>
  <c r="I247" i="4"/>
  <c r="J247" i="4"/>
  <c r="K247" i="4"/>
  <c r="H248" i="4"/>
  <c r="I248" i="4"/>
  <c r="J248" i="4"/>
  <c r="K248" i="4"/>
  <c r="H249" i="4"/>
  <c r="I249" i="4"/>
  <c r="J249" i="4"/>
  <c r="K249" i="4"/>
  <c r="H250" i="4"/>
  <c r="I250" i="4"/>
  <c r="J250" i="4"/>
  <c r="K250" i="4"/>
  <c r="H251" i="4"/>
  <c r="I251" i="4"/>
  <c r="J251" i="4"/>
  <c r="K251" i="4"/>
  <c r="H252" i="4"/>
  <c r="I252" i="4"/>
  <c r="J252" i="4"/>
  <c r="K252" i="4"/>
  <c r="H253" i="4"/>
  <c r="I253" i="4"/>
  <c r="J253" i="4"/>
  <c r="K253" i="4"/>
  <c r="H254" i="4"/>
  <c r="I254" i="4"/>
  <c r="J254" i="4"/>
  <c r="K254" i="4"/>
  <c r="H255" i="4"/>
  <c r="I255" i="4"/>
  <c r="J255" i="4"/>
  <c r="K255" i="4"/>
  <c r="H256" i="4"/>
  <c r="I256" i="4"/>
  <c r="J256" i="4"/>
  <c r="K256" i="4"/>
  <c r="H257" i="4"/>
  <c r="I257" i="4"/>
  <c r="J257" i="4"/>
  <c r="K257" i="4"/>
  <c r="H258" i="4"/>
  <c r="I258" i="4"/>
  <c r="J258" i="4"/>
  <c r="K258" i="4"/>
  <c r="H259" i="4"/>
  <c r="I259" i="4"/>
  <c r="J259" i="4"/>
  <c r="K259" i="4"/>
  <c r="H260" i="4"/>
  <c r="I260" i="4"/>
  <c r="J260" i="4"/>
  <c r="K260" i="4"/>
  <c r="H261" i="4"/>
  <c r="I261" i="4"/>
  <c r="J261" i="4"/>
  <c r="K261" i="4"/>
  <c r="H262" i="4"/>
  <c r="I262" i="4"/>
  <c r="J262" i="4"/>
  <c r="K262" i="4"/>
  <c r="H263" i="4"/>
  <c r="I263" i="4"/>
  <c r="J263" i="4"/>
  <c r="K263" i="4"/>
  <c r="H264" i="4"/>
  <c r="I264" i="4"/>
  <c r="J264" i="4"/>
  <c r="K264" i="4"/>
  <c r="H265" i="4"/>
  <c r="I265" i="4"/>
  <c r="J265" i="4"/>
  <c r="K265" i="4"/>
  <c r="H266" i="4"/>
  <c r="I266" i="4"/>
  <c r="J266" i="4"/>
  <c r="K266" i="4"/>
  <c r="H267" i="4"/>
  <c r="I267" i="4"/>
  <c r="J267" i="4"/>
  <c r="K267" i="4"/>
  <c r="H268" i="4"/>
  <c r="I268" i="4"/>
  <c r="J268" i="4"/>
  <c r="K268" i="4"/>
  <c r="H269" i="4"/>
  <c r="I269" i="4"/>
  <c r="J269" i="4"/>
  <c r="K269" i="4"/>
  <c r="H270" i="4"/>
  <c r="I270" i="4"/>
  <c r="J270" i="4"/>
  <c r="K270" i="4"/>
  <c r="H271" i="4"/>
  <c r="I271" i="4"/>
  <c r="J271" i="4"/>
  <c r="K271" i="4"/>
  <c r="H272" i="4"/>
  <c r="I272" i="4"/>
  <c r="J272" i="4"/>
  <c r="K272" i="4"/>
  <c r="H273" i="4"/>
  <c r="I273" i="4"/>
  <c r="J273" i="4"/>
  <c r="K273" i="4"/>
  <c r="H274" i="4"/>
  <c r="I274" i="4"/>
  <c r="J274" i="4"/>
  <c r="K274" i="4"/>
  <c r="H275" i="4"/>
  <c r="I275" i="4"/>
  <c r="J275" i="4"/>
  <c r="K275" i="4"/>
  <c r="H276" i="4"/>
  <c r="I276" i="4"/>
  <c r="J276" i="4"/>
  <c r="K276" i="4"/>
  <c r="H277" i="4"/>
  <c r="I277" i="4"/>
  <c r="J277" i="4"/>
  <c r="K277" i="4"/>
  <c r="H278" i="4"/>
  <c r="I278" i="4"/>
  <c r="J278" i="4"/>
  <c r="K278" i="4"/>
  <c r="H279" i="4"/>
  <c r="I279" i="4"/>
  <c r="J279" i="4"/>
  <c r="K279" i="4"/>
  <c r="H280" i="4"/>
  <c r="I280" i="4"/>
  <c r="J280" i="4"/>
  <c r="K280" i="4"/>
  <c r="H281" i="4"/>
  <c r="I281" i="4"/>
  <c r="J281" i="4"/>
  <c r="K281" i="4"/>
  <c r="H282" i="4"/>
  <c r="I282" i="4"/>
  <c r="J282" i="4"/>
  <c r="K282" i="4"/>
  <c r="H283" i="4"/>
  <c r="I283" i="4"/>
  <c r="J283" i="4"/>
  <c r="K283" i="4"/>
  <c r="H284" i="4"/>
  <c r="I284" i="4"/>
  <c r="J284" i="4"/>
  <c r="K284" i="4"/>
  <c r="H285" i="4"/>
  <c r="I285" i="4"/>
  <c r="J285" i="4"/>
  <c r="K285" i="4"/>
  <c r="H286" i="4"/>
  <c r="I286" i="4"/>
  <c r="J286" i="4"/>
  <c r="K286" i="4"/>
  <c r="H287" i="4"/>
  <c r="I287" i="4"/>
  <c r="J287" i="4"/>
  <c r="K287" i="4"/>
  <c r="H288" i="4"/>
  <c r="I288" i="4"/>
  <c r="J288" i="4"/>
  <c r="K288" i="4"/>
  <c r="H289" i="4"/>
  <c r="I289" i="4"/>
  <c r="J289" i="4"/>
  <c r="K289" i="4"/>
  <c r="H290" i="4"/>
  <c r="I290" i="4"/>
  <c r="J290" i="4"/>
  <c r="K290" i="4"/>
  <c r="H291" i="4"/>
  <c r="I291" i="4"/>
  <c r="J291" i="4"/>
  <c r="K291" i="4"/>
  <c r="H292" i="4"/>
  <c r="I292" i="4"/>
  <c r="J292" i="4"/>
  <c r="K292" i="4"/>
  <c r="H293" i="4"/>
  <c r="I293" i="4"/>
  <c r="J293" i="4"/>
  <c r="K293" i="4"/>
  <c r="H294" i="4"/>
  <c r="I294" i="4"/>
  <c r="J294" i="4"/>
  <c r="K294" i="4"/>
  <c r="H295" i="4"/>
  <c r="I295" i="4"/>
  <c r="J295" i="4"/>
  <c r="K295" i="4"/>
  <c r="H296" i="4"/>
  <c r="I296" i="4"/>
  <c r="J296" i="4"/>
  <c r="K296" i="4"/>
  <c r="H297" i="4"/>
  <c r="I297" i="4"/>
  <c r="J297" i="4"/>
  <c r="K297" i="4"/>
  <c r="H298" i="4"/>
  <c r="I298" i="4"/>
  <c r="J298" i="4"/>
  <c r="K298" i="4"/>
  <c r="H299" i="4"/>
  <c r="I299" i="4"/>
  <c r="J299" i="4"/>
  <c r="K299" i="4"/>
  <c r="H300" i="4"/>
  <c r="I300" i="4"/>
  <c r="J300" i="4"/>
  <c r="K300" i="4"/>
  <c r="H301" i="4"/>
  <c r="I301" i="4"/>
  <c r="J301" i="4"/>
  <c r="K301" i="4"/>
  <c r="H302" i="4"/>
  <c r="I302" i="4"/>
  <c r="J302" i="4"/>
  <c r="K302" i="4"/>
  <c r="H303" i="4"/>
  <c r="I303" i="4"/>
  <c r="J303" i="4"/>
  <c r="K303" i="4"/>
  <c r="H304" i="4"/>
  <c r="I304" i="4"/>
  <c r="J304" i="4"/>
  <c r="K304" i="4"/>
  <c r="H305" i="4"/>
  <c r="I305" i="4"/>
  <c r="J305" i="4"/>
  <c r="K305" i="4"/>
  <c r="H306" i="4"/>
  <c r="I306" i="4"/>
  <c r="J306" i="4"/>
  <c r="K306" i="4"/>
  <c r="H307" i="4"/>
  <c r="I307" i="4"/>
  <c r="J307" i="4"/>
  <c r="K307" i="4"/>
  <c r="H308" i="4"/>
  <c r="I308" i="4"/>
  <c r="J308" i="4"/>
  <c r="K308" i="4"/>
  <c r="H309" i="4"/>
  <c r="I309" i="4"/>
  <c r="J309" i="4"/>
  <c r="K309" i="4"/>
  <c r="H310" i="4"/>
  <c r="I310" i="4"/>
  <c r="J310" i="4"/>
  <c r="K310" i="4"/>
  <c r="H311" i="4"/>
  <c r="I311" i="4"/>
  <c r="J311" i="4"/>
  <c r="K311" i="4"/>
  <c r="H312" i="4"/>
  <c r="I312" i="4"/>
  <c r="J312" i="4"/>
  <c r="K312" i="4"/>
  <c r="H313" i="4"/>
  <c r="I313" i="4"/>
  <c r="J313" i="4"/>
  <c r="K313" i="4"/>
  <c r="H314" i="4"/>
  <c r="I314" i="4"/>
  <c r="J314" i="4"/>
  <c r="K314" i="4"/>
  <c r="H315" i="4"/>
  <c r="I315" i="4"/>
  <c r="J315" i="4"/>
  <c r="K315" i="4"/>
  <c r="H316" i="4"/>
  <c r="I316" i="4"/>
  <c r="J316" i="4"/>
  <c r="K316" i="4"/>
  <c r="H317" i="4"/>
  <c r="I317" i="4"/>
  <c r="J317" i="4"/>
  <c r="K317" i="4"/>
  <c r="H318" i="4"/>
  <c r="I318" i="4"/>
  <c r="J318" i="4"/>
  <c r="K318" i="4"/>
  <c r="H319" i="4"/>
  <c r="I319" i="4"/>
  <c r="J319" i="4"/>
  <c r="K319" i="4"/>
  <c r="H320" i="4"/>
  <c r="I320" i="4"/>
  <c r="J320" i="4"/>
  <c r="K320" i="4"/>
  <c r="H321" i="4"/>
  <c r="I321" i="4"/>
  <c r="J321" i="4"/>
  <c r="K321" i="4"/>
  <c r="H322" i="4"/>
  <c r="I322" i="4"/>
  <c r="J322" i="4"/>
  <c r="K322" i="4"/>
  <c r="H323" i="4"/>
  <c r="I323" i="4"/>
  <c r="J323" i="4"/>
  <c r="K323" i="4"/>
  <c r="H324" i="4"/>
  <c r="I324" i="4"/>
  <c r="J324" i="4"/>
  <c r="K324" i="4"/>
  <c r="H325" i="4"/>
  <c r="I325" i="4"/>
  <c r="J325" i="4"/>
  <c r="K325" i="4"/>
  <c r="H326" i="4"/>
  <c r="I326" i="4"/>
  <c r="J326" i="4"/>
  <c r="K326" i="4"/>
  <c r="H327" i="4"/>
  <c r="I327" i="4"/>
  <c r="J327" i="4"/>
  <c r="K327" i="4"/>
  <c r="H328" i="4"/>
  <c r="I328" i="4"/>
  <c r="J328" i="4"/>
  <c r="K328" i="4"/>
  <c r="H329" i="4"/>
  <c r="I329" i="4"/>
  <c r="J329" i="4"/>
  <c r="K329" i="4"/>
  <c r="H330" i="4"/>
  <c r="I330" i="4"/>
  <c r="J330" i="4"/>
  <c r="K330" i="4"/>
  <c r="H331" i="4"/>
  <c r="I331" i="4"/>
  <c r="J331" i="4"/>
  <c r="K331" i="4"/>
  <c r="H332" i="4"/>
  <c r="I332" i="4"/>
  <c r="J332" i="4"/>
  <c r="K332" i="4"/>
  <c r="H333" i="4"/>
  <c r="I333" i="4"/>
  <c r="J333" i="4"/>
  <c r="K333" i="4"/>
  <c r="H334" i="4"/>
  <c r="I334" i="4"/>
  <c r="J334" i="4"/>
  <c r="K334" i="4"/>
  <c r="H335" i="4"/>
  <c r="I335" i="4"/>
  <c r="J335" i="4"/>
  <c r="K335" i="4"/>
  <c r="H336" i="4"/>
  <c r="I336" i="4"/>
  <c r="J336" i="4"/>
  <c r="K336" i="4"/>
  <c r="H337" i="4"/>
  <c r="I337" i="4"/>
  <c r="J337" i="4"/>
  <c r="K337" i="4"/>
  <c r="H338" i="4"/>
  <c r="I338" i="4"/>
  <c r="J338" i="4"/>
  <c r="K338" i="4"/>
  <c r="H339" i="4"/>
  <c r="I339" i="4"/>
  <c r="J339" i="4"/>
  <c r="K339" i="4"/>
  <c r="H340" i="4"/>
  <c r="I340" i="4"/>
  <c r="J340" i="4"/>
  <c r="K340" i="4"/>
  <c r="H341" i="4"/>
  <c r="I341" i="4"/>
  <c r="J341" i="4"/>
  <c r="K341" i="4"/>
  <c r="H342" i="4"/>
  <c r="I342" i="4"/>
  <c r="J342" i="4"/>
  <c r="K342" i="4"/>
  <c r="H343" i="4"/>
  <c r="I343" i="4"/>
  <c r="J343" i="4"/>
  <c r="K343" i="4"/>
  <c r="H344" i="4"/>
  <c r="I344" i="4"/>
  <c r="J344" i="4"/>
  <c r="K344" i="4"/>
  <c r="H345" i="4"/>
  <c r="I345" i="4"/>
  <c r="J345" i="4"/>
  <c r="K345" i="4"/>
  <c r="H346" i="4"/>
  <c r="I346" i="4"/>
  <c r="J346" i="4"/>
  <c r="K346" i="4"/>
  <c r="H347" i="4"/>
  <c r="I347" i="4"/>
  <c r="J347" i="4"/>
  <c r="K347" i="4"/>
  <c r="H348" i="4"/>
  <c r="I348" i="4"/>
  <c r="J348" i="4"/>
  <c r="K348" i="4"/>
  <c r="H349" i="4"/>
  <c r="I349" i="4"/>
  <c r="J349" i="4"/>
  <c r="K349" i="4"/>
  <c r="H350" i="4"/>
  <c r="I350" i="4"/>
  <c r="J350" i="4"/>
  <c r="K350" i="4"/>
  <c r="H351" i="4"/>
  <c r="I351" i="4"/>
  <c r="J351" i="4"/>
  <c r="K351" i="4"/>
  <c r="H352" i="4"/>
  <c r="I352" i="4"/>
  <c r="J352" i="4"/>
  <c r="K352" i="4"/>
  <c r="H353" i="4"/>
  <c r="I353" i="4"/>
  <c r="J353" i="4"/>
  <c r="K353" i="4"/>
  <c r="H354" i="4"/>
  <c r="I354" i="4"/>
  <c r="J354" i="4"/>
  <c r="K354" i="4"/>
  <c r="H355" i="4"/>
  <c r="I355" i="4"/>
  <c r="J355" i="4"/>
  <c r="K355" i="4"/>
  <c r="H356" i="4"/>
  <c r="I356" i="4"/>
  <c r="J356" i="4"/>
  <c r="K356" i="4"/>
  <c r="H357" i="4"/>
  <c r="I357" i="4"/>
  <c r="J357" i="4"/>
  <c r="K357" i="4"/>
  <c r="H358" i="4"/>
  <c r="I358" i="4"/>
  <c r="J358" i="4"/>
  <c r="K358" i="4"/>
  <c r="H359" i="4"/>
  <c r="I359" i="4"/>
  <c r="J359" i="4"/>
  <c r="K359" i="4"/>
  <c r="H360" i="4"/>
  <c r="I360" i="4"/>
  <c r="J360" i="4"/>
  <c r="K360" i="4"/>
  <c r="H361" i="4"/>
  <c r="I361" i="4"/>
  <c r="J361" i="4"/>
  <c r="K361" i="4"/>
  <c r="H362" i="4"/>
  <c r="I362" i="4"/>
  <c r="J362" i="4"/>
  <c r="K362" i="4"/>
  <c r="H363" i="4"/>
  <c r="I363" i="4"/>
  <c r="J363" i="4"/>
  <c r="K363" i="4"/>
  <c r="H364" i="4"/>
  <c r="I364" i="4"/>
  <c r="J364" i="4"/>
  <c r="K364" i="4"/>
  <c r="H365" i="4"/>
  <c r="I365" i="4"/>
  <c r="J365" i="4"/>
  <c r="K365" i="4"/>
  <c r="H366" i="4"/>
  <c r="I366" i="4"/>
  <c r="J366" i="4"/>
  <c r="K366" i="4"/>
  <c r="H367" i="4"/>
  <c r="I367" i="4"/>
  <c r="J367" i="4"/>
  <c r="K367" i="4"/>
  <c r="H368" i="4"/>
  <c r="I368" i="4"/>
  <c r="J368" i="4"/>
  <c r="K368" i="4"/>
  <c r="H369" i="4"/>
  <c r="I369" i="4"/>
  <c r="J369" i="4"/>
  <c r="K369" i="4"/>
  <c r="H370" i="4"/>
  <c r="I370" i="4"/>
  <c r="J370" i="4"/>
  <c r="K370" i="4"/>
  <c r="H371" i="4"/>
  <c r="I371" i="4"/>
  <c r="J371" i="4"/>
  <c r="K371" i="4"/>
  <c r="H372" i="4"/>
  <c r="I372" i="4"/>
  <c r="J372" i="4"/>
  <c r="K372" i="4"/>
  <c r="H373" i="4"/>
  <c r="I373" i="4"/>
  <c r="J373" i="4"/>
  <c r="K373" i="4"/>
  <c r="H374" i="4"/>
  <c r="I374" i="4"/>
  <c r="J374" i="4"/>
  <c r="K374" i="4"/>
  <c r="H375" i="4"/>
  <c r="I375" i="4"/>
  <c r="J375" i="4"/>
  <c r="K375" i="4"/>
  <c r="H376" i="4"/>
  <c r="I376" i="4"/>
  <c r="J376" i="4"/>
  <c r="K376" i="4"/>
  <c r="H377" i="4"/>
  <c r="I377" i="4"/>
  <c r="J377" i="4"/>
  <c r="K377" i="4"/>
  <c r="H378" i="4"/>
  <c r="I378" i="4"/>
  <c r="J378" i="4"/>
  <c r="K378" i="4"/>
  <c r="H379" i="4"/>
  <c r="I379" i="4"/>
  <c r="J379" i="4"/>
  <c r="K379" i="4"/>
  <c r="H380" i="4"/>
  <c r="I380" i="4"/>
  <c r="J380" i="4"/>
  <c r="K380" i="4"/>
  <c r="H381" i="4"/>
  <c r="I381" i="4"/>
  <c r="J381" i="4"/>
  <c r="K381" i="4"/>
  <c r="H382" i="4"/>
  <c r="I382" i="4"/>
  <c r="J382" i="4"/>
  <c r="K382" i="4"/>
  <c r="H383" i="4"/>
  <c r="I383" i="4"/>
  <c r="J383" i="4"/>
  <c r="K383" i="4"/>
  <c r="H384" i="4"/>
  <c r="I384" i="4"/>
  <c r="J384" i="4"/>
  <c r="K384" i="4"/>
  <c r="H385" i="4"/>
  <c r="I385" i="4"/>
  <c r="J385" i="4"/>
  <c r="K385" i="4"/>
  <c r="H386" i="4"/>
  <c r="I386" i="4"/>
  <c r="J386" i="4"/>
  <c r="K386" i="4"/>
  <c r="H387" i="4"/>
  <c r="I387" i="4"/>
  <c r="J387" i="4"/>
  <c r="K387" i="4"/>
  <c r="H388" i="4"/>
  <c r="I388" i="4"/>
  <c r="J388" i="4"/>
  <c r="K388" i="4"/>
  <c r="H389" i="4"/>
  <c r="I389" i="4"/>
  <c r="J389" i="4"/>
  <c r="K389" i="4"/>
  <c r="H390" i="4"/>
  <c r="I390" i="4"/>
  <c r="J390" i="4"/>
  <c r="K390" i="4"/>
  <c r="H391" i="4"/>
  <c r="I391" i="4"/>
  <c r="J391" i="4"/>
  <c r="K391" i="4"/>
  <c r="H392" i="4"/>
  <c r="I392" i="4"/>
  <c r="J392" i="4"/>
  <c r="K392" i="4"/>
  <c r="H393" i="4"/>
  <c r="I393" i="4"/>
  <c r="J393" i="4"/>
  <c r="K393" i="4"/>
  <c r="H394" i="4"/>
  <c r="I394" i="4"/>
  <c r="J394" i="4"/>
  <c r="K394" i="4"/>
  <c r="H395" i="4"/>
  <c r="I395" i="4"/>
  <c r="J395" i="4"/>
  <c r="K395" i="4"/>
  <c r="H396" i="4"/>
  <c r="I396" i="4"/>
  <c r="J396" i="4"/>
  <c r="K396" i="4"/>
  <c r="H397" i="4"/>
  <c r="I397" i="4"/>
  <c r="J397" i="4"/>
  <c r="K397" i="4"/>
  <c r="H398" i="4"/>
  <c r="I398" i="4"/>
  <c r="J398" i="4"/>
  <c r="K398" i="4"/>
  <c r="H399" i="4"/>
  <c r="I399" i="4"/>
  <c r="J399" i="4"/>
  <c r="K399" i="4"/>
  <c r="H400" i="4"/>
  <c r="I400" i="4"/>
  <c r="J400" i="4"/>
  <c r="K400" i="4"/>
  <c r="H401" i="4"/>
  <c r="I401" i="4"/>
  <c r="J401" i="4"/>
  <c r="K401" i="4"/>
  <c r="H402" i="4"/>
  <c r="I402" i="4"/>
  <c r="J402" i="4"/>
  <c r="K402" i="4"/>
  <c r="H403" i="4"/>
  <c r="I403" i="4"/>
  <c r="J403" i="4"/>
  <c r="K403" i="4"/>
  <c r="H404" i="4"/>
  <c r="I404" i="4"/>
  <c r="J404" i="4"/>
  <c r="K404" i="4"/>
  <c r="H405" i="4"/>
  <c r="I405" i="4"/>
  <c r="J405" i="4"/>
  <c r="K405" i="4"/>
  <c r="H406" i="4"/>
  <c r="I406" i="4"/>
  <c r="J406" i="4"/>
  <c r="K406" i="4"/>
  <c r="H407" i="4"/>
  <c r="I407" i="4"/>
  <c r="J407" i="4"/>
  <c r="K407" i="4"/>
  <c r="H408" i="4"/>
  <c r="I408" i="4"/>
  <c r="J408" i="4"/>
  <c r="K408" i="4"/>
  <c r="H409" i="4"/>
  <c r="I409" i="4"/>
  <c r="J409" i="4"/>
  <c r="K409" i="4"/>
  <c r="H410" i="4"/>
  <c r="I410" i="4"/>
  <c r="J410" i="4"/>
  <c r="K410" i="4"/>
  <c r="H411" i="4"/>
  <c r="I411" i="4"/>
  <c r="J411" i="4"/>
  <c r="K411" i="4"/>
  <c r="H412" i="4"/>
  <c r="I412" i="4"/>
  <c r="J412" i="4"/>
  <c r="K412" i="4"/>
  <c r="H413" i="4"/>
  <c r="I413" i="4"/>
  <c r="J413" i="4"/>
  <c r="K413" i="4"/>
  <c r="H414" i="4"/>
  <c r="I414" i="4"/>
  <c r="J414" i="4"/>
  <c r="K414" i="4"/>
  <c r="H415" i="4"/>
  <c r="I415" i="4"/>
  <c r="J415" i="4"/>
  <c r="K415" i="4"/>
  <c r="H416" i="4"/>
  <c r="I416" i="4"/>
  <c r="J416" i="4"/>
  <c r="K416" i="4"/>
  <c r="H417" i="4"/>
  <c r="I417" i="4"/>
  <c r="J417" i="4"/>
  <c r="K417" i="4"/>
  <c r="H418" i="4"/>
  <c r="I418" i="4"/>
  <c r="J418" i="4"/>
  <c r="K418" i="4"/>
  <c r="H419" i="4"/>
  <c r="I419" i="4"/>
  <c r="J419" i="4"/>
  <c r="K419" i="4"/>
  <c r="H420" i="4"/>
  <c r="I420" i="4"/>
  <c r="J420" i="4"/>
  <c r="K420" i="4"/>
  <c r="H421" i="4"/>
  <c r="I421" i="4"/>
  <c r="J421" i="4"/>
  <c r="K421" i="4"/>
  <c r="H422" i="4"/>
  <c r="I422" i="4"/>
  <c r="J422" i="4"/>
  <c r="K422" i="4"/>
  <c r="H423" i="4"/>
  <c r="I423" i="4"/>
  <c r="J423" i="4"/>
  <c r="K423" i="4"/>
  <c r="H424" i="4"/>
  <c r="I424" i="4"/>
  <c r="J424" i="4"/>
  <c r="K424" i="4"/>
  <c r="H425" i="4"/>
  <c r="I425" i="4"/>
  <c r="J425" i="4"/>
  <c r="K425" i="4"/>
  <c r="H426" i="4"/>
  <c r="I426" i="4"/>
  <c r="J426" i="4"/>
  <c r="K426" i="4"/>
  <c r="H427" i="4"/>
  <c r="I427" i="4"/>
  <c r="J427" i="4"/>
  <c r="K427" i="4"/>
  <c r="H428" i="4"/>
  <c r="I428" i="4"/>
  <c r="J428" i="4"/>
  <c r="K428" i="4"/>
  <c r="H429" i="4"/>
  <c r="I429" i="4"/>
  <c r="J429" i="4"/>
  <c r="K429" i="4"/>
  <c r="H430" i="4"/>
  <c r="I430" i="4"/>
  <c r="J430" i="4"/>
  <c r="K430" i="4"/>
  <c r="H431" i="4"/>
  <c r="I431" i="4"/>
  <c r="J431" i="4"/>
  <c r="K431" i="4"/>
  <c r="H432" i="4"/>
  <c r="I432" i="4"/>
  <c r="J432" i="4"/>
  <c r="K432" i="4"/>
  <c r="H433" i="4"/>
  <c r="I433" i="4"/>
  <c r="J433" i="4"/>
  <c r="K433" i="4"/>
  <c r="H434" i="4"/>
  <c r="I434" i="4"/>
  <c r="J434" i="4"/>
  <c r="K434" i="4"/>
  <c r="H435" i="4"/>
  <c r="I435" i="4"/>
  <c r="J435" i="4"/>
  <c r="K435" i="4"/>
  <c r="H436" i="4"/>
  <c r="I436" i="4"/>
  <c r="J436" i="4"/>
  <c r="K436" i="4"/>
  <c r="H437" i="4"/>
  <c r="I437" i="4"/>
  <c r="J437" i="4"/>
  <c r="K437" i="4"/>
  <c r="H438" i="4"/>
  <c r="I438" i="4"/>
  <c r="J438" i="4"/>
  <c r="K438" i="4"/>
  <c r="H439" i="4"/>
  <c r="I439" i="4"/>
  <c r="J439" i="4"/>
  <c r="K439" i="4"/>
  <c r="H440" i="4"/>
  <c r="I440" i="4"/>
  <c r="J440" i="4"/>
  <c r="K440" i="4"/>
  <c r="H441" i="4"/>
  <c r="I441" i="4"/>
  <c r="J441" i="4"/>
  <c r="K441" i="4"/>
  <c r="H442" i="4"/>
  <c r="I442" i="4"/>
  <c r="J442" i="4"/>
  <c r="K442" i="4"/>
  <c r="H443" i="4"/>
  <c r="I443" i="4"/>
  <c r="J443" i="4"/>
  <c r="K443" i="4"/>
  <c r="H444" i="4"/>
  <c r="I444" i="4"/>
  <c r="J444" i="4"/>
  <c r="K444" i="4"/>
  <c r="H445" i="4"/>
  <c r="I445" i="4"/>
  <c r="J445" i="4"/>
  <c r="K445" i="4"/>
  <c r="H446" i="4"/>
  <c r="I446" i="4"/>
  <c r="J446" i="4"/>
  <c r="K446" i="4"/>
  <c r="H447" i="4"/>
  <c r="I447" i="4"/>
  <c r="J447" i="4"/>
  <c r="K447" i="4"/>
  <c r="H448" i="4"/>
  <c r="I448" i="4"/>
  <c r="J448" i="4"/>
  <c r="K448" i="4"/>
  <c r="H449" i="4"/>
  <c r="I449" i="4"/>
  <c r="J449" i="4"/>
  <c r="K449" i="4"/>
  <c r="H450" i="4"/>
  <c r="I450" i="4"/>
  <c r="J450" i="4"/>
  <c r="K450" i="4"/>
  <c r="H451" i="4"/>
  <c r="I451" i="4"/>
  <c r="J451" i="4"/>
  <c r="K451" i="4"/>
  <c r="H452" i="4"/>
  <c r="I452" i="4"/>
  <c r="J452" i="4"/>
  <c r="K452" i="4"/>
  <c r="H453" i="4"/>
  <c r="I453" i="4"/>
  <c r="J453" i="4"/>
  <c r="K453" i="4"/>
  <c r="H454" i="4"/>
  <c r="I454" i="4"/>
  <c r="J454" i="4"/>
  <c r="K454" i="4"/>
  <c r="H455" i="4"/>
  <c r="I455" i="4"/>
  <c r="J455" i="4"/>
  <c r="K455" i="4"/>
  <c r="H456" i="4"/>
  <c r="I456" i="4"/>
  <c r="J456" i="4"/>
  <c r="K456" i="4"/>
  <c r="H457" i="4"/>
  <c r="I457" i="4"/>
  <c r="J457" i="4"/>
  <c r="K457" i="4"/>
  <c r="H458" i="4"/>
  <c r="I458" i="4"/>
  <c r="J458" i="4"/>
  <c r="K458" i="4"/>
  <c r="H459" i="4"/>
  <c r="I459" i="4"/>
  <c r="J459" i="4"/>
  <c r="K459" i="4"/>
  <c r="H460" i="4"/>
  <c r="I460" i="4"/>
  <c r="J460" i="4"/>
  <c r="K460" i="4"/>
  <c r="H461" i="4"/>
  <c r="I461" i="4"/>
  <c r="J461" i="4"/>
  <c r="K461" i="4"/>
  <c r="H462" i="4"/>
  <c r="I462" i="4"/>
  <c r="J462" i="4"/>
  <c r="K462" i="4"/>
  <c r="H463" i="4"/>
  <c r="I463" i="4"/>
  <c r="J463" i="4"/>
  <c r="K463" i="4"/>
  <c r="H464" i="4"/>
  <c r="I464" i="4"/>
  <c r="J464" i="4"/>
  <c r="K464" i="4"/>
  <c r="H465" i="4"/>
  <c r="I465" i="4"/>
  <c r="J465" i="4"/>
  <c r="K465" i="4"/>
  <c r="H466" i="4"/>
  <c r="I466" i="4"/>
  <c r="J466" i="4"/>
  <c r="K466" i="4"/>
  <c r="H467" i="4"/>
  <c r="I467" i="4"/>
  <c r="J467" i="4"/>
  <c r="K467" i="4"/>
  <c r="H468" i="4"/>
  <c r="I468" i="4"/>
  <c r="J468" i="4"/>
  <c r="K468" i="4"/>
  <c r="H469" i="4"/>
  <c r="I469" i="4"/>
  <c r="J469" i="4"/>
  <c r="K469" i="4"/>
  <c r="H470" i="4"/>
  <c r="I470" i="4"/>
  <c r="J470" i="4"/>
  <c r="K470" i="4"/>
  <c r="H471" i="4"/>
  <c r="I471" i="4"/>
  <c r="J471" i="4"/>
  <c r="K471" i="4"/>
  <c r="H472" i="4"/>
  <c r="I472" i="4"/>
  <c r="J472" i="4"/>
  <c r="K472" i="4"/>
  <c r="H473" i="4"/>
  <c r="I473" i="4"/>
  <c r="J473" i="4"/>
  <c r="K473" i="4"/>
  <c r="H474" i="4"/>
  <c r="I474" i="4"/>
  <c r="J474" i="4"/>
  <c r="K474" i="4"/>
  <c r="H475" i="4"/>
  <c r="I475" i="4"/>
  <c r="J475" i="4"/>
  <c r="K475" i="4"/>
  <c r="H476" i="4"/>
  <c r="I476" i="4"/>
  <c r="J476" i="4"/>
  <c r="K476" i="4"/>
  <c r="H477" i="4"/>
  <c r="I477" i="4"/>
  <c r="J477" i="4"/>
  <c r="K477" i="4"/>
  <c r="H478" i="4"/>
  <c r="I478" i="4"/>
  <c r="J478" i="4"/>
  <c r="K478" i="4"/>
  <c r="H479" i="4"/>
  <c r="I479" i="4"/>
  <c r="J479" i="4"/>
  <c r="K479" i="4"/>
  <c r="H480" i="4"/>
  <c r="I480" i="4"/>
  <c r="J480" i="4"/>
  <c r="K480" i="4"/>
  <c r="H481" i="4"/>
  <c r="I481" i="4"/>
  <c r="J481" i="4"/>
  <c r="K481" i="4"/>
  <c r="H482" i="4"/>
  <c r="I482" i="4"/>
  <c r="J482" i="4"/>
  <c r="K482" i="4"/>
  <c r="H483" i="4"/>
  <c r="I483" i="4"/>
  <c r="J483" i="4"/>
  <c r="K483" i="4"/>
  <c r="H484" i="4"/>
  <c r="I484" i="4"/>
  <c r="J484" i="4"/>
  <c r="K484" i="4"/>
  <c r="H485" i="4"/>
  <c r="I485" i="4"/>
  <c r="J485" i="4"/>
  <c r="K485" i="4"/>
  <c r="H486" i="4"/>
  <c r="I486" i="4"/>
  <c r="J486" i="4"/>
  <c r="K486" i="4"/>
  <c r="H487" i="4"/>
  <c r="I487" i="4"/>
  <c r="J487" i="4"/>
  <c r="K487" i="4"/>
  <c r="H488" i="4"/>
  <c r="I488" i="4"/>
  <c r="J488" i="4"/>
  <c r="K488" i="4"/>
  <c r="H489" i="4"/>
  <c r="I489" i="4"/>
  <c r="J489" i="4"/>
  <c r="K489" i="4"/>
  <c r="H490" i="4"/>
  <c r="I490" i="4"/>
  <c r="J490" i="4"/>
  <c r="K490" i="4"/>
  <c r="H491" i="4"/>
  <c r="I491" i="4"/>
  <c r="J491" i="4"/>
  <c r="K491" i="4"/>
  <c r="H492" i="4"/>
  <c r="I492" i="4"/>
  <c r="J492" i="4"/>
  <c r="K492" i="4"/>
  <c r="H493" i="4"/>
  <c r="I493" i="4"/>
  <c r="J493" i="4"/>
  <c r="K493" i="4"/>
  <c r="H494" i="4"/>
  <c r="I494" i="4"/>
  <c r="J494" i="4"/>
  <c r="K494" i="4"/>
  <c r="H495" i="4"/>
  <c r="I495" i="4"/>
  <c r="J495" i="4"/>
  <c r="K495" i="4"/>
  <c r="H496" i="4"/>
  <c r="I496" i="4"/>
  <c r="J496" i="4"/>
  <c r="K496" i="4"/>
  <c r="H497" i="4"/>
  <c r="I497" i="4"/>
  <c r="J497" i="4"/>
  <c r="K497" i="4"/>
  <c r="H498" i="4"/>
  <c r="I498" i="4"/>
  <c r="J498" i="4"/>
  <c r="K498" i="4"/>
  <c r="H499" i="4"/>
  <c r="I499" i="4"/>
  <c r="J499" i="4"/>
  <c r="K499" i="4"/>
  <c r="H500" i="4"/>
  <c r="I500" i="4"/>
  <c r="J500" i="4"/>
  <c r="K500" i="4"/>
  <c r="H501" i="4"/>
  <c r="I501" i="4"/>
  <c r="J501" i="4"/>
  <c r="K501" i="4"/>
  <c r="H502" i="4"/>
  <c r="I502" i="4"/>
  <c r="J502" i="4"/>
  <c r="K502" i="4"/>
  <c r="H503" i="4"/>
  <c r="I503" i="4"/>
  <c r="J503" i="4"/>
  <c r="K503" i="4"/>
  <c r="H504" i="4"/>
  <c r="I504" i="4"/>
  <c r="J504" i="4"/>
  <c r="K504" i="4"/>
  <c r="H505" i="4"/>
  <c r="I505" i="4"/>
  <c r="J505" i="4"/>
  <c r="K505" i="4"/>
  <c r="H506" i="4"/>
  <c r="I506" i="4"/>
  <c r="J506" i="4"/>
  <c r="K506" i="4"/>
  <c r="H507" i="4"/>
  <c r="I507" i="4"/>
  <c r="J507" i="4"/>
  <c r="K507" i="4"/>
  <c r="H508" i="4"/>
  <c r="I508" i="4"/>
  <c r="J508" i="4"/>
  <c r="K508" i="4"/>
  <c r="H509" i="4"/>
  <c r="I509" i="4"/>
  <c r="J509" i="4"/>
  <c r="K509" i="4"/>
  <c r="H510" i="4"/>
  <c r="I510" i="4"/>
  <c r="J510" i="4"/>
  <c r="K510" i="4"/>
  <c r="H511" i="4"/>
  <c r="I511" i="4"/>
  <c r="J511" i="4"/>
  <c r="K511" i="4"/>
  <c r="H512" i="4"/>
  <c r="I512" i="4"/>
  <c r="J512" i="4"/>
  <c r="K512" i="4"/>
  <c r="H513" i="4"/>
  <c r="I513" i="4"/>
  <c r="J513" i="4"/>
  <c r="K513" i="4"/>
  <c r="H514" i="4"/>
  <c r="I514" i="4"/>
  <c r="J514" i="4"/>
  <c r="K514" i="4"/>
  <c r="H515" i="4"/>
  <c r="I515" i="4"/>
  <c r="J515" i="4"/>
  <c r="K515" i="4"/>
  <c r="H516" i="4"/>
  <c r="I516" i="4"/>
  <c r="J516" i="4"/>
  <c r="K516" i="4"/>
  <c r="H517" i="4"/>
  <c r="I517" i="4"/>
  <c r="J517" i="4"/>
  <c r="K517" i="4"/>
  <c r="H518" i="4"/>
  <c r="I518" i="4"/>
  <c r="J518" i="4"/>
  <c r="K518" i="4"/>
  <c r="H519" i="4"/>
  <c r="I519" i="4"/>
  <c r="J519" i="4"/>
  <c r="K519" i="4"/>
  <c r="H520" i="4"/>
  <c r="I520" i="4"/>
  <c r="J520" i="4"/>
  <c r="K520" i="4"/>
  <c r="H521" i="4"/>
  <c r="I521" i="4"/>
  <c r="J521" i="4"/>
  <c r="K521" i="4"/>
  <c r="H522" i="4"/>
  <c r="I522" i="4"/>
  <c r="J522" i="4"/>
  <c r="K522" i="4"/>
  <c r="H523" i="4"/>
  <c r="I523" i="4"/>
  <c r="J523" i="4"/>
  <c r="K523" i="4"/>
  <c r="H524" i="4"/>
  <c r="I524" i="4"/>
  <c r="J524" i="4"/>
  <c r="K524" i="4"/>
  <c r="H525" i="4"/>
  <c r="I525" i="4"/>
  <c r="J525" i="4"/>
  <c r="K525" i="4"/>
  <c r="H526" i="4"/>
  <c r="I526" i="4"/>
  <c r="J526" i="4"/>
  <c r="K526" i="4"/>
  <c r="H527" i="4"/>
  <c r="I527" i="4"/>
  <c r="J527" i="4"/>
  <c r="K527" i="4"/>
  <c r="H528" i="4"/>
  <c r="I528" i="4"/>
  <c r="J528" i="4"/>
  <c r="K528" i="4"/>
  <c r="H529" i="4"/>
  <c r="I529" i="4"/>
  <c r="J529" i="4"/>
  <c r="K529" i="4"/>
  <c r="H530" i="4"/>
  <c r="I530" i="4"/>
  <c r="J530" i="4"/>
  <c r="K530" i="4"/>
  <c r="H531" i="4"/>
  <c r="I531" i="4"/>
  <c r="J531" i="4"/>
  <c r="K531" i="4"/>
  <c r="H532" i="4"/>
  <c r="I532" i="4"/>
  <c r="J532" i="4"/>
  <c r="K532" i="4"/>
  <c r="H533" i="4"/>
  <c r="I533" i="4"/>
  <c r="J533" i="4"/>
  <c r="K533" i="4"/>
  <c r="H534" i="4"/>
  <c r="I534" i="4"/>
  <c r="J534" i="4"/>
  <c r="K534" i="4"/>
  <c r="H535" i="4"/>
  <c r="I535" i="4"/>
  <c r="J535" i="4"/>
  <c r="K535" i="4"/>
  <c r="H536" i="4"/>
  <c r="I536" i="4"/>
  <c r="J536" i="4"/>
  <c r="K536" i="4"/>
  <c r="H537" i="4"/>
  <c r="I537" i="4"/>
  <c r="J537" i="4"/>
  <c r="K537" i="4"/>
  <c r="H538" i="4"/>
  <c r="I538" i="4"/>
  <c r="J538" i="4"/>
  <c r="K538" i="4"/>
  <c r="H539" i="4"/>
  <c r="I539" i="4"/>
  <c r="J539" i="4"/>
  <c r="K539" i="4"/>
  <c r="H540" i="4"/>
  <c r="I540" i="4"/>
  <c r="J540" i="4"/>
  <c r="K540" i="4"/>
  <c r="H541" i="4"/>
  <c r="I541" i="4"/>
  <c r="J541" i="4"/>
  <c r="K541" i="4"/>
  <c r="H542" i="4"/>
  <c r="I542" i="4"/>
  <c r="J542" i="4"/>
  <c r="K542" i="4"/>
  <c r="H543" i="4"/>
  <c r="I543" i="4"/>
  <c r="J543" i="4"/>
  <c r="K543" i="4"/>
  <c r="H544" i="4"/>
  <c r="I544" i="4"/>
  <c r="J544" i="4"/>
  <c r="K544" i="4"/>
  <c r="H545" i="4"/>
  <c r="I545" i="4"/>
  <c r="J545" i="4"/>
  <c r="K545" i="4"/>
  <c r="H546" i="4"/>
  <c r="I546" i="4"/>
  <c r="J546" i="4"/>
  <c r="K546" i="4"/>
  <c r="H547" i="4"/>
  <c r="I547" i="4"/>
  <c r="J547" i="4"/>
  <c r="K547" i="4"/>
  <c r="H548" i="4"/>
  <c r="I548" i="4"/>
  <c r="J548" i="4"/>
  <c r="K548" i="4"/>
  <c r="H549" i="4"/>
  <c r="I549" i="4"/>
  <c r="J549" i="4"/>
  <c r="K549" i="4"/>
  <c r="H550" i="4"/>
  <c r="I550" i="4"/>
  <c r="J550" i="4"/>
  <c r="K550" i="4"/>
  <c r="H551" i="4"/>
  <c r="I551" i="4"/>
  <c r="J551" i="4"/>
  <c r="K551" i="4"/>
  <c r="H552" i="4"/>
  <c r="I552" i="4"/>
  <c r="J552" i="4"/>
  <c r="K552" i="4"/>
  <c r="H553" i="4"/>
  <c r="I553" i="4"/>
  <c r="J553" i="4"/>
  <c r="K553" i="4"/>
  <c r="H554" i="4"/>
  <c r="I554" i="4"/>
  <c r="J554" i="4"/>
  <c r="K554" i="4"/>
  <c r="H555" i="4"/>
  <c r="I555" i="4"/>
  <c r="J555" i="4"/>
  <c r="K555" i="4"/>
  <c r="H556" i="4"/>
  <c r="I556" i="4"/>
  <c r="J556" i="4"/>
  <c r="K556" i="4"/>
  <c r="H557" i="4"/>
  <c r="I557" i="4"/>
  <c r="J557" i="4"/>
  <c r="K557" i="4"/>
  <c r="H558" i="4"/>
  <c r="I558" i="4"/>
  <c r="J558" i="4"/>
  <c r="K558" i="4"/>
  <c r="H559" i="4"/>
  <c r="I559" i="4"/>
  <c r="J559" i="4"/>
  <c r="K559" i="4"/>
  <c r="H560" i="4"/>
  <c r="I560" i="4"/>
  <c r="J560" i="4"/>
  <c r="K560" i="4"/>
  <c r="H561" i="4"/>
  <c r="I561" i="4"/>
  <c r="J561" i="4"/>
  <c r="K561" i="4"/>
  <c r="H562" i="4"/>
  <c r="I562" i="4"/>
  <c r="J562" i="4"/>
  <c r="K562" i="4"/>
  <c r="H563" i="4"/>
  <c r="I563" i="4"/>
  <c r="J563" i="4"/>
  <c r="K563" i="4"/>
  <c r="H564" i="4"/>
  <c r="I564" i="4"/>
  <c r="J564" i="4"/>
  <c r="K564" i="4"/>
  <c r="H565" i="4"/>
  <c r="I565" i="4"/>
  <c r="J565" i="4"/>
  <c r="K565" i="4"/>
  <c r="H566" i="4"/>
  <c r="I566" i="4"/>
  <c r="J566" i="4"/>
  <c r="K566" i="4"/>
  <c r="H567" i="4"/>
  <c r="I567" i="4"/>
  <c r="J567" i="4"/>
  <c r="K567" i="4"/>
  <c r="H568" i="4"/>
  <c r="I568" i="4"/>
  <c r="J568" i="4"/>
  <c r="K568" i="4"/>
  <c r="H569" i="4"/>
  <c r="I569" i="4"/>
  <c r="J569" i="4"/>
  <c r="K569" i="4"/>
  <c r="H570" i="4"/>
  <c r="I570" i="4"/>
  <c r="J570" i="4"/>
  <c r="K570" i="4"/>
  <c r="H571" i="4"/>
  <c r="I571" i="4"/>
  <c r="J571" i="4"/>
  <c r="K571" i="4"/>
  <c r="H572" i="4"/>
  <c r="I572" i="4"/>
  <c r="J572" i="4"/>
  <c r="K572" i="4"/>
  <c r="H573" i="4"/>
  <c r="I573" i="4"/>
  <c r="J573" i="4"/>
  <c r="K573" i="4"/>
  <c r="H574" i="4"/>
  <c r="I574" i="4"/>
  <c r="J574" i="4"/>
  <c r="K574" i="4"/>
  <c r="H575" i="4"/>
  <c r="I575" i="4"/>
  <c r="J575" i="4"/>
  <c r="K575" i="4"/>
  <c r="H576" i="4"/>
  <c r="I576" i="4"/>
  <c r="J576" i="4"/>
  <c r="K576" i="4"/>
  <c r="H577" i="4"/>
  <c r="I577" i="4"/>
  <c r="J577" i="4"/>
  <c r="K577" i="4"/>
  <c r="H578" i="4"/>
  <c r="I578" i="4"/>
  <c r="J578" i="4"/>
  <c r="K578" i="4"/>
  <c r="H579" i="4"/>
  <c r="I579" i="4"/>
  <c r="J579" i="4"/>
  <c r="K579" i="4"/>
  <c r="H580" i="4"/>
  <c r="I580" i="4"/>
  <c r="J580" i="4"/>
  <c r="K580" i="4"/>
  <c r="H581" i="4"/>
  <c r="I581" i="4"/>
  <c r="J581" i="4"/>
  <c r="K581" i="4"/>
  <c r="H582" i="4"/>
  <c r="I582" i="4"/>
  <c r="J582" i="4"/>
  <c r="K582" i="4"/>
  <c r="H583" i="4"/>
  <c r="I583" i="4"/>
  <c r="J583" i="4"/>
  <c r="K583" i="4"/>
  <c r="H584" i="4"/>
  <c r="I584" i="4"/>
  <c r="J584" i="4"/>
  <c r="K584" i="4"/>
  <c r="H585" i="4"/>
  <c r="I585" i="4"/>
  <c r="J585" i="4"/>
  <c r="K585" i="4"/>
  <c r="H586" i="4"/>
  <c r="I586" i="4"/>
  <c r="J586" i="4"/>
  <c r="K586" i="4"/>
  <c r="H587" i="4"/>
  <c r="I587" i="4"/>
  <c r="J587" i="4"/>
  <c r="K587" i="4"/>
  <c r="H588" i="4"/>
  <c r="I588" i="4"/>
  <c r="J588" i="4"/>
  <c r="K588" i="4"/>
  <c r="H589" i="4"/>
  <c r="I589" i="4"/>
  <c r="J589" i="4"/>
  <c r="K589" i="4"/>
  <c r="H590" i="4"/>
  <c r="I590" i="4"/>
  <c r="J590" i="4"/>
  <c r="K590" i="4"/>
  <c r="H591" i="4"/>
  <c r="I591" i="4"/>
  <c r="J591" i="4"/>
  <c r="K591" i="4"/>
  <c r="H592" i="4"/>
  <c r="I592" i="4"/>
  <c r="J592" i="4"/>
  <c r="K592" i="4"/>
  <c r="H593" i="4"/>
  <c r="I593" i="4"/>
  <c r="J593" i="4"/>
  <c r="K593" i="4"/>
  <c r="H594" i="4"/>
  <c r="I594" i="4"/>
  <c r="J594" i="4"/>
  <c r="K594" i="4"/>
  <c r="H595" i="4"/>
  <c r="I595" i="4"/>
  <c r="J595" i="4"/>
  <c r="K595" i="4"/>
  <c r="H596" i="4"/>
  <c r="I596" i="4"/>
  <c r="J596" i="4"/>
  <c r="K596" i="4"/>
  <c r="H597" i="4"/>
  <c r="I597" i="4"/>
  <c r="J597" i="4"/>
  <c r="K597" i="4"/>
  <c r="H598" i="4"/>
  <c r="I598" i="4"/>
  <c r="J598" i="4"/>
  <c r="K598" i="4"/>
  <c r="H599" i="4"/>
  <c r="I599" i="4"/>
  <c r="J599" i="4"/>
  <c r="K599" i="4"/>
  <c r="H600" i="4"/>
  <c r="I600" i="4"/>
  <c r="J600" i="4"/>
  <c r="K600" i="4"/>
  <c r="H601" i="4"/>
  <c r="I601" i="4"/>
  <c r="J601" i="4"/>
  <c r="K601" i="4"/>
  <c r="H602" i="4"/>
  <c r="I602" i="4"/>
  <c r="J602" i="4"/>
  <c r="K602" i="4"/>
  <c r="H603" i="4"/>
  <c r="I603" i="4"/>
  <c r="J603" i="4"/>
  <c r="K603" i="4"/>
  <c r="H604" i="4"/>
  <c r="I604" i="4"/>
  <c r="J604" i="4"/>
  <c r="K604" i="4"/>
  <c r="H605" i="4"/>
  <c r="I605" i="4"/>
  <c r="J605" i="4"/>
  <c r="K605" i="4"/>
  <c r="H606" i="4"/>
  <c r="I606" i="4"/>
  <c r="J606" i="4"/>
  <c r="K606" i="4"/>
  <c r="H607" i="4"/>
  <c r="I607" i="4"/>
  <c r="J607" i="4"/>
  <c r="K607" i="4"/>
  <c r="H608" i="4"/>
  <c r="I608" i="4"/>
  <c r="J608" i="4"/>
  <c r="K608" i="4"/>
  <c r="H609" i="4"/>
  <c r="I609" i="4"/>
  <c r="J609" i="4"/>
  <c r="K609" i="4"/>
  <c r="H610" i="4"/>
  <c r="I610" i="4"/>
  <c r="J610" i="4"/>
  <c r="K610" i="4"/>
  <c r="H611" i="4"/>
  <c r="I611" i="4"/>
  <c r="J611" i="4"/>
  <c r="K611" i="4"/>
  <c r="H612" i="4"/>
  <c r="I612" i="4"/>
  <c r="J612" i="4"/>
  <c r="K612" i="4"/>
  <c r="H613" i="4"/>
  <c r="I613" i="4"/>
  <c r="J613" i="4"/>
  <c r="K613" i="4"/>
  <c r="H614" i="4"/>
  <c r="I614" i="4"/>
  <c r="J614" i="4"/>
  <c r="K614" i="4"/>
  <c r="H615" i="4"/>
  <c r="I615" i="4"/>
  <c r="J615" i="4"/>
  <c r="K615" i="4"/>
  <c r="H616" i="4"/>
  <c r="I616" i="4"/>
  <c r="J616" i="4"/>
  <c r="K616" i="4"/>
  <c r="H617" i="4"/>
  <c r="I617" i="4"/>
  <c r="J617" i="4"/>
  <c r="K617" i="4"/>
  <c r="H618" i="4"/>
  <c r="I618" i="4"/>
  <c r="J618" i="4"/>
  <c r="K618" i="4"/>
  <c r="H619" i="4"/>
  <c r="I619" i="4"/>
  <c r="J619" i="4"/>
  <c r="K619" i="4"/>
  <c r="H620" i="4"/>
  <c r="I620" i="4"/>
  <c r="J620" i="4"/>
  <c r="K620" i="4"/>
  <c r="H621" i="4"/>
  <c r="I621" i="4"/>
  <c r="J621" i="4"/>
  <c r="K621" i="4"/>
  <c r="H622" i="4"/>
  <c r="I622" i="4"/>
  <c r="J622" i="4"/>
  <c r="K622" i="4"/>
  <c r="H623" i="4"/>
  <c r="I623" i="4"/>
  <c r="J623" i="4"/>
  <c r="K623" i="4"/>
  <c r="H624" i="4"/>
  <c r="I624" i="4"/>
  <c r="J624" i="4"/>
  <c r="K624" i="4"/>
  <c r="H625" i="4"/>
  <c r="I625" i="4"/>
  <c r="J625" i="4"/>
  <c r="K625" i="4"/>
  <c r="H626" i="4"/>
  <c r="I626" i="4"/>
  <c r="J626" i="4"/>
  <c r="K626" i="4"/>
  <c r="H627" i="4"/>
  <c r="I627" i="4"/>
  <c r="J627" i="4"/>
  <c r="K627" i="4"/>
  <c r="H628" i="4"/>
  <c r="I628" i="4"/>
  <c r="J628" i="4"/>
  <c r="K628" i="4"/>
  <c r="H629" i="4"/>
  <c r="I629" i="4"/>
  <c r="J629" i="4"/>
  <c r="K629" i="4"/>
  <c r="H630" i="4"/>
  <c r="I630" i="4"/>
  <c r="J630" i="4"/>
  <c r="K630" i="4"/>
  <c r="H631" i="4"/>
  <c r="I631" i="4"/>
  <c r="J631" i="4"/>
  <c r="K631" i="4"/>
  <c r="H632" i="4"/>
  <c r="I632" i="4"/>
  <c r="J632" i="4"/>
  <c r="K632" i="4"/>
  <c r="H633" i="4"/>
  <c r="I633" i="4"/>
  <c r="J633" i="4"/>
  <c r="K633" i="4"/>
  <c r="H634" i="4"/>
  <c r="I634" i="4"/>
  <c r="J634" i="4"/>
  <c r="K634" i="4"/>
  <c r="H635" i="4"/>
  <c r="I635" i="4"/>
  <c r="J635" i="4"/>
  <c r="K635" i="4"/>
  <c r="H636" i="4"/>
  <c r="I636" i="4"/>
  <c r="J636" i="4"/>
  <c r="K636" i="4"/>
  <c r="H637" i="4"/>
  <c r="I637" i="4"/>
  <c r="J637" i="4"/>
  <c r="K637" i="4"/>
  <c r="H638" i="4"/>
  <c r="I638" i="4"/>
  <c r="J638" i="4"/>
  <c r="K638" i="4"/>
  <c r="H639" i="4"/>
  <c r="I639" i="4"/>
  <c r="J639" i="4"/>
  <c r="K639" i="4"/>
  <c r="H640" i="4"/>
  <c r="I640" i="4"/>
  <c r="J640" i="4"/>
  <c r="K640" i="4"/>
  <c r="H641" i="4"/>
  <c r="I641" i="4"/>
  <c r="J641" i="4"/>
  <c r="K641" i="4"/>
  <c r="H642" i="4"/>
  <c r="I642" i="4"/>
  <c r="J642" i="4"/>
  <c r="K642" i="4"/>
  <c r="H643" i="4"/>
  <c r="I643" i="4"/>
  <c r="J643" i="4"/>
  <c r="K643" i="4"/>
  <c r="H644" i="4"/>
  <c r="I644" i="4"/>
  <c r="J644" i="4"/>
  <c r="K644" i="4"/>
  <c r="H645" i="4"/>
  <c r="I645" i="4"/>
  <c r="J645" i="4"/>
  <c r="K645" i="4"/>
  <c r="H646" i="4"/>
  <c r="I646" i="4"/>
  <c r="J646" i="4"/>
  <c r="K646" i="4"/>
  <c r="H647" i="4"/>
  <c r="I647" i="4"/>
  <c r="J647" i="4"/>
  <c r="K647" i="4"/>
  <c r="H648" i="4"/>
  <c r="I648" i="4"/>
  <c r="J648" i="4"/>
  <c r="K648" i="4"/>
  <c r="H649" i="4"/>
  <c r="I649" i="4"/>
  <c r="J649" i="4"/>
  <c r="K649" i="4"/>
  <c r="H650" i="4"/>
  <c r="I650" i="4"/>
  <c r="J650" i="4"/>
  <c r="K650" i="4"/>
  <c r="H651" i="4"/>
  <c r="I651" i="4"/>
  <c r="J651" i="4"/>
  <c r="K651" i="4"/>
  <c r="H652" i="4"/>
  <c r="I652" i="4"/>
  <c r="J652" i="4"/>
  <c r="K652" i="4"/>
  <c r="H653" i="4"/>
  <c r="I653" i="4"/>
  <c r="J653" i="4"/>
  <c r="K653" i="4"/>
  <c r="H654" i="4"/>
  <c r="I654" i="4"/>
  <c r="J654" i="4"/>
  <c r="K654" i="4"/>
  <c r="H655" i="4"/>
  <c r="I655" i="4"/>
  <c r="J655" i="4"/>
  <c r="K655" i="4"/>
  <c r="H656" i="4"/>
  <c r="I656" i="4"/>
  <c r="J656" i="4"/>
  <c r="K656" i="4"/>
  <c r="H657" i="4"/>
  <c r="I657" i="4"/>
  <c r="J657" i="4"/>
  <c r="K657" i="4"/>
  <c r="H658" i="4"/>
  <c r="I658" i="4"/>
  <c r="J658" i="4"/>
  <c r="K658" i="4"/>
  <c r="H659" i="4"/>
  <c r="I659" i="4"/>
  <c r="J659" i="4"/>
  <c r="K659" i="4"/>
  <c r="H660" i="4"/>
  <c r="I660" i="4"/>
  <c r="J660" i="4"/>
  <c r="K660" i="4"/>
  <c r="H661" i="4"/>
  <c r="I661" i="4"/>
  <c r="J661" i="4"/>
  <c r="K661" i="4"/>
  <c r="H662" i="4"/>
  <c r="I662" i="4"/>
  <c r="J662" i="4"/>
  <c r="K662" i="4"/>
  <c r="H663" i="4"/>
  <c r="I663" i="4"/>
  <c r="J663" i="4"/>
  <c r="K663" i="4"/>
  <c r="H664" i="4"/>
  <c r="I664" i="4"/>
  <c r="J664" i="4"/>
  <c r="K664" i="4"/>
  <c r="H665" i="4"/>
  <c r="I665" i="4"/>
  <c r="J665" i="4"/>
  <c r="K665" i="4"/>
  <c r="H666" i="4"/>
  <c r="I666" i="4"/>
  <c r="J666" i="4"/>
  <c r="K666" i="4"/>
  <c r="H667" i="4"/>
  <c r="I667" i="4"/>
  <c r="J667" i="4"/>
  <c r="K667" i="4"/>
  <c r="H668" i="4"/>
  <c r="I668" i="4"/>
  <c r="J668" i="4"/>
  <c r="K668" i="4"/>
  <c r="H669" i="4"/>
  <c r="I669" i="4"/>
  <c r="J669" i="4"/>
  <c r="K669" i="4"/>
  <c r="H670" i="4"/>
  <c r="I670" i="4"/>
  <c r="J670" i="4"/>
  <c r="K670" i="4"/>
  <c r="H671" i="4"/>
  <c r="I671" i="4"/>
  <c r="J671" i="4"/>
  <c r="K671" i="4"/>
  <c r="H672" i="4"/>
  <c r="I672" i="4"/>
  <c r="J672" i="4"/>
  <c r="K672" i="4"/>
  <c r="H673" i="4"/>
  <c r="I673" i="4"/>
  <c r="J673" i="4"/>
  <c r="K673" i="4"/>
  <c r="H674" i="4"/>
  <c r="I674" i="4"/>
  <c r="J674" i="4"/>
  <c r="K674" i="4"/>
  <c r="H675" i="4"/>
  <c r="I675" i="4"/>
  <c r="J675" i="4"/>
  <c r="K675" i="4"/>
  <c r="H676" i="4"/>
  <c r="I676" i="4"/>
  <c r="J676" i="4"/>
  <c r="K676" i="4"/>
  <c r="H677" i="4"/>
  <c r="I677" i="4"/>
  <c r="J677" i="4"/>
  <c r="K677" i="4"/>
  <c r="H678" i="4"/>
  <c r="I678" i="4"/>
  <c r="J678" i="4"/>
  <c r="K678" i="4"/>
  <c r="H679" i="4"/>
  <c r="I679" i="4"/>
  <c r="J679" i="4"/>
  <c r="K679" i="4"/>
  <c r="H680" i="4"/>
  <c r="I680" i="4"/>
  <c r="J680" i="4"/>
  <c r="K680" i="4"/>
  <c r="H681" i="4"/>
  <c r="I681" i="4"/>
  <c r="J681" i="4"/>
  <c r="K681" i="4"/>
  <c r="H682" i="4"/>
  <c r="I682" i="4"/>
  <c r="J682" i="4"/>
  <c r="K682" i="4"/>
  <c r="H683" i="4"/>
  <c r="I683" i="4"/>
  <c r="J683" i="4"/>
  <c r="K683" i="4"/>
  <c r="H684" i="4"/>
  <c r="I684" i="4"/>
  <c r="J684" i="4"/>
  <c r="K684" i="4"/>
  <c r="H685" i="4"/>
  <c r="I685" i="4"/>
  <c r="J685" i="4"/>
  <c r="K685" i="4"/>
  <c r="H686" i="4"/>
  <c r="I686" i="4"/>
  <c r="J686" i="4"/>
  <c r="K686" i="4"/>
  <c r="H687" i="4"/>
  <c r="I687" i="4"/>
  <c r="J687" i="4"/>
  <c r="K687" i="4"/>
  <c r="H688" i="4"/>
  <c r="I688" i="4"/>
  <c r="J688" i="4"/>
  <c r="K688" i="4"/>
  <c r="H689" i="4"/>
  <c r="I689" i="4"/>
  <c r="J689" i="4"/>
  <c r="K689" i="4"/>
  <c r="H690" i="4"/>
  <c r="I690" i="4"/>
  <c r="J690" i="4"/>
  <c r="K690" i="4"/>
  <c r="H691" i="4"/>
  <c r="I691" i="4"/>
  <c r="J691" i="4"/>
  <c r="K691" i="4"/>
  <c r="H692" i="4"/>
  <c r="I692" i="4"/>
  <c r="J692" i="4"/>
  <c r="K692" i="4"/>
  <c r="H693" i="4"/>
  <c r="I693" i="4"/>
  <c r="J693" i="4"/>
  <c r="K693" i="4"/>
  <c r="H694" i="4"/>
  <c r="I694" i="4"/>
  <c r="J694" i="4"/>
  <c r="K694" i="4"/>
  <c r="H695" i="4"/>
  <c r="I695" i="4"/>
  <c r="J695" i="4"/>
  <c r="K695" i="4"/>
  <c r="H696" i="4"/>
  <c r="I696" i="4"/>
  <c r="J696" i="4"/>
  <c r="K696" i="4"/>
  <c r="H697" i="4"/>
  <c r="I697" i="4"/>
  <c r="J697" i="4"/>
  <c r="K697" i="4"/>
  <c r="H698" i="4"/>
  <c r="I698" i="4"/>
  <c r="J698" i="4"/>
  <c r="K698" i="4"/>
  <c r="H699" i="4"/>
  <c r="I699" i="4"/>
  <c r="J699" i="4"/>
  <c r="K699" i="4"/>
  <c r="H700" i="4"/>
  <c r="I700" i="4"/>
  <c r="J700" i="4"/>
  <c r="K700" i="4"/>
  <c r="H701" i="4"/>
  <c r="I701" i="4"/>
  <c r="J701" i="4"/>
  <c r="K701" i="4"/>
  <c r="H702" i="4"/>
  <c r="I702" i="4"/>
  <c r="J702" i="4"/>
  <c r="K702" i="4"/>
  <c r="H703" i="4"/>
  <c r="I703" i="4"/>
  <c r="J703" i="4"/>
  <c r="K703" i="4"/>
  <c r="H704" i="4"/>
  <c r="I704" i="4"/>
  <c r="J704" i="4"/>
  <c r="K704" i="4"/>
  <c r="H705" i="4"/>
  <c r="I705" i="4"/>
  <c r="J705" i="4"/>
  <c r="K705" i="4"/>
  <c r="H706" i="4"/>
  <c r="I706" i="4"/>
  <c r="J706" i="4"/>
  <c r="K706" i="4"/>
  <c r="H707" i="4"/>
  <c r="I707" i="4"/>
  <c r="J707" i="4"/>
  <c r="K707" i="4"/>
  <c r="H708" i="4"/>
  <c r="I708" i="4"/>
  <c r="J708" i="4"/>
  <c r="K708" i="4"/>
  <c r="H709" i="4"/>
  <c r="I709" i="4"/>
  <c r="J709" i="4"/>
  <c r="K709" i="4"/>
  <c r="H710" i="4"/>
  <c r="I710" i="4"/>
  <c r="J710" i="4"/>
  <c r="K710" i="4"/>
  <c r="H711" i="4"/>
  <c r="I711" i="4"/>
  <c r="J711" i="4"/>
  <c r="K711" i="4"/>
  <c r="H712" i="4"/>
  <c r="I712" i="4"/>
  <c r="J712" i="4"/>
  <c r="K712" i="4"/>
  <c r="H713" i="4"/>
  <c r="I713" i="4"/>
  <c r="J713" i="4"/>
  <c r="K713" i="4"/>
  <c r="H714" i="4"/>
  <c r="I714" i="4"/>
  <c r="J714" i="4"/>
  <c r="K714" i="4"/>
  <c r="H715" i="4"/>
  <c r="I715" i="4"/>
  <c r="J715" i="4"/>
  <c r="K715" i="4"/>
  <c r="H716" i="4"/>
  <c r="I716" i="4"/>
  <c r="J716" i="4"/>
  <c r="K716" i="4"/>
  <c r="H717" i="4"/>
  <c r="I717" i="4"/>
  <c r="J717" i="4"/>
  <c r="K717" i="4"/>
  <c r="H718" i="4"/>
  <c r="I718" i="4"/>
  <c r="J718" i="4"/>
  <c r="K718" i="4"/>
  <c r="H719" i="4"/>
  <c r="I719" i="4"/>
  <c r="J719" i="4"/>
  <c r="K719" i="4"/>
  <c r="H720" i="4"/>
  <c r="I720" i="4"/>
  <c r="J720" i="4"/>
  <c r="K720" i="4"/>
  <c r="H721" i="4"/>
  <c r="I721" i="4"/>
  <c r="J721" i="4"/>
  <c r="K721" i="4"/>
  <c r="H722" i="4"/>
  <c r="I722" i="4"/>
  <c r="J722" i="4"/>
  <c r="K722" i="4"/>
  <c r="H723" i="4"/>
  <c r="I723" i="4"/>
  <c r="J723" i="4"/>
  <c r="K723" i="4"/>
  <c r="H724" i="4"/>
  <c r="I724" i="4"/>
  <c r="J724" i="4"/>
  <c r="K724" i="4"/>
  <c r="H725" i="4"/>
  <c r="I725" i="4"/>
  <c r="J725" i="4"/>
  <c r="K725" i="4"/>
  <c r="H726" i="4"/>
  <c r="I726" i="4"/>
  <c r="J726" i="4"/>
  <c r="K726" i="4"/>
  <c r="H727" i="4"/>
  <c r="I727" i="4"/>
  <c r="J727" i="4"/>
  <c r="K727" i="4"/>
  <c r="H728" i="4"/>
  <c r="I728" i="4"/>
  <c r="J728" i="4"/>
  <c r="K728" i="4"/>
  <c r="H729" i="4"/>
  <c r="I729" i="4"/>
  <c r="J729" i="4"/>
  <c r="K729" i="4"/>
  <c r="H730" i="4"/>
  <c r="I730" i="4"/>
  <c r="J730" i="4"/>
  <c r="K730" i="4"/>
  <c r="H731" i="4"/>
  <c r="I731" i="4"/>
  <c r="J731" i="4"/>
  <c r="K731" i="4"/>
  <c r="H732" i="4"/>
  <c r="I732" i="4"/>
  <c r="J732" i="4"/>
  <c r="K732" i="4"/>
  <c r="H733" i="4"/>
  <c r="I733" i="4"/>
  <c r="J733" i="4"/>
  <c r="K733" i="4"/>
  <c r="H734" i="4"/>
  <c r="I734" i="4"/>
  <c r="J734" i="4"/>
  <c r="K734" i="4"/>
  <c r="H735" i="4"/>
  <c r="I735" i="4"/>
  <c r="J735" i="4"/>
  <c r="K735" i="4"/>
  <c r="H736" i="4"/>
  <c r="I736" i="4"/>
  <c r="J736" i="4"/>
  <c r="K736" i="4"/>
  <c r="H737" i="4"/>
  <c r="I737" i="4"/>
  <c r="J737" i="4"/>
  <c r="K737" i="4"/>
  <c r="H738" i="4"/>
  <c r="I738" i="4"/>
  <c r="J738" i="4"/>
  <c r="K738" i="4"/>
  <c r="H739" i="4"/>
  <c r="I739" i="4"/>
  <c r="J739" i="4"/>
  <c r="K739" i="4"/>
  <c r="H740" i="4"/>
  <c r="I740" i="4"/>
  <c r="J740" i="4"/>
  <c r="K740" i="4"/>
  <c r="H741" i="4"/>
  <c r="I741" i="4"/>
  <c r="J741" i="4"/>
  <c r="K741" i="4"/>
  <c r="H742" i="4"/>
  <c r="I742" i="4"/>
  <c r="J742" i="4"/>
  <c r="K742" i="4"/>
  <c r="H743" i="4"/>
  <c r="I743" i="4"/>
  <c r="J743" i="4"/>
  <c r="K743" i="4"/>
  <c r="H744" i="4"/>
  <c r="I744" i="4"/>
  <c r="J744" i="4"/>
  <c r="K744" i="4"/>
  <c r="H745" i="4"/>
  <c r="I745" i="4"/>
  <c r="J745" i="4"/>
  <c r="K745" i="4"/>
  <c r="H746" i="4"/>
  <c r="I746" i="4"/>
  <c r="J746" i="4"/>
  <c r="K746" i="4"/>
  <c r="H747" i="4"/>
  <c r="I747" i="4"/>
  <c r="J747" i="4"/>
  <c r="K747" i="4"/>
  <c r="H748" i="4"/>
  <c r="I748" i="4"/>
  <c r="J748" i="4"/>
  <c r="K748" i="4"/>
  <c r="H749" i="4"/>
  <c r="I749" i="4"/>
  <c r="J749" i="4"/>
  <c r="K749" i="4"/>
  <c r="H750" i="4"/>
  <c r="I750" i="4"/>
  <c r="J750" i="4"/>
  <c r="K750" i="4"/>
  <c r="H751" i="4"/>
  <c r="I751" i="4"/>
  <c r="J751" i="4"/>
  <c r="K751" i="4"/>
  <c r="H752" i="4"/>
  <c r="I752" i="4"/>
  <c r="J752" i="4"/>
  <c r="K752" i="4"/>
  <c r="H753" i="4"/>
  <c r="I753" i="4"/>
  <c r="J753" i="4"/>
  <c r="K753" i="4"/>
  <c r="H754" i="4"/>
  <c r="I754" i="4"/>
  <c r="J754" i="4"/>
  <c r="K754" i="4"/>
  <c r="H755" i="4"/>
  <c r="I755" i="4"/>
  <c r="J755" i="4"/>
  <c r="K755" i="4"/>
  <c r="H756" i="4"/>
  <c r="I756" i="4"/>
  <c r="J756" i="4"/>
  <c r="K756" i="4"/>
  <c r="H757" i="4"/>
  <c r="I757" i="4"/>
  <c r="J757" i="4"/>
  <c r="K757" i="4"/>
  <c r="H758" i="4"/>
  <c r="I758" i="4"/>
  <c r="J758" i="4"/>
  <c r="K758" i="4"/>
  <c r="H759" i="4"/>
  <c r="I759" i="4"/>
  <c r="J759" i="4"/>
  <c r="K759" i="4"/>
  <c r="H760" i="4"/>
  <c r="I760" i="4"/>
  <c r="J760" i="4"/>
  <c r="K760" i="4"/>
  <c r="H761" i="4"/>
  <c r="I761" i="4"/>
  <c r="J761" i="4"/>
  <c r="K761" i="4"/>
  <c r="H762" i="4"/>
  <c r="I762" i="4"/>
  <c r="J762" i="4"/>
  <c r="K762" i="4"/>
  <c r="H763" i="4"/>
  <c r="I763" i="4"/>
  <c r="J763" i="4"/>
  <c r="K763" i="4"/>
  <c r="H764" i="4"/>
  <c r="I764" i="4"/>
  <c r="J764" i="4"/>
  <c r="K764" i="4"/>
  <c r="H765" i="4"/>
  <c r="I765" i="4"/>
  <c r="J765" i="4"/>
  <c r="K765" i="4"/>
  <c r="H766" i="4"/>
  <c r="I766" i="4"/>
  <c r="J766" i="4"/>
  <c r="K766" i="4"/>
  <c r="H767" i="4"/>
  <c r="I767" i="4"/>
  <c r="J767" i="4"/>
  <c r="K767" i="4"/>
  <c r="H768" i="4"/>
  <c r="I768" i="4"/>
  <c r="J768" i="4"/>
  <c r="K768" i="4"/>
  <c r="H769" i="4"/>
  <c r="I769" i="4"/>
  <c r="J769" i="4"/>
  <c r="K769" i="4"/>
  <c r="H770" i="4"/>
  <c r="I770" i="4"/>
  <c r="J770" i="4"/>
  <c r="K770" i="4"/>
  <c r="H771" i="4"/>
  <c r="I771" i="4"/>
  <c r="J771" i="4"/>
  <c r="K771" i="4"/>
  <c r="H772" i="4"/>
  <c r="I772" i="4"/>
  <c r="J772" i="4"/>
  <c r="K772" i="4"/>
  <c r="H773" i="4"/>
  <c r="I773" i="4"/>
  <c r="J773" i="4"/>
  <c r="K773" i="4"/>
  <c r="H774" i="4"/>
  <c r="I774" i="4"/>
  <c r="J774" i="4"/>
  <c r="K774" i="4"/>
  <c r="H775" i="4"/>
  <c r="I775" i="4"/>
  <c r="J775" i="4"/>
  <c r="K775" i="4"/>
  <c r="H776" i="4"/>
  <c r="I776" i="4"/>
  <c r="J776" i="4"/>
  <c r="K776" i="4"/>
  <c r="H777" i="4"/>
  <c r="I777" i="4"/>
  <c r="J777" i="4"/>
  <c r="K777" i="4"/>
  <c r="H778" i="4"/>
  <c r="I778" i="4"/>
  <c r="J778" i="4"/>
  <c r="K778" i="4"/>
  <c r="H779" i="4"/>
  <c r="I779" i="4"/>
  <c r="J779" i="4"/>
  <c r="K779" i="4"/>
  <c r="H780" i="4"/>
  <c r="I780" i="4"/>
  <c r="J780" i="4"/>
  <c r="K780" i="4"/>
  <c r="H781" i="4"/>
  <c r="I781" i="4"/>
  <c r="J781" i="4"/>
  <c r="K781" i="4"/>
  <c r="H782" i="4"/>
  <c r="I782" i="4"/>
  <c r="J782" i="4"/>
  <c r="K782" i="4"/>
  <c r="H783" i="4"/>
  <c r="I783" i="4"/>
  <c r="J783" i="4"/>
  <c r="K783" i="4"/>
  <c r="H784" i="4"/>
  <c r="I784" i="4"/>
  <c r="J784" i="4"/>
  <c r="K784" i="4"/>
  <c r="H785" i="4"/>
  <c r="I785" i="4"/>
  <c r="J785" i="4"/>
  <c r="K785" i="4"/>
  <c r="H786" i="4"/>
  <c r="I786" i="4"/>
  <c r="J786" i="4"/>
  <c r="K786" i="4"/>
  <c r="H787" i="4"/>
  <c r="I787" i="4"/>
  <c r="J787" i="4"/>
  <c r="K787" i="4"/>
  <c r="H788" i="4"/>
  <c r="I788" i="4"/>
  <c r="J788" i="4"/>
  <c r="K788" i="4"/>
  <c r="H789" i="4"/>
  <c r="I789" i="4"/>
  <c r="J789" i="4"/>
  <c r="K789" i="4"/>
  <c r="H790" i="4"/>
  <c r="I790" i="4"/>
  <c r="J790" i="4"/>
  <c r="K790" i="4"/>
  <c r="H791" i="4"/>
  <c r="I791" i="4"/>
  <c r="J791" i="4"/>
  <c r="K791" i="4"/>
  <c r="H792" i="4"/>
  <c r="I792" i="4"/>
  <c r="J792" i="4"/>
  <c r="K792" i="4"/>
  <c r="H793" i="4"/>
  <c r="I793" i="4"/>
  <c r="J793" i="4"/>
  <c r="K793" i="4"/>
  <c r="H794" i="4"/>
  <c r="I794" i="4"/>
  <c r="J794" i="4"/>
  <c r="K794" i="4"/>
  <c r="H795" i="4"/>
  <c r="I795" i="4"/>
  <c r="J795" i="4"/>
  <c r="K795" i="4"/>
  <c r="H796" i="4"/>
  <c r="I796" i="4"/>
  <c r="J796" i="4"/>
  <c r="K796" i="4"/>
  <c r="H797" i="4"/>
  <c r="I797" i="4"/>
  <c r="J797" i="4"/>
  <c r="K797" i="4"/>
  <c r="H798" i="4"/>
  <c r="I798" i="4"/>
  <c r="J798" i="4"/>
  <c r="K798" i="4"/>
  <c r="H799" i="4"/>
  <c r="I799" i="4"/>
  <c r="J799" i="4"/>
  <c r="K799" i="4"/>
  <c r="H800" i="4"/>
  <c r="I800" i="4"/>
  <c r="J800" i="4"/>
  <c r="K800" i="4"/>
  <c r="H801" i="4"/>
  <c r="I801" i="4"/>
  <c r="J801" i="4"/>
  <c r="K801" i="4"/>
  <c r="H802" i="4"/>
  <c r="I802" i="4"/>
  <c r="J802" i="4"/>
  <c r="K802" i="4"/>
  <c r="H803" i="4"/>
  <c r="I803" i="4"/>
  <c r="J803" i="4"/>
  <c r="K803" i="4"/>
  <c r="H804" i="4"/>
  <c r="I804" i="4"/>
  <c r="J804" i="4"/>
  <c r="K804" i="4"/>
  <c r="H805" i="4"/>
  <c r="I805" i="4"/>
  <c r="J805" i="4"/>
  <c r="K805" i="4"/>
  <c r="H806" i="4"/>
  <c r="I806" i="4"/>
  <c r="J806" i="4"/>
  <c r="K806" i="4"/>
  <c r="H807" i="4"/>
  <c r="I807" i="4"/>
  <c r="J807" i="4"/>
  <c r="K807" i="4"/>
  <c r="H808" i="4"/>
  <c r="I808" i="4"/>
  <c r="J808" i="4"/>
  <c r="K808" i="4"/>
  <c r="H809" i="4"/>
  <c r="I809" i="4"/>
  <c r="J809" i="4"/>
  <c r="K809" i="4"/>
  <c r="H810" i="4"/>
  <c r="I810" i="4"/>
  <c r="J810" i="4"/>
  <c r="K810" i="4"/>
  <c r="H811" i="4"/>
  <c r="I811" i="4"/>
  <c r="J811" i="4"/>
  <c r="K811" i="4"/>
  <c r="H812" i="4"/>
  <c r="I812" i="4"/>
  <c r="J812" i="4"/>
  <c r="K812" i="4"/>
  <c r="H813" i="4"/>
  <c r="I813" i="4"/>
  <c r="J813" i="4"/>
  <c r="K813" i="4"/>
  <c r="H814" i="4"/>
  <c r="I814" i="4"/>
  <c r="J814" i="4"/>
  <c r="K814" i="4"/>
  <c r="H815" i="4"/>
  <c r="I815" i="4"/>
  <c r="J815" i="4"/>
  <c r="K815" i="4"/>
  <c r="H816" i="4"/>
  <c r="I816" i="4"/>
  <c r="J816" i="4"/>
  <c r="K816" i="4"/>
  <c r="H817" i="4"/>
  <c r="I817" i="4"/>
  <c r="J817" i="4"/>
  <c r="K817" i="4"/>
  <c r="H818" i="4"/>
  <c r="I818" i="4"/>
  <c r="J818" i="4"/>
  <c r="K818" i="4"/>
  <c r="H819" i="4"/>
  <c r="I819" i="4"/>
  <c r="J819" i="4"/>
  <c r="K819" i="4"/>
  <c r="H820" i="4"/>
  <c r="I820" i="4"/>
  <c r="J820" i="4"/>
  <c r="K820" i="4"/>
  <c r="H821" i="4"/>
  <c r="I821" i="4"/>
  <c r="J821" i="4"/>
  <c r="K821" i="4"/>
  <c r="H822" i="4"/>
  <c r="I822" i="4"/>
  <c r="J822" i="4"/>
  <c r="K822" i="4"/>
  <c r="H823" i="4"/>
  <c r="I823" i="4"/>
  <c r="J823" i="4"/>
  <c r="K823" i="4"/>
  <c r="H824" i="4"/>
  <c r="I824" i="4"/>
  <c r="J824" i="4"/>
  <c r="K824" i="4"/>
  <c r="H825" i="4"/>
  <c r="I825" i="4"/>
  <c r="J825" i="4"/>
  <c r="K825" i="4"/>
  <c r="H826" i="4"/>
  <c r="I826" i="4"/>
  <c r="J826" i="4"/>
  <c r="K826" i="4"/>
  <c r="H827" i="4"/>
  <c r="I827" i="4"/>
  <c r="J827" i="4"/>
  <c r="K827" i="4"/>
  <c r="H828" i="4"/>
  <c r="I828" i="4"/>
  <c r="J828" i="4"/>
  <c r="K828" i="4"/>
  <c r="H829" i="4"/>
  <c r="I829" i="4"/>
  <c r="J829" i="4"/>
  <c r="K829" i="4"/>
  <c r="H830" i="4"/>
  <c r="I830" i="4"/>
  <c r="J830" i="4"/>
  <c r="K830" i="4"/>
  <c r="H831" i="4"/>
  <c r="I831" i="4"/>
  <c r="J831" i="4"/>
  <c r="K831" i="4"/>
  <c r="H832" i="4"/>
  <c r="I832" i="4"/>
  <c r="J832" i="4"/>
  <c r="K832" i="4"/>
  <c r="H833" i="4"/>
  <c r="I833" i="4"/>
  <c r="J833" i="4"/>
  <c r="K833" i="4"/>
  <c r="H834" i="4"/>
  <c r="I834" i="4"/>
  <c r="J834" i="4"/>
  <c r="K834" i="4"/>
  <c r="H835" i="4"/>
  <c r="I835" i="4"/>
  <c r="J835" i="4"/>
  <c r="K835" i="4"/>
  <c r="H836" i="4"/>
  <c r="I836" i="4"/>
  <c r="J836" i="4"/>
  <c r="K836" i="4"/>
  <c r="H837" i="4"/>
  <c r="I837" i="4"/>
  <c r="J837" i="4"/>
  <c r="K837" i="4"/>
  <c r="H838" i="4"/>
  <c r="I838" i="4"/>
  <c r="J838" i="4"/>
  <c r="K838" i="4"/>
  <c r="H839" i="4"/>
  <c r="I839" i="4"/>
  <c r="J839" i="4"/>
  <c r="K839" i="4"/>
  <c r="H840" i="4"/>
  <c r="I840" i="4"/>
  <c r="J840" i="4"/>
  <c r="K840" i="4"/>
  <c r="H841" i="4"/>
  <c r="I841" i="4"/>
  <c r="J841" i="4"/>
  <c r="K841" i="4"/>
  <c r="H842" i="4"/>
  <c r="I842" i="4"/>
  <c r="J842" i="4"/>
  <c r="K842" i="4"/>
  <c r="H843" i="4"/>
  <c r="I843" i="4"/>
  <c r="J843" i="4"/>
  <c r="K843" i="4"/>
  <c r="H844" i="4"/>
  <c r="I844" i="4"/>
  <c r="J844" i="4"/>
  <c r="K844" i="4"/>
  <c r="H845" i="4"/>
  <c r="I845" i="4"/>
  <c r="J845" i="4"/>
  <c r="K845" i="4"/>
  <c r="H846" i="4"/>
  <c r="I846" i="4"/>
  <c r="J846" i="4"/>
  <c r="K846" i="4"/>
  <c r="H847" i="4"/>
  <c r="I847" i="4"/>
  <c r="J847" i="4"/>
  <c r="K847" i="4"/>
  <c r="H848" i="4"/>
  <c r="I848" i="4"/>
  <c r="J848" i="4"/>
  <c r="K848" i="4"/>
  <c r="H849" i="4"/>
  <c r="I849" i="4"/>
  <c r="J849" i="4"/>
  <c r="K849" i="4"/>
  <c r="H850" i="4"/>
  <c r="I850" i="4"/>
  <c r="J850" i="4"/>
  <c r="K850" i="4"/>
  <c r="H851" i="4"/>
  <c r="I851" i="4"/>
  <c r="J851" i="4"/>
  <c r="K851" i="4"/>
  <c r="H852" i="4"/>
  <c r="I852" i="4"/>
  <c r="J852" i="4"/>
  <c r="K852" i="4"/>
  <c r="H853" i="4"/>
  <c r="I853" i="4"/>
  <c r="J853" i="4"/>
  <c r="K853" i="4"/>
  <c r="H854" i="4"/>
  <c r="I854" i="4"/>
  <c r="J854" i="4"/>
  <c r="K854" i="4"/>
  <c r="H855" i="4"/>
  <c r="I855" i="4"/>
  <c r="J855" i="4"/>
  <c r="K855" i="4"/>
  <c r="H856" i="4"/>
  <c r="I856" i="4"/>
  <c r="J856" i="4"/>
  <c r="K856" i="4"/>
  <c r="H857" i="4"/>
  <c r="I857" i="4"/>
  <c r="J857" i="4"/>
  <c r="K857" i="4"/>
  <c r="H858" i="4"/>
  <c r="I858" i="4"/>
  <c r="J858" i="4"/>
  <c r="K858" i="4"/>
  <c r="H859" i="4"/>
  <c r="I859" i="4"/>
  <c r="J859" i="4"/>
  <c r="K859" i="4"/>
  <c r="H860" i="4"/>
  <c r="I860" i="4"/>
  <c r="J860" i="4"/>
  <c r="K860" i="4"/>
  <c r="H861" i="4"/>
  <c r="I861" i="4"/>
  <c r="J861" i="4"/>
  <c r="K861" i="4"/>
  <c r="H862" i="4"/>
  <c r="I862" i="4"/>
  <c r="J862" i="4"/>
  <c r="K862" i="4"/>
  <c r="H863" i="4"/>
  <c r="I863" i="4"/>
  <c r="J863" i="4"/>
  <c r="K863" i="4"/>
  <c r="H864" i="4"/>
  <c r="I864" i="4"/>
  <c r="J864" i="4"/>
  <c r="K864" i="4"/>
  <c r="H865" i="4"/>
  <c r="I865" i="4"/>
  <c r="J865" i="4"/>
  <c r="K865" i="4"/>
  <c r="H866" i="4"/>
  <c r="I866" i="4"/>
  <c r="J866" i="4"/>
  <c r="K866" i="4"/>
  <c r="H867" i="4"/>
  <c r="I867" i="4"/>
  <c r="J867" i="4"/>
  <c r="K867" i="4"/>
  <c r="H868" i="4"/>
  <c r="I868" i="4"/>
  <c r="J868" i="4"/>
  <c r="K868" i="4"/>
  <c r="H869" i="4"/>
  <c r="I869" i="4"/>
  <c r="J869" i="4"/>
  <c r="K869" i="4"/>
  <c r="H870" i="4"/>
  <c r="I870" i="4"/>
  <c r="J870" i="4"/>
  <c r="K870" i="4"/>
  <c r="H871" i="4"/>
  <c r="I871" i="4"/>
  <c r="J871" i="4"/>
  <c r="K871" i="4"/>
  <c r="H872" i="4"/>
  <c r="I872" i="4"/>
  <c r="J872" i="4"/>
  <c r="K872" i="4"/>
  <c r="H873" i="4"/>
  <c r="I873" i="4"/>
  <c r="J873" i="4"/>
  <c r="K873" i="4"/>
  <c r="H874" i="4"/>
  <c r="I874" i="4"/>
  <c r="J874" i="4"/>
  <c r="K874" i="4"/>
  <c r="H875" i="4"/>
  <c r="I875" i="4"/>
  <c r="J875" i="4"/>
  <c r="K875" i="4"/>
  <c r="H876" i="4"/>
  <c r="I876" i="4"/>
  <c r="J876" i="4"/>
  <c r="K876" i="4"/>
  <c r="H877" i="4"/>
  <c r="I877" i="4"/>
  <c r="J877" i="4"/>
  <c r="K877" i="4"/>
  <c r="H878" i="4"/>
  <c r="I878" i="4"/>
  <c r="J878" i="4"/>
  <c r="K878" i="4"/>
  <c r="H879" i="4"/>
  <c r="I879" i="4"/>
  <c r="J879" i="4"/>
  <c r="K879" i="4"/>
  <c r="H880" i="4"/>
  <c r="I880" i="4"/>
  <c r="J880" i="4"/>
  <c r="K880" i="4"/>
  <c r="H881" i="4"/>
  <c r="I881" i="4"/>
  <c r="J881" i="4"/>
  <c r="K881" i="4"/>
  <c r="H882" i="4"/>
  <c r="I882" i="4"/>
  <c r="J882" i="4"/>
  <c r="K882" i="4"/>
  <c r="H883" i="4"/>
  <c r="I883" i="4"/>
  <c r="J883" i="4"/>
  <c r="K883" i="4"/>
  <c r="H884" i="4"/>
  <c r="I884" i="4"/>
  <c r="J884" i="4"/>
  <c r="K884" i="4"/>
  <c r="H885" i="4"/>
  <c r="I885" i="4"/>
  <c r="J885" i="4"/>
  <c r="K885" i="4"/>
  <c r="H886" i="4"/>
  <c r="I886" i="4"/>
  <c r="J886" i="4"/>
  <c r="K886" i="4"/>
  <c r="H887" i="4"/>
  <c r="I887" i="4"/>
  <c r="J887" i="4"/>
  <c r="K887" i="4"/>
  <c r="H888" i="4"/>
  <c r="I888" i="4"/>
  <c r="J888" i="4"/>
  <c r="K888" i="4"/>
  <c r="H889" i="4"/>
  <c r="I889" i="4"/>
  <c r="J889" i="4"/>
  <c r="K889" i="4"/>
  <c r="H890" i="4"/>
  <c r="I890" i="4"/>
  <c r="J890" i="4"/>
  <c r="K890" i="4"/>
  <c r="H891" i="4"/>
  <c r="I891" i="4"/>
  <c r="J891" i="4"/>
  <c r="K891" i="4"/>
  <c r="H892" i="4"/>
  <c r="I892" i="4"/>
  <c r="J892" i="4"/>
  <c r="K892" i="4"/>
  <c r="H893" i="4"/>
  <c r="I893" i="4"/>
  <c r="J893" i="4"/>
  <c r="K893" i="4"/>
  <c r="H894" i="4"/>
  <c r="I894" i="4"/>
  <c r="J894" i="4"/>
  <c r="K894" i="4"/>
  <c r="H895" i="4"/>
  <c r="I895" i="4"/>
  <c r="J895" i="4"/>
  <c r="K895" i="4"/>
  <c r="H896" i="4"/>
  <c r="I896" i="4"/>
  <c r="J896" i="4"/>
  <c r="K896" i="4"/>
  <c r="H897" i="4"/>
  <c r="I897" i="4"/>
  <c r="J897" i="4"/>
  <c r="K897" i="4"/>
  <c r="H898" i="4"/>
  <c r="I898" i="4"/>
  <c r="J898" i="4"/>
  <c r="K898" i="4"/>
  <c r="H899" i="4"/>
  <c r="I899" i="4"/>
  <c r="J899" i="4"/>
  <c r="K899" i="4"/>
  <c r="H900" i="4"/>
  <c r="I900" i="4"/>
  <c r="J900" i="4"/>
  <c r="K900" i="4"/>
  <c r="H901" i="4"/>
  <c r="I901" i="4"/>
  <c r="J901" i="4"/>
  <c r="K901" i="4"/>
  <c r="H902" i="4"/>
  <c r="I902" i="4"/>
  <c r="J902" i="4"/>
  <c r="K902" i="4"/>
  <c r="H903" i="4"/>
  <c r="I903" i="4"/>
  <c r="J903" i="4"/>
  <c r="K903" i="4"/>
  <c r="H904" i="4"/>
  <c r="I904" i="4"/>
  <c r="J904" i="4"/>
  <c r="K904" i="4"/>
  <c r="H905" i="4"/>
  <c r="I905" i="4"/>
  <c r="J905" i="4"/>
  <c r="K905" i="4"/>
  <c r="H906" i="4"/>
  <c r="I906" i="4"/>
  <c r="J906" i="4"/>
  <c r="K906" i="4"/>
  <c r="H907" i="4"/>
  <c r="I907" i="4"/>
  <c r="J907" i="4"/>
  <c r="K907" i="4"/>
  <c r="H908" i="4"/>
  <c r="I908" i="4"/>
  <c r="J908" i="4"/>
  <c r="K908" i="4"/>
  <c r="H909" i="4"/>
  <c r="I909" i="4"/>
  <c r="J909" i="4"/>
  <c r="K909" i="4"/>
  <c r="H910" i="4"/>
  <c r="I910" i="4"/>
  <c r="J910" i="4"/>
  <c r="K910" i="4"/>
  <c r="H911" i="4"/>
  <c r="I911" i="4"/>
  <c r="J911" i="4"/>
  <c r="K911" i="4"/>
  <c r="H912" i="4"/>
  <c r="I912" i="4"/>
  <c r="J912" i="4"/>
  <c r="K912" i="4"/>
  <c r="H913" i="4"/>
  <c r="I913" i="4"/>
  <c r="J913" i="4"/>
  <c r="K913" i="4"/>
  <c r="H914" i="4"/>
  <c r="I914" i="4"/>
  <c r="J914" i="4"/>
  <c r="K914" i="4"/>
  <c r="H915" i="4"/>
  <c r="I915" i="4"/>
  <c r="J915" i="4"/>
  <c r="K915" i="4"/>
  <c r="H916" i="4"/>
  <c r="I916" i="4"/>
  <c r="J916" i="4"/>
  <c r="K916" i="4"/>
  <c r="H917" i="4"/>
  <c r="I917" i="4"/>
  <c r="J917" i="4"/>
  <c r="K917" i="4"/>
  <c r="H918" i="4"/>
  <c r="I918" i="4"/>
  <c r="J918" i="4"/>
  <c r="K918" i="4"/>
  <c r="H919" i="4"/>
  <c r="I919" i="4"/>
  <c r="J919" i="4"/>
  <c r="K919" i="4"/>
  <c r="H920" i="4"/>
  <c r="I920" i="4"/>
  <c r="J920" i="4"/>
  <c r="K920" i="4"/>
  <c r="H921" i="4"/>
  <c r="I921" i="4"/>
  <c r="J921" i="4"/>
  <c r="K921" i="4"/>
  <c r="H922" i="4"/>
  <c r="I922" i="4"/>
  <c r="J922" i="4"/>
  <c r="K922" i="4"/>
  <c r="H923" i="4"/>
  <c r="I923" i="4"/>
  <c r="J923" i="4"/>
  <c r="K923" i="4"/>
  <c r="H924" i="4"/>
  <c r="I924" i="4"/>
  <c r="J924" i="4"/>
  <c r="K924" i="4"/>
  <c r="H925" i="4"/>
  <c r="I925" i="4"/>
  <c r="J925" i="4"/>
  <c r="K925" i="4"/>
  <c r="H926" i="4"/>
  <c r="I926" i="4"/>
  <c r="J926" i="4"/>
  <c r="K926" i="4"/>
  <c r="H927" i="4"/>
  <c r="I927" i="4"/>
  <c r="J927" i="4"/>
  <c r="K927" i="4"/>
  <c r="H928" i="4"/>
  <c r="I928" i="4"/>
  <c r="J928" i="4"/>
  <c r="K928" i="4"/>
  <c r="H929" i="4"/>
  <c r="I929" i="4"/>
  <c r="J929" i="4"/>
  <c r="K929" i="4"/>
  <c r="H930" i="4"/>
  <c r="I930" i="4"/>
  <c r="J930" i="4"/>
  <c r="K930" i="4"/>
  <c r="H931" i="4"/>
  <c r="I931" i="4"/>
  <c r="J931" i="4"/>
  <c r="K931" i="4"/>
  <c r="H932" i="4"/>
  <c r="I932" i="4"/>
  <c r="J932" i="4"/>
  <c r="K932" i="4"/>
  <c r="H933" i="4"/>
  <c r="I933" i="4"/>
  <c r="J933" i="4"/>
  <c r="K933" i="4"/>
  <c r="H934" i="4"/>
  <c r="I934" i="4"/>
  <c r="J934" i="4"/>
  <c r="K934" i="4"/>
  <c r="H935" i="4"/>
  <c r="I935" i="4"/>
  <c r="J935" i="4"/>
  <c r="K935" i="4"/>
  <c r="H936" i="4"/>
  <c r="I936" i="4"/>
  <c r="J936" i="4"/>
  <c r="K936" i="4"/>
  <c r="H937" i="4"/>
  <c r="I937" i="4"/>
  <c r="J937" i="4"/>
  <c r="K937" i="4"/>
  <c r="H938" i="4"/>
  <c r="I938" i="4"/>
  <c r="J938" i="4"/>
  <c r="K938" i="4"/>
  <c r="H939" i="4"/>
  <c r="I939" i="4"/>
  <c r="J939" i="4"/>
  <c r="K939" i="4"/>
  <c r="H940" i="4"/>
  <c r="I940" i="4"/>
  <c r="J940" i="4"/>
  <c r="K940" i="4"/>
  <c r="H941" i="4"/>
  <c r="I941" i="4"/>
  <c r="J941" i="4"/>
  <c r="K941" i="4"/>
  <c r="H942" i="4"/>
  <c r="I942" i="4"/>
  <c r="J942" i="4"/>
  <c r="K942" i="4"/>
  <c r="H943" i="4"/>
  <c r="I943" i="4"/>
  <c r="J943" i="4"/>
  <c r="K943" i="4"/>
  <c r="H944" i="4"/>
  <c r="I944" i="4"/>
  <c r="J944" i="4"/>
  <c r="K944" i="4"/>
  <c r="H945" i="4"/>
  <c r="I945" i="4"/>
  <c r="J945" i="4"/>
  <c r="K945" i="4"/>
  <c r="H946" i="4"/>
  <c r="I946" i="4"/>
  <c r="J946" i="4"/>
  <c r="K946" i="4"/>
  <c r="H947" i="4"/>
  <c r="I947" i="4"/>
  <c r="J947" i="4"/>
  <c r="K947" i="4"/>
  <c r="H948" i="4"/>
  <c r="I948" i="4"/>
  <c r="J948" i="4"/>
  <c r="K948" i="4"/>
  <c r="H949" i="4"/>
  <c r="I949" i="4"/>
  <c r="J949" i="4"/>
  <c r="K949" i="4"/>
  <c r="H950" i="4"/>
  <c r="I950" i="4"/>
  <c r="J950" i="4"/>
  <c r="K950" i="4"/>
  <c r="H951" i="4"/>
  <c r="I951" i="4"/>
  <c r="J951" i="4"/>
  <c r="K951" i="4"/>
  <c r="H952" i="4"/>
  <c r="I952" i="4"/>
  <c r="J952" i="4"/>
  <c r="K952" i="4"/>
  <c r="H953" i="4"/>
  <c r="I953" i="4"/>
  <c r="J953" i="4"/>
  <c r="K953" i="4"/>
  <c r="H954" i="4"/>
  <c r="I954" i="4"/>
  <c r="J954" i="4"/>
  <c r="K954" i="4"/>
  <c r="H955" i="4"/>
  <c r="I955" i="4"/>
  <c r="J955" i="4"/>
  <c r="K955" i="4"/>
  <c r="H956" i="4"/>
  <c r="I956" i="4"/>
  <c r="J956" i="4"/>
  <c r="K956" i="4"/>
  <c r="H957" i="4"/>
  <c r="I957" i="4"/>
  <c r="J957" i="4"/>
  <c r="K957" i="4"/>
  <c r="H958" i="4"/>
  <c r="I958" i="4"/>
  <c r="J958" i="4"/>
  <c r="K958" i="4"/>
  <c r="H959" i="4"/>
  <c r="I959" i="4"/>
  <c r="J959" i="4"/>
  <c r="K959" i="4"/>
  <c r="H960" i="4"/>
  <c r="I960" i="4"/>
  <c r="J960" i="4"/>
  <c r="K960" i="4"/>
  <c r="H961" i="4"/>
  <c r="I961" i="4"/>
  <c r="J961" i="4"/>
  <c r="K961" i="4"/>
  <c r="H962" i="4"/>
  <c r="I962" i="4"/>
  <c r="J962" i="4"/>
  <c r="K962" i="4"/>
  <c r="H963" i="4"/>
  <c r="I963" i="4"/>
  <c r="J963" i="4"/>
  <c r="K963" i="4"/>
  <c r="H964" i="4"/>
  <c r="I964" i="4"/>
  <c r="J964" i="4"/>
  <c r="K964" i="4"/>
  <c r="H965" i="4"/>
  <c r="I965" i="4"/>
  <c r="J965" i="4"/>
  <c r="K965" i="4"/>
  <c r="H966" i="4"/>
  <c r="I966" i="4"/>
  <c r="J966" i="4"/>
  <c r="K966" i="4"/>
  <c r="H967" i="4"/>
  <c r="I967" i="4"/>
  <c r="J967" i="4"/>
  <c r="K967" i="4"/>
  <c r="H968" i="4"/>
  <c r="I968" i="4"/>
  <c r="J968" i="4"/>
  <c r="K968" i="4"/>
  <c r="H969" i="4"/>
  <c r="I969" i="4"/>
  <c r="J969" i="4"/>
  <c r="K969" i="4"/>
  <c r="H970" i="4"/>
  <c r="I970" i="4"/>
  <c r="J970" i="4"/>
  <c r="K970" i="4"/>
  <c r="H971" i="4"/>
  <c r="I971" i="4"/>
  <c r="J971" i="4"/>
  <c r="K971" i="4"/>
  <c r="H972" i="4"/>
  <c r="I972" i="4"/>
  <c r="J972" i="4"/>
  <c r="K972" i="4"/>
  <c r="H973" i="4"/>
  <c r="I973" i="4"/>
  <c r="J973" i="4"/>
  <c r="K973" i="4"/>
  <c r="H974" i="4"/>
  <c r="I974" i="4"/>
  <c r="J974" i="4"/>
  <c r="K974" i="4"/>
  <c r="H975" i="4"/>
  <c r="I975" i="4"/>
  <c r="J975" i="4"/>
  <c r="K975" i="4"/>
  <c r="H976" i="4"/>
  <c r="I976" i="4"/>
  <c r="J976" i="4"/>
  <c r="K976" i="4"/>
  <c r="H977" i="4"/>
  <c r="I977" i="4"/>
  <c r="J977" i="4"/>
  <c r="K977" i="4"/>
  <c r="H978" i="4"/>
  <c r="I978" i="4"/>
  <c r="J978" i="4"/>
  <c r="K978" i="4"/>
  <c r="H979" i="4"/>
  <c r="I979" i="4"/>
  <c r="J979" i="4"/>
  <c r="K979" i="4"/>
  <c r="H980" i="4"/>
  <c r="I980" i="4"/>
  <c r="J980" i="4"/>
  <c r="K980" i="4"/>
  <c r="H981" i="4"/>
  <c r="I981" i="4"/>
  <c r="J981" i="4"/>
  <c r="K981" i="4"/>
  <c r="H982" i="4"/>
  <c r="I982" i="4"/>
  <c r="J982" i="4"/>
  <c r="K982" i="4"/>
  <c r="H983" i="4"/>
  <c r="I983" i="4"/>
  <c r="J983" i="4"/>
  <c r="K983" i="4"/>
  <c r="H984" i="4"/>
  <c r="I984" i="4"/>
  <c r="J984" i="4"/>
  <c r="K984" i="4"/>
  <c r="H985" i="4"/>
  <c r="I985" i="4"/>
  <c r="J985" i="4"/>
  <c r="K985" i="4"/>
  <c r="H986" i="4"/>
  <c r="I986" i="4"/>
  <c r="J986" i="4"/>
  <c r="K986" i="4"/>
  <c r="H987" i="4"/>
  <c r="I987" i="4"/>
  <c r="J987" i="4"/>
  <c r="K987" i="4"/>
  <c r="H988" i="4"/>
  <c r="I988" i="4"/>
  <c r="J988" i="4"/>
  <c r="K988" i="4"/>
  <c r="H989" i="4"/>
  <c r="I989" i="4"/>
  <c r="J989" i="4"/>
  <c r="K989" i="4"/>
  <c r="H990" i="4"/>
  <c r="I990" i="4"/>
  <c r="J990" i="4"/>
  <c r="K990" i="4"/>
  <c r="H991" i="4"/>
  <c r="I991" i="4"/>
  <c r="J991" i="4"/>
  <c r="K991" i="4"/>
  <c r="H992" i="4"/>
  <c r="I992" i="4"/>
  <c r="J992" i="4"/>
  <c r="K992" i="4"/>
  <c r="H993" i="4"/>
  <c r="I993" i="4"/>
  <c r="J993" i="4"/>
  <c r="K993" i="4"/>
  <c r="H994" i="4"/>
  <c r="I994" i="4"/>
  <c r="J994" i="4"/>
  <c r="K994" i="4"/>
  <c r="H995" i="4"/>
  <c r="I995" i="4"/>
  <c r="J995" i="4"/>
  <c r="K995" i="4"/>
  <c r="H996" i="4"/>
  <c r="I996" i="4"/>
  <c r="J996" i="4"/>
  <c r="K996" i="4"/>
  <c r="H997" i="4"/>
  <c r="I997" i="4"/>
  <c r="J997" i="4"/>
  <c r="K997" i="4"/>
  <c r="H998" i="4"/>
  <c r="I998" i="4"/>
  <c r="J998" i="4"/>
  <c r="K998" i="4"/>
  <c r="H999" i="4"/>
  <c r="I999" i="4"/>
  <c r="J999" i="4"/>
  <c r="K999" i="4"/>
  <c r="H1000" i="4"/>
  <c r="I1000" i="4"/>
  <c r="J1000" i="4"/>
  <c r="K1000" i="4"/>
  <c r="H1001" i="4"/>
  <c r="I1001" i="4"/>
  <c r="J1001" i="4"/>
  <c r="K1001" i="4"/>
  <c r="H1002" i="4"/>
  <c r="I1002" i="4"/>
  <c r="J1002" i="4"/>
  <c r="K1002" i="4"/>
  <c r="H1003" i="4"/>
  <c r="I1003" i="4"/>
  <c r="J1003" i="4"/>
  <c r="K1003" i="4"/>
  <c r="H1004" i="4"/>
  <c r="I1004" i="4"/>
  <c r="J1004" i="4"/>
  <c r="K1004" i="4"/>
  <c r="H1005" i="4"/>
  <c r="I1005" i="4"/>
  <c r="J1005" i="4"/>
  <c r="K1005" i="4"/>
  <c r="H1006" i="4"/>
  <c r="I1006" i="4"/>
  <c r="J1006" i="4"/>
  <c r="K1006" i="4"/>
  <c r="H1007" i="4"/>
  <c r="I1007" i="4"/>
  <c r="J1007" i="4"/>
  <c r="K1007" i="4"/>
  <c r="H1008" i="4"/>
  <c r="I1008" i="4"/>
  <c r="J1008" i="4"/>
  <c r="K1008" i="4"/>
  <c r="H1009" i="4"/>
  <c r="I1009" i="4"/>
  <c r="J1009" i="4"/>
  <c r="K1009" i="4"/>
  <c r="H1010" i="4"/>
  <c r="I1010" i="4"/>
  <c r="J1010" i="4"/>
  <c r="K1010" i="4"/>
  <c r="H1011" i="4"/>
  <c r="I1011" i="4"/>
  <c r="J1011" i="4"/>
  <c r="K1011" i="4"/>
  <c r="H1012" i="4"/>
  <c r="I1012" i="4"/>
  <c r="J1012" i="4"/>
  <c r="K1012" i="4"/>
  <c r="H1013" i="4"/>
  <c r="I1013" i="4"/>
  <c r="J1013" i="4"/>
  <c r="K1013" i="4"/>
  <c r="H1014" i="4"/>
  <c r="I1014" i="4"/>
  <c r="J1014" i="4"/>
  <c r="K1014" i="4"/>
  <c r="H1015" i="4"/>
  <c r="I1015" i="4"/>
  <c r="J1015" i="4"/>
  <c r="K1015" i="4"/>
  <c r="H1016" i="4"/>
  <c r="I1016" i="4"/>
  <c r="J1016" i="4"/>
  <c r="K1016" i="4"/>
  <c r="H1017" i="4"/>
  <c r="I1017" i="4"/>
  <c r="J1017" i="4"/>
  <c r="K1017" i="4"/>
  <c r="H1018" i="4"/>
  <c r="I1018" i="4"/>
  <c r="J1018" i="4"/>
  <c r="K1018" i="4"/>
  <c r="H1019" i="4"/>
  <c r="I1019" i="4"/>
  <c r="J1019" i="4"/>
  <c r="K1019" i="4"/>
  <c r="H1020" i="4"/>
  <c r="I1020" i="4"/>
  <c r="J1020" i="4"/>
  <c r="K1020" i="4"/>
  <c r="H1021" i="4"/>
  <c r="I1021" i="4"/>
  <c r="J1021" i="4"/>
  <c r="K1021" i="4"/>
  <c r="H1022" i="4"/>
  <c r="I1022" i="4"/>
  <c r="J1022" i="4"/>
  <c r="K1022" i="4"/>
  <c r="H1023" i="4"/>
  <c r="I1023" i="4"/>
  <c r="J1023" i="4"/>
  <c r="K1023" i="4"/>
  <c r="H1024" i="4"/>
  <c r="I1024" i="4"/>
  <c r="J1024" i="4"/>
  <c r="K1024" i="4"/>
  <c r="H1025" i="4"/>
  <c r="I1025" i="4"/>
  <c r="J1025" i="4"/>
  <c r="K1025" i="4"/>
  <c r="H1026" i="4"/>
  <c r="I1026" i="4"/>
  <c r="J1026" i="4"/>
  <c r="K1026" i="4"/>
  <c r="H1027" i="4"/>
  <c r="I1027" i="4"/>
  <c r="J1027" i="4"/>
  <c r="K1027" i="4"/>
  <c r="H1028" i="4"/>
  <c r="I1028" i="4"/>
  <c r="J1028" i="4"/>
  <c r="K1028" i="4"/>
  <c r="H1029" i="4"/>
  <c r="I1029" i="4"/>
  <c r="J1029" i="4"/>
  <c r="K1029" i="4"/>
  <c r="H1030" i="4"/>
  <c r="I1030" i="4"/>
  <c r="J1030" i="4"/>
  <c r="K1030" i="4"/>
  <c r="H1031" i="4"/>
  <c r="I1031" i="4"/>
  <c r="J1031" i="4"/>
  <c r="K1031" i="4"/>
  <c r="H1032" i="4"/>
  <c r="I1032" i="4"/>
  <c r="J1032" i="4"/>
  <c r="K1032" i="4"/>
  <c r="H1033" i="4"/>
  <c r="I1033" i="4"/>
  <c r="J1033" i="4"/>
  <c r="K1033" i="4"/>
  <c r="H1034" i="4"/>
  <c r="I1034" i="4"/>
  <c r="J1034" i="4"/>
  <c r="K1034" i="4"/>
  <c r="H1035" i="4"/>
  <c r="I1035" i="4"/>
  <c r="J1035" i="4"/>
  <c r="K1035" i="4"/>
  <c r="H1036" i="4"/>
  <c r="I1036" i="4"/>
  <c r="J1036" i="4"/>
  <c r="K1036" i="4"/>
  <c r="H1037" i="4"/>
  <c r="I1037" i="4"/>
  <c r="J1037" i="4"/>
  <c r="K1037" i="4"/>
  <c r="H1038" i="4"/>
  <c r="I1038" i="4"/>
  <c r="J1038" i="4"/>
  <c r="K1038" i="4"/>
  <c r="H1039" i="4"/>
  <c r="I1039" i="4"/>
  <c r="J1039" i="4"/>
  <c r="K1039" i="4"/>
  <c r="H1040" i="4"/>
  <c r="I1040" i="4"/>
  <c r="J1040" i="4"/>
  <c r="K1040" i="4"/>
  <c r="H1041" i="4"/>
  <c r="I1041" i="4"/>
  <c r="J1041" i="4"/>
  <c r="K1041" i="4"/>
  <c r="H1042" i="4"/>
  <c r="I1042" i="4"/>
  <c r="J1042" i="4"/>
  <c r="K1042" i="4"/>
  <c r="H1043" i="4"/>
  <c r="I1043" i="4"/>
  <c r="J1043" i="4"/>
  <c r="K1043" i="4"/>
  <c r="H1044" i="4"/>
  <c r="I1044" i="4"/>
  <c r="J1044" i="4"/>
  <c r="K1044" i="4"/>
  <c r="H1045" i="4"/>
  <c r="I1045" i="4"/>
  <c r="J1045" i="4"/>
  <c r="K1045" i="4"/>
  <c r="H1046" i="4"/>
  <c r="I1046" i="4"/>
  <c r="J1046" i="4"/>
  <c r="K1046" i="4"/>
  <c r="H1047" i="4"/>
  <c r="I1047" i="4"/>
  <c r="J1047" i="4"/>
  <c r="K1047" i="4"/>
  <c r="H1048" i="4"/>
  <c r="I1048" i="4"/>
  <c r="J1048" i="4"/>
  <c r="K1048" i="4"/>
  <c r="H1049" i="4"/>
  <c r="I1049" i="4"/>
  <c r="J1049" i="4"/>
  <c r="K1049" i="4"/>
  <c r="H1050" i="4"/>
  <c r="I1050" i="4"/>
  <c r="J1050" i="4"/>
  <c r="K1050" i="4"/>
  <c r="H1051" i="4"/>
  <c r="I1051" i="4"/>
  <c r="J1051" i="4"/>
  <c r="K1051" i="4"/>
  <c r="H1052" i="4"/>
  <c r="I1052" i="4"/>
  <c r="J1052" i="4"/>
  <c r="K1052" i="4"/>
  <c r="H1053" i="4"/>
  <c r="I1053" i="4"/>
  <c r="J1053" i="4"/>
  <c r="K1053" i="4"/>
  <c r="H1054" i="4"/>
  <c r="I1054" i="4"/>
  <c r="J1054" i="4"/>
  <c r="K1054" i="4"/>
  <c r="H1055" i="4"/>
  <c r="I1055" i="4"/>
  <c r="J1055" i="4"/>
  <c r="K1055" i="4"/>
  <c r="H1056" i="4"/>
  <c r="I1056" i="4"/>
  <c r="J1056" i="4"/>
  <c r="K1056" i="4"/>
  <c r="H1057" i="4"/>
  <c r="I1057" i="4"/>
  <c r="J1057" i="4"/>
  <c r="K1057" i="4"/>
  <c r="H1058" i="4"/>
  <c r="I1058" i="4"/>
  <c r="J1058" i="4"/>
  <c r="K1058" i="4"/>
  <c r="H1059" i="4"/>
  <c r="I1059" i="4"/>
  <c r="J1059" i="4"/>
  <c r="K1059" i="4"/>
  <c r="H1060" i="4"/>
  <c r="I1060" i="4"/>
  <c r="J1060" i="4"/>
  <c r="K1060" i="4"/>
  <c r="H1061" i="4"/>
  <c r="I1061" i="4"/>
  <c r="J1061" i="4"/>
  <c r="K1061" i="4"/>
  <c r="H1062" i="4"/>
  <c r="I1062" i="4"/>
  <c r="J1062" i="4"/>
  <c r="K1062" i="4"/>
  <c r="H1063" i="4"/>
  <c r="I1063" i="4"/>
  <c r="J1063" i="4"/>
  <c r="K1063" i="4"/>
  <c r="H1064" i="4"/>
  <c r="I1064" i="4"/>
  <c r="J1064" i="4"/>
  <c r="K1064" i="4"/>
  <c r="H1065" i="4"/>
  <c r="I1065" i="4"/>
  <c r="J1065" i="4"/>
  <c r="K1065" i="4"/>
  <c r="H1066" i="4"/>
  <c r="I1066" i="4"/>
  <c r="J1066" i="4"/>
  <c r="K1066" i="4"/>
  <c r="H1067" i="4"/>
  <c r="I1067" i="4"/>
  <c r="J1067" i="4"/>
  <c r="K1067" i="4"/>
  <c r="H1068" i="4"/>
  <c r="I1068" i="4"/>
  <c r="J1068" i="4"/>
  <c r="K1068" i="4"/>
  <c r="H1069" i="4"/>
  <c r="I1069" i="4"/>
  <c r="J1069" i="4"/>
  <c r="K1069" i="4"/>
  <c r="H1070" i="4"/>
  <c r="I1070" i="4"/>
  <c r="J1070" i="4"/>
  <c r="K1070" i="4"/>
  <c r="H1071" i="4"/>
  <c r="I1071" i="4"/>
  <c r="J1071" i="4"/>
  <c r="K1071" i="4"/>
  <c r="H1072" i="4"/>
  <c r="I1072" i="4"/>
  <c r="J1072" i="4"/>
  <c r="K1072" i="4"/>
  <c r="H1073" i="4"/>
  <c r="I1073" i="4"/>
  <c r="J1073" i="4"/>
  <c r="K1073" i="4"/>
  <c r="H1074" i="4"/>
  <c r="I1074" i="4"/>
  <c r="J1074" i="4"/>
  <c r="K1074" i="4"/>
  <c r="H1075" i="4"/>
  <c r="I1075" i="4"/>
  <c r="J1075" i="4"/>
  <c r="K1075" i="4"/>
  <c r="H1076" i="4"/>
  <c r="I1076" i="4"/>
  <c r="J1076" i="4"/>
  <c r="K1076" i="4"/>
  <c r="H1077" i="4"/>
  <c r="I1077" i="4"/>
  <c r="J1077" i="4"/>
  <c r="K1077" i="4"/>
  <c r="H1078" i="4"/>
  <c r="I1078" i="4"/>
  <c r="J1078" i="4"/>
  <c r="K1078" i="4"/>
  <c r="H1079" i="4"/>
  <c r="I1079" i="4"/>
  <c r="J1079" i="4"/>
  <c r="K1079" i="4"/>
  <c r="H1080" i="4"/>
  <c r="I1080" i="4"/>
  <c r="J1080" i="4"/>
  <c r="K1080" i="4"/>
  <c r="H1081" i="4"/>
  <c r="I1081" i="4"/>
  <c r="J1081" i="4"/>
  <c r="K1081" i="4"/>
  <c r="H1082" i="4"/>
  <c r="I1082" i="4"/>
  <c r="J1082" i="4"/>
  <c r="K1082" i="4"/>
  <c r="H1083" i="4"/>
  <c r="I1083" i="4"/>
  <c r="J1083" i="4"/>
  <c r="K1083" i="4"/>
  <c r="H1084" i="4"/>
  <c r="I1084" i="4"/>
  <c r="J1084" i="4"/>
  <c r="K1084" i="4"/>
  <c r="H1085" i="4"/>
  <c r="I1085" i="4"/>
  <c r="J1085" i="4"/>
  <c r="K1085" i="4"/>
  <c r="H1086" i="4"/>
  <c r="I1086" i="4"/>
  <c r="J1086" i="4"/>
  <c r="K1086" i="4"/>
  <c r="H1087" i="4"/>
  <c r="I1087" i="4"/>
  <c r="J1087" i="4"/>
  <c r="K1087" i="4"/>
  <c r="H1088" i="4"/>
  <c r="I1088" i="4"/>
  <c r="J1088" i="4"/>
  <c r="K1088" i="4"/>
  <c r="H1089" i="4"/>
  <c r="I1089" i="4"/>
  <c r="J1089" i="4"/>
  <c r="K1089" i="4"/>
  <c r="H1090" i="4"/>
  <c r="I1090" i="4"/>
  <c r="J1090" i="4"/>
  <c r="K1090" i="4"/>
  <c r="H1091" i="4"/>
  <c r="I1091" i="4"/>
  <c r="J1091" i="4"/>
  <c r="K1091" i="4"/>
  <c r="H1092" i="4"/>
  <c r="I1092" i="4"/>
  <c r="J1092" i="4"/>
  <c r="K1092" i="4"/>
  <c r="H1093" i="4"/>
  <c r="I1093" i="4"/>
  <c r="J1093" i="4"/>
  <c r="K1093" i="4"/>
  <c r="H1094" i="4"/>
  <c r="I1094" i="4"/>
  <c r="J1094" i="4"/>
  <c r="K1094" i="4"/>
  <c r="H1095" i="4"/>
  <c r="I1095" i="4"/>
  <c r="J1095" i="4"/>
  <c r="K1095" i="4"/>
  <c r="H1096" i="4"/>
  <c r="I1096" i="4"/>
  <c r="J1096" i="4"/>
  <c r="K1096" i="4"/>
  <c r="H1097" i="4"/>
  <c r="I1097" i="4"/>
  <c r="J1097" i="4"/>
  <c r="K1097" i="4"/>
  <c r="H1098" i="4"/>
  <c r="I1098" i="4"/>
  <c r="J1098" i="4"/>
  <c r="K1098" i="4"/>
  <c r="H1099" i="4"/>
  <c r="I1099" i="4"/>
  <c r="J1099" i="4"/>
  <c r="K1099" i="4"/>
  <c r="H1100" i="4"/>
  <c r="I1100" i="4"/>
  <c r="J1100" i="4"/>
  <c r="K1100" i="4"/>
  <c r="H1101" i="4"/>
  <c r="I1101" i="4"/>
  <c r="J1101" i="4"/>
  <c r="K1101" i="4"/>
  <c r="H1102" i="4"/>
  <c r="I1102" i="4"/>
  <c r="J1102" i="4"/>
  <c r="K1102" i="4"/>
  <c r="H1103" i="4"/>
  <c r="I1103" i="4"/>
  <c r="J1103" i="4"/>
  <c r="K1103" i="4"/>
  <c r="H1104" i="4"/>
  <c r="I1104" i="4"/>
  <c r="J1104" i="4"/>
  <c r="K1104" i="4"/>
  <c r="H1105" i="4"/>
  <c r="I1105" i="4"/>
  <c r="J1105" i="4"/>
  <c r="K1105" i="4"/>
  <c r="H1106" i="4"/>
  <c r="I1106" i="4"/>
  <c r="J1106" i="4"/>
  <c r="K1106" i="4"/>
  <c r="H1107" i="4"/>
  <c r="I1107" i="4"/>
  <c r="J1107" i="4"/>
  <c r="K1107" i="4"/>
  <c r="H1108" i="4"/>
  <c r="I1108" i="4"/>
  <c r="J1108" i="4"/>
  <c r="K1108" i="4"/>
  <c r="H1109" i="4"/>
  <c r="I1109" i="4"/>
  <c r="J1109" i="4"/>
  <c r="K1109" i="4"/>
  <c r="H1110" i="4"/>
  <c r="I1110" i="4"/>
  <c r="J1110" i="4"/>
  <c r="K1110" i="4"/>
  <c r="H1111" i="4"/>
  <c r="I1111" i="4"/>
  <c r="J1111" i="4"/>
  <c r="K1111" i="4"/>
  <c r="H1112" i="4"/>
  <c r="I1112" i="4"/>
  <c r="J1112" i="4"/>
  <c r="K1112" i="4"/>
  <c r="H1113" i="4"/>
  <c r="I1113" i="4"/>
  <c r="J1113" i="4"/>
  <c r="K1113" i="4"/>
  <c r="H1114" i="4"/>
  <c r="I1114" i="4"/>
  <c r="J1114" i="4"/>
  <c r="K1114" i="4"/>
  <c r="H1115" i="4"/>
  <c r="I1115" i="4"/>
  <c r="J1115" i="4"/>
  <c r="K1115" i="4"/>
  <c r="H1116" i="4"/>
  <c r="I1116" i="4"/>
  <c r="J1116" i="4"/>
  <c r="K1116" i="4"/>
  <c r="H1117" i="4"/>
  <c r="I1117" i="4"/>
  <c r="J1117" i="4"/>
  <c r="K1117" i="4"/>
  <c r="H1118" i="4"/>
  <c r="I1118" i="4"/>
  <c r="J1118" i="4"/>
  <c r="K1118" i="4"/>
  <c r="H1119" i="4"/>
  <c r="I1119" i="4"/>
  <c r="J1119" i="4"/>
  <c r="K1119" i="4"/>
  <c r="H1120" i="4"/>
  <c r="I1120" i="4"/>
  <c r="J1120" i="4"/>
  <c r="K1120" i="4"/>
  <c r="H1121" i="4"/>
  <c r="I1121" i="4"/>
  <c r="J1121" i="4"/>
  <c r="K1121" i="4"/>
  <c r="H1122" i="4"/>
  <c r="I1122" i="4"/>
  <c r="J1122" i="4"/>
  <c r="K1122" i="4"/>
  <c r="H1123" i="4"/>
  <c r="I1123" i="4"/>
  <c r="J1123" i="4"/>
  <c r="K1123" i="4"/>
  <c r="H1124" i="4"/>
  <c r="I1124" i="4"/>
  <c r="J1124" i="4"/>
  <c r="K1124" i="4"/>
  <c r="H1125" i="4"/>
  <c r="I1125" i="4"/>
  <c r="J1125" i="4"/>
  <c r="K1125" i="4"/>
  <c r="H1126" i="4"/>
  <c r="I1126" i="4"/>
  <c r="J1126" i="4"/>
  <c r="K1126" i="4"/>
  <c r="H1127" i="4"/>
  <c r="I1127" i="4"/>
  <c r="J1127" i="4"/>
  <c r="K1127" i="4"/>
  <c r="H1128" i="4"/>
  <c r="I1128" i="4"/>
  <c r="J1128" i="4"/>
  <c r="K1128" i="4"/>
  <c r="H1129" i="4"/>
  <c r="I1129" i="4"/>
  <c r="J1129" i="4"/>
  <c r="K1129" i="4"/>
  <c r="H1130" i="4"/>
  <c r="I1130" i="4"/>
  <c r="J1130" i="4"/>
  <c r="K1130" i="4"/>
  <c r="H1131" i="4"/>
  <c r="I1131" i="4"/>
  <c r="J1131" i="4"/>
  <c r="K1131" i="4"/>
  <c r="H1132" i="4"/>
  <c r="I1132" i="4"/>
  <c r="J1132" i="4"/>
  <c r="K1132" i="4"/>
  <c r="H1133" i="4"/>
  <c r="I1133" i="4"/>
  <c r="J1133" i="4"/>
  <c r="K1133" i="4"/>
  <c r="H1134" i="4"/>
  <c r="I1134" i="4"/>
  <c r="J1134" i="4"/>
  <c r="K1134" i="4"/>
  <c r="H1135" i="4"/>
  <c r="I1135" i="4"/>
  <c r="J1135" i="4"/>
  <c r="K1135" i="4"/>
  <c r="H1136" i="4"/>
  <c r="I1136" i="4"/>
  <c r="J1136" i="4"/>
  <c r="K1136" i="4"/>
  <c r="H1137" i="4"/>
  <c r="I1137" i="4"/>
  <c r="J1137" i="4"/>
  <c r="K1137" i="4"/>
  <c r="H1138" i="4"/>
  <c r="I1138" i="4"/>
  <c r="J1138" i="4"/>
  <c r="K1138" i="4"/>
  <c r="H1139" i="4"/>
  <c r="I1139" i="4"/>
  <c r="J1139" i="4"/>
  <c r="K1139" i="4"/>
  <c r="H1140" i="4"/>
  <c r="I1140" i="4"/>
  <c r="J1140" i="4"/>
  <c r="K1140" i="4"/>
  <c r="H1141" i="4"/>
  <c r="I1141" i="4"/>
  <c r="J1141" i="4"/>
  <c r="K1141" i="4"/>
  <c r="H1142" i="4"/>
  <c r="I1142" i="4"/>
  <c r="J1142" i="4"/>
  <c r="K1142" i="4"/>
  <c r="H1143" i="4"/>
  <c r="I1143" i="4"/>
  <c r="J1143" i="4"/>
  <c r="K1143" i="4"/>
  <c r="H1144" i="4"/>
  <c r="I1144" i="4"/>
  <c r="J1144" i="4"/>
  <c r="K1144" i="4"/>
  <c r="H1145" i="4"/>
  <c r="I1145" i="4"/>
  <c r="J1145" i="4"/>
  <c r="K1145" i="4"/>
  <c r="H1146" i="4"/>
  <c r="I1146" i="4"/>
  <c r="J1146" i="4"/>
  <c r="K1146" i="4"/>
  <c r="H1147" i="4"/>
  <c r="I1147" i="4"/>
  <c r="J1147" i="4"/>
  <c r="K1147" i="4"/>
  <c r="H1148" i="4"/>
  <c r="I1148" i="4"/>
  <c r="J1148" i="4"/>
  <c r="K1148" i="4"/>
  <c r="H1149" i="4"/>
  <c r="I1149" i="4"/>
  <c r="J1149" i="4"/>
  <c r="K1149" i="4"/>
  <c r="H1150" i="4"/>
  <c r="I1150" i="4"/>
  <c r="J1150" i="4"/>
  <c r="K1150" i="4"/>
  <c r="H1151" i="4"/>
  <c r="I1151" i="4"/>
  <c r="J1151" i="4"/>
  <c r="K1151" i="4"/>
  <c r="H1152" i="4"/>
  <c r="I1152" i="4"/>
  <c r="J1152" i="4"/>
  <c r="K1152" i="4"/>
  <c r="H1153" i="4"/>
  <c r="I1153" i="4"/>
  <c r="J1153" i="4"/>
  <c r="K1153" i="4"/>
  <c r="H1154" i="4"/>
  <c r="I1154" i="4"/>
  <c r="J1154" i="4"/>
  <c r="K1154" i="4"/>
  <c r="H1155" i="4"/>
  <c r="I1155" i="4"/>
  <c r="J1155" i="4"/>
  <c r="K1155" i="4"/>
  <c r="H1156" i="4"/>
  <c r="I1156" i="4"/>
  <c r="J1156" i="4"/>
  <c r="K1156" i="4"/>
  <c r="H1157" i="4"/>
  <c r="I1157" i="4"/>
  <c r="J1157" i="4"/>
  <c r="K1157" i="4"/>
  <c r="H1158" i="4"/>
  <c r="I1158" i="4"/>
  <c r="J1158" i="4"/>
  <c r="K1158" i="4"/>
  <c r="H1159" i="4"/>
  <c r="I1159" i="4"/>
  <c r="J1159" i="4"/>
  <c r="K1159" i="4"/>
  <c r="H1160" i="4"/>
  <c r="I1160" i="4"/>
  <c r="J1160" i="4"/>
  <c r="K1160" i="4"/>
  <c r="H1161" i="4"/>
  <c r="I1161" i="4"/>
  <c r="J1161" i="4"/>
  <c r="K1161" i="4"/>
  <c r="H1162" i="4"/>
  <c r="I1162" i="4"/>
  <c r="J1162" i="4"/>
  <c r="K1162" i="4"/>
  <c r="H1163" i="4"/>
  <c r="I1163" i="4"/>
  <c r="J1163" i="4"/>
  <c r="K1163" i="4"/>
  <c r="H1164" i="4"/>
  <c r="I1164" i="4"/>
  <c r="J1164" i="4"/>
  <c r="K1164" i="4"/>
  <c r="H1165" i="4"/>
  <c r="I1165" i="4"/>
  <c r="J1165" i="4"/>
  <c r="K1165" i="4"/>
  <c r="H1166" i="4"/>
  <c r="I1166" i="4"/>
  <c r="J1166" i="4"/>
  <c r="K1166" i="4"/>
  <c r="H1167" i="4"/>
  <c r="I1167" i="4"/>
  <c r="J1167" i="4"/>
  <c r="K1167" i="4"/>
  <c r="H1168" i="4"/>
  <c r="I1168" i="4"/>
  <c r="J1168" i="4"/>
  <c r="K1168" i="4"/>
  <c r="H1169" i="4"/>
  <c r="I1169" i="4"/>
  <c r="J1169" i="4"/>
  <c r="K1169" i="4"/>
  <c r="H1170" i="4"/>
  <c r="I1170" i="4"/>
  <c r="J1170" i="4"/>
  <c r="K1170" i="4"/>
  <c r="H1171" i="4"/>
  <c r="I1171" i="4"/>
  <c r="J1171" i="4"/>
  <c r="K1171" i="4"/>
  <c r="H1172" i="4"/>
  <c r="I1172" i="4"/>
  <c r="J1172" i="4"/>
  <c r="K1172" i="4"/>
  <c r="H1173" i="4"/>
  <c r="I1173" i="4"/>
  <c r="J1173" i="4"/>
  <c r="K1173" i="4"/>
  <c r="H1174" i="4"/>
  <c r="I1174" i="4"/>
  <c r="J1174" i="4"/>
  <c r="K1174" i="4"/>
  <c r="H1175" i="4"/>
  <c r="I1175" i="4"/>
  <c r="J1175" i="4"/>
  <c r="K1175" i="4"/>
  <c r="H1176" i="4"/>
  <c r="I1176" i="4"/>
  <c r="J1176" i="4"/>
  <c r="K1176" i="4"/>
  <c r="H1177" i="4"/>
  <c r="I1177" i="4"/>
  <c r="J1177" i="4"/>
  <c r="K1177" i="4"/>
  <c r="H1178" i="4"/>
  <c r="I1178" i="4"/>
  <c r="J1178" i="4"/>
  <c r="K1178" i="4"/>
  <c r="H1179" i="4"/>
  <c r="I1179" i="4"/>
  <c r="J1179" i="4"/>
  <c r="K1179" i="4"/>
  <c r="H1180" i="4"/>
  <c r="I1180" i="4"/>
  <c r="J1180" i="4"/>
  <c r="K1180" i="4"/>
  <c r="H1181" i="4"/>
  <c r="I1181" i="4"/>
  <c r="J1181" i="4"/>
  <c r="K1181" i="4"/>
  <c r="H1182" i="4"/>
  <c r="I1182" i="4"/>
  <c r="J1182" i="4"/>
  <c r="K1182" i="4"/>
  <c r="H1183" i="4"/>
  <c r="I1183" i="4"/>
  <c r="J1183" i="4"/>
  <c r="K1183" i="4"/>
  <c r="H1184" i="4"/>
  <c r="I1184" i="4"/>
  <c r="J1184" i="4"/>
  <c r="K1184" i="4"/>
  <c r="H1185" i="4"/>
  <c r="I1185" i="4"/>
  <c r="J1185" i="4"/>
  <c r="K1185" i="4"/>
  <c r="H1186" i="4"/>
  <c r="I1186" i="4"/>
  <c r="J1186" i="4"/>
  <c r="K1186" i="4"/>
  <c r="H1187" i="4"/>
  <c r="I1187" i="4"/>
  <c r="J1187" i="4"/>
  <c r="K1187" i="4"/>
  <c r="H1188" i="4"/>
  <c r="I1188" i="4"/>
  <c r="J1188" i="4"/>
  <c r="K1188" i="4"/>
  <c r="H1189" i="4"/>
  <c r="I1189" i="4"/>
  <c r="J1189" i="4"/>
  <c r="K1189" i="4"/>
  <c r="H1190" i="4"/>
  <c r="I1190" i="4"/>
  <c r="J1190" i="4"/>
  <c r="K1190" i="4"/>
  <c r="H1191" i="4"/>
  <c r="I1191" i="4"/>
  <c r="J1191" i="4"/>
  <c r="K1191" i="4"/>
  <c r="H1192" i="4"/>
  <c r="I1192" i="4"/>
  <c r="J1192" i="4"/>
  <c r="K1192" i="4"/>
  <c r="H1193" i="4"/>
  <c r="I1193" i="4"/>
  <c r="J1193" i="4"/>
  <c r="K1193" i="4"/>
  <c r="H1194" i="4"/>
  <c r="I1194" i="4"/>
  <c r="J1194" i="4"/>
  <c r="K1194" i="4"/>
  <c r="H1195" i="4"/>
  <c r="I1195" i="4"/>
  <c r="J1195" i="4"/>
  <c r="K1195" i="4"/>
  <c r="H1196" i="4"/>
  <c r="I1196" i="4"/>
  <c r="J1196" i="4"/>
  <c r="K1196" i="4"/>
  <c r="H1197" i="4"/>
  <c r="I1197" i="4"/>
  <c r="J1197" i="4"/>
  <c r="K1197" i="4"/>
  <c r="H1198" i="4"/>
  <c r="I1198" i="4"/>
  <c r="J1198" i="4"/>
  <c r="K1198" i="4"/>
  <c r="H1199" i="4"/>
  <c r="I1199" i="4"/>
  <c r="J1199" i="4"/>
  <c r="K1199" i="4"/>
  <c r="H1200" i="4"/>
  <c r="I1200" i="4"/>
  <c r="J1200" i="4"/>
  <c r="K1200" i="4"/>
  <c r="H1201" i="4"/>
  <c r="I1201" i="4"/>
  <c r="J1201" i="4"/>
  <c r="K1201" i="4"/>
  <c r="H1202" i="4"/>
  <c r="I1202" i="4"/>
  <c r="J1202" i="4"/>
  <c r="K1202" i="4"/>
  <c r="H1203" i="4"/>
  <c r="I1203" i="4"/>
  <c r="J1203" i="4"/>
  <c r="K1203" i="4"/>
  <c r="H1204" i="4"/>
  <c r="I1204" i="4"/>
  <c r="J1204" i="4"/>
  <c r="K1204" i="4"/>
  <c r="H1205" i="4"/>
  <c r="I1205" i="4"/>
  <c r="J1205" i="4"/>
  <c r="K1205" i="4"/>
  <c r="H1206" i="4"/>
  <c r="I1206" i="4"/>
  <c r="J1206" i="4"/>
  <c r="K1206" i="4"/>
  <c r="H1207" i="4"/>
  <c r="I1207" i="4"/>
  <c r="J1207" i="4"/>
  <c r="K1207" i="4"/>
  <c r="H1208" i="4"/>
  <c r="I1208" i="4"/>
  <c r="J1208" i="4"/>
  <c r="K1208" i="4"/>
  <c r="H1209" i="4"/>
  <c r="I1209" i="4"/>
  <c r="J1209" i="4"/>
  <c r="K1209" i="4"/>
  <c r="H1210" i="4"/>
  <c r="I1210" i="4"/>
  <c r="J1210" i="4"/>
  <c r="K1210" i="4"/>
  <c r="H1211" i="4"/>
  <c r="I1211" i="4"/>
  <c r="J1211" i="4"/>
  <c r="K1211" i="4"/>
  <c r="H1212" i="4"/>
  <c r="I1212" i="4"/>
  <c r="J1212" i="4"/>
  <c r="K1212" i="4"/>
  <c r="H1213" i="4"/>
  <c r="I1213" i="4"/>
  <c r="J1213" i="4"/>
  <c r="K1213" i="4"/>
  <c r="H1214" i="4"/>
  <c r="I1214" i="4"/>
  <c r="J1214" i="4"/>
  <c r="K1214" i="4"/>
  <c r="H1215" i="4"/>
  <c r="I1215" i="4"/>
  <c r="J1215" i="4"/>
  <c r="K1215" i="4"/>
  <c r="H1216" i="4"/>
  <c r="I1216" i="4"/>
  <c r="J1216" i="4"/>
  <c r="K1216" i="4"/>
  <c r="H1217" i="4"/>
  <c r="I1217" i="4"/>
  <c r="J1217" i="4"/>
  <c r="K1217" i="4"/>
  <c r="H1218" i="4"/>
  <c r="I1218" i="4"/>
  <c r="J1218" i="4"/>
  <c r="K1218" i="4"/>
  <c r="H1219" i="4"/>
  <c r="I1219" i="4"/>
  <c r="J1219" i="4"/>
  <c r="K1219" i="4"/>
  <c r="H1220" i="4"/>
  <c r="I1220" i="4"/>
  <c r="J1220" i="4"/>
  <c r="K1220" i="4"/>
  <c r="H1221" i="4"/>
  <c r="I1221" i="4"/>
  <c r="J1221" i="4"/>
  <c r="K1221" i="4"/>
  <c r="H1222" i="4"/>
  <c r="I1222" i="4"/>
  <c r="J1222" i="4"/>
  <c r="K1222" i="4"/>
  <c r="H1223" i="4"/>
  <c r="I1223" i="4"/>
  <c r="J1223" i="4"/>
  <c r="K1223" i="4"/>
  <c r="H1224" i="4"/>
  <c r="I1224" i="4"/>
  <c r="J1224" i="4"/>
  <c r="K1224" i="4"/>
  <c r="H1225" i="4"/>
  <c r="I1225" i="4"/>
  <c r="J1225" i="4"/>
  <c r="K1225" i="4"/>
  <c r="H1226" i="4"/>
  <c r="I1226" i="4"/>
  <c r="J1226" i="4"/>
  <c r="K1226" i="4"/>
  <c r="H1227" i="4"/>
  <c r="I1227" i="4"/>
  <c r="J1227" i="4"/>
  <c r="K1227" i="4"/>
  <c r="H1228" i="4"/>
  <c r="I1228" i="4"/>
  <c r="J1228" i="4"/>
  <c r="K1228" i="4"/>
  <c r="H1229" i="4"/>
  <c r="I1229" i="4"/>
  <c r="J1229" i="4"/>
  <c r="K1229" i="4"/>
  <c r="H1230" i="4"/>
  <c r="I1230" i="4"/>
  <c r="J1230" i="4"/>
  <c r="K1230" i="4"/>
  <c r="H1231" i="4"/>
  <c r="I1231" i="4"/>
  <c r="J1231" i="4"/>
  <c r="K1231" i="4"/>
  <c r="H1232" i="4"/>
  <c r="I1232" i="4"/>
  <c r="J1232" i="4"/>
  <c r="K1232" i="4"/>
  <c r="H1233" i="4"/>
  <c r="I1233" i="4"/>
  <c r="J1233" i="4"/>
  <c r="K1233" i="4"/>
  <c r="H1234" i="4"/>
  <c r="I1234" i="4"/>
  <c r="J1234" i="4"/>
  <c r="K1234" i="4"/>
  <c r="H1235" i="4"/>
  <c r="I1235" i="4"/>
  <c r="J1235" i="4"/>
  <c r="K1235" i="4"/>
  <c r="H1236" i="4"/>
  <c r="I1236" i="4"/>
  <c r="J1236" i="4"/>
  <c r="K1236" i="4"/>
  <c r="H1237" i="4"/>
  <c r="I1237" i="4"/>
  <c r="J1237" i="4"/>
  <c r="K1237" i="4"/>
  <c r="H1238" i="4"/>
  <c r="I1238" i="4"/>
  <c r="J1238" i="4"/>
  <c r="K1238" i="4"/>
  <c r="H1239" i="4"/>
  <c r="I1239" i="4"/>
  <c r="J1239" i="4"/>
  <c r="K1239" i="4"/>
  <c r="H1240" i="4"/>
  <c r="I1240" i="4"/>
  <c r="J1240" i="4"/>
  <c r="K1240" i="4"/>
  <c r="H1241" i="4"/>
  <c r="I1241" i="4"/>
  <c r="J1241" i="4"/>
  <c r="K1241" i="4"/>
  <c r="H1242" i="4"/>
  <c r="I1242" i="4"/>
  <c r="J1242" i="4"/>
  <c r="K1242" i="4"/>
  <c r="H1243" i="4"/>
  <c r="I1243" i="4"/>
  <c r="J1243" i="4"/>
  <c r="K1243" i="4"/>
  <c r="H1244" i="4"/>
  <c r="I1244" i="4"/>
  <c r="J1244" i="4"/>
  <c r="K1244" i="4"/>
  <c r="H1245" i="4"/>
  <c r="I1245" i="4"/>
  <c r="J1245" i="4"/>
  <c r="K1245" i="4"/>
  <c r="H1246" i="4"/>
  <c r="I1246" i="4"/>
  <c r="J1246" i="4"/>
  <c r="K1246" i="4"/>
  <c r="H1247" i="4"/>
  <c r="I1247" i="4"/>
  <c r="J1247" i="4"/>
  <c r="K1247" i="4"/>
  <c r="H1248" i="4"/>
  <c r="I1248" i="4"/>
  <c r="J1248" i="4"/>
  <c r="K1248" i="4"/>
  <c r="H1249" i="4"/>
  <c r="I1249" i="4"/>
  <c r="J1249" i="4"/>
  <c r="K1249" i="4"/>
  <c r="H1250" i="4"/>
  <c r="I1250" i="4"/>
  <c r="J1250" i="4"/>
  <c r="K1250" i="4"/>
  <c r="H1251" i="4"/>
  <c r="I1251" i="4"/>
  <c r="J1251" i="4"/>
  <c r="K1251" i="4"/>
  <c r="H1252" i="4"/>
  <c r="I1252" i="4"/>
  <c r="J1252" i="4"/>
  <c r="K1252" i="4"/>
  <c r="H1253" i="4"/>
  <c r="I1253" i="4"/>
  <c r="J1253" i="4"/>
  <c r="K1253" i="4"/>
  <c r="H1254" i="4"/>
  <c r="I1254" i="4"/>
  <c r="J1254" i="4"/>
  <c r="K1254" i="4"/>
  <c r="H1255" i="4"/>
  <c r="I1255" i="4"/>
  <c r="J1255" i="4"/>
  <c r="K1255" i="4"/>
  <c r="H1256" i="4"/>
  <c r="I1256" i="4"/>
  <c r="J1256" i="4"/>
  <c r="K1256" i="4"/>
  <c r="H1257" i="4"/>
  <c r="I1257" i="4"/>
  <c r="J1257" i="4"/>
  <c r="K1257" i="4"/>
  <c r="H1258" i="4"/>
  <c r="I1258" i="4"/>
  <c r="J1258" i="4"/>
  <c r="K1258" i="4"/>
  <c r="H1259" i="4"/>
  <c r="I1259" i="4"/>
  <c r="J1259" i="4"/>
  <c r="K1259" i="4"/>
  <c r="H1260" i="4"/>
  <c r="I1260" i="4"/>
  <c r="J1260" i="4"/>
  <c r="K1260" i="4"/>
  <c r="H1261" i="4"/>
  <c r="I1261" i="4"/>
  <c r="J1261" i="4"/>
  <c r="K1261" i="4"/>
  <c r="H1262" i="4"/>
  <c r="I1262" i="4"/>
  <c r="J1262" i="4"/>
  <c r="K1262" i="4"/>
  <c r="H1263" i="4"/>
  <c r="I1263" i="4"/>
  <c r="J1263" i="4"/>
  <c r="K1263" i="4"/>
  <c r="H1264" i="4"/>
  <c r="I1264" i="4"/>
  <c r="J1264" i="4"/>
  <c r="K1264" i="4"/>
  <c r="H1265" i="4"/>
  <c r="I1265" i="4"/>
  <c r="J1265" i="4"/>
  <c r="K1265" i="4"/>
  <c r="H1266" i="4"/>
  <c r="I1266" i="4"/>
  <c r="J1266" i="4"/>
  <c r="K1266" i="4"/>
  <c r="H1267" i="4"/>
  <c r="I1267" i="4"/>
  <c r="J1267" i="4"/>
  <c r="K1267" i="4"/>
  <c r="H1268" i="4"/>
  <c r="I1268" i="4"/>
  <c r="J1268" i="4"/>
  <c r="K1268" i="4"/>
  <c r="H1269" i="4"/>
  <c r="I1269" i="4"/>
  <c r="J1269" i="4"/>
  <c r="K1269" i="4"/>
  <c r="H1270" i="4"/>
  <c r="I1270" i="4"/>
  <c r="J1270" i="4"/>
  <c r="K1270" i="4"/>
  <c r="H1271" i="4"/>
  <c r="I1271" i="4"/>
  <c r="J1271" i="4"/>
  <c r="K1271" i="4"/>
  <c r="H1272" i="4"/>
  <c r="I1272" i="4"/>
  <c r="J1272" i="4"/>
  <c r="K1272" i="4"/>
  <c r="H1273" i="4"/>
  <c r="I1273" i="4"/>
  <c r="J1273" i="4"/>
  <c r="K1273" i="4"/>
  <c r="H1274" i="4"/>
  <c r="I1274" i="4"/>
  <c r="J1274" i="4"/>
  <c r="K1274" i="4"/>
  <c r="H1275" i="4"/>
  <c r="I1275" i="4"/>
  <c r="J1275" i="4"/>
  <c r="K1275" i="4"/>
  <c r="H1276" i="4"/>
  <c r="I1276" i="4"/>
  <c r="J1276" i="4"/>
  <c r="K1276" i="4"/>
  <c r="H1277" i="4"/>
  <c r="I1277" i="4"/>
  <c r="J1277" i="4"/>
  <c r="K1277" i="4"/>
  <c r="H1278" i="4"/>
  <c r="I1278" i="4"/>
  <c r="J1278" i="4"/>
  <c r="K1278" i="4"/>
  <c r="H1279" i="4"/>
  <c r="I1279" i="4"/>
  <c r="J1279" i="4"/>
  <c r="K1279" i="4"/>
  <c r="H1280" i="4"/>
  <c r="I1280" i="4"/>
  <c r="J1280" i="4"/>
  <c r="K1280" i="4"/>
  <c r="H1281" i="4"/>
  <c r="I1281" i="4"/>
  <c r="J1281" i="4"/>
  <c r="K1281" i="4"/>
  <c r="H1282" i="4"/>
  <c r="I1282" i="4"/>
  <c r="J1282" i="4"/>
  <c r="K1282" i="4"/>
  <c r="H1283" i="4"/>
  <c r="I1283" i="4"/>
  <c r="J1283" i="4"/>
  <c r="K1283" i="4"/>
  <c r="H1284" i="4"/>
  <c r="I1284" i="4"/>
  <c r="J1284" i="4"/>
  <c r="K1284" i="4"/>
  <c r="H1285" i="4"/>
  <c r="I1285" i="4"/>
  <c r="J1285" i="4"/>
  <c r="K1285" i="4"/>
  <c r="H1286" i="4"/>
  <c r="I1286" i="4"/>
  <c r="J1286" i="4"/>
  <c r="K1286" i="4"/>
  <c r="H1287" i="4"/>
  <c r="I1287" i="4"/>
  <c r="J1287" i="4"/>
  <c r="K1287" i="4"/>
  <c r="H1288" i="4"/>
  <c r="I1288" i="4"/>
  <c r="J1288" i="4"/>
  <c r="K1288" i="4"/>
  <c r="H1289" i="4"/>
  <c r="I1289" i="4"/>
  <c r="J1289" i="4"/>
  <c r="K1289" i="4"/>
  <c r="H1290" i="4"/>
  <c r="I1290" i="4"/>
  <c r="J1290" i="4"/>
  <c r="K1290" i="4"/>
  <c r="H1291" i="4"/>
  <c r="I1291" i="4"/>
  <c r="J1291" i="4"/>
  <c r="K1291" i="4"/>
  <c r="H1292" i="4"/>
  <c r="I1292" i="4"/>
  <c r="J1292" i="4"/>
  <c r="K1292" i="4"/>
  <c r="H1293" i="4"/>
  <c r="I1293" i="4"/>
  <c r="J1293" i="4"/>
  <c r="K1293" i="4"/>
  <c r="H1294" i="4"/>
  <c r="I1294" i="4"/>
  <c r="J1294" i="4"/>
  <c r="K1294" i="4"/>
  <c r="H1295" i="4"/>
  <c r="I1295" i="4"/>
  <c r="J1295" i="4"/>
  <c r="K1295" i="4"/>
  <c r="H1296" i="4"/>
  <c r="I1296" i="4"/>
  <c r="J1296" i="4"/>
  <c r="K1296" i="4"/>
  <c r="H1297" i="4"/>
  <c r="I1297" i="4"/>
  <c r="J1297" i="4"/>
  <c r="K1297" i="4"/>
  <c r="H1298" i="4"/>
  <c r="I1298" i="4"/>
  <c r="J1298" i="4"/>
  <c r="K1298" i="4"/>
  <c r="H1299" i="4"/>
  <c r="I1299" i="4"/>
  <c r="J1299" i="4"/>
  <c r="K1299" i="4"/>
  <c r="H1300" i="4"/>
  <c r="I1300" i="4"/>
  <c r="J1300" i="4"/>
  <c r="K1300" i="4"/>
  <c r="H1301" i="4"/>
  <c r="I1301" i="4"/>
  <c r="J1301" i="4"/>
  <c r="K1301" i="4"/>
  <c r="H1302" i="4"/>
  <c r="I1302" i="4"/>
  <c r="J1302" i="4"/>
  <c r="K1302" i="4"/>
  <c r="H1303" i="4"/>
  <c r="I1303" i="4"/>
  <c r="J1303" i="4"/>
  <c r="K1303" i="4"/>
  <c r="H1304" i="4"/>
  <c r="I1304" i="4"/>
  <c r="J1304" i="4"/>
  <c r="K1304" i="4"/>
  <c r="H1305" i="4"/>
  <c r="I1305" i="4"/>
  <c r="J1305" i="4"/>
  <c r="K1305" i="4"/>
  <c r="H1306" i="4"/>
  <c r="I1306" i="4"/>
  <c r="J1306" i="4"/>
  <c r="K1306" i="4"/>
  <c r="H1307" i="4"/>
  <c r="I1307" i="4"/>
  <c r="J1307" i="4"/>
  <c r="K1307" i="4"/>
  <c r="H1308" i="4"/>
  <c r="I1308" i="4"/>
  <c r="J1308" i="4"/>
  <c r="K1308" i="4"/>
  <c r="H1309" i="4"/>
  <c r="I1309" i="4"/>
  <c r="J1309" i="4"/>
  <c r="K1309" i="4"/>
  <c r="H1310" i="4"/>
  <c r="I1310" i="4"/>
  <c r="J1310" i="4"/>
  <c r="K1310" i="4"/>
  <c r="H1311" i="4"/>
  <c r="I1311" i="4"/>
  <c r="J1311" i="4"/>
  <c r="K1311" i="4"/>
  <c r="H1312" i="4"/>
  <c r="I1312" i="4"/>
  <c r="J1312" i="4"/>
  <c r="K1312" i="4"/>
  <c r="H1313" i="4"/>
  <c r="I1313" i="4"/>
  <c r="J1313" i="4"/>
  <c r="K1313" i="4"/>
  <c r="H1314" i="4"/>
  <c r="I1314" i="4"/>
  <c r="J1314" i="4"/>
  <c r="K1314" i="4"/>
  <c r="H1315" i="4"/>
  <c r="I1315" i="4"/>
  <c r="J1315" i="4"/>
  <c r="K1315" i="4"/>
  <c r="H1316" i="4"/>
  <c r="I1316" i="4"/>
  <c r="J1316" i="4"/>
  <c r="K1316" i="4"/>
  <c r="H1317" i="4"/>
  <c r="I1317" i="4"/>
  <c r="J1317" i="4"/>
  <c r="K1317" i="4"/>
  <c r="H1318" i="4"/>
  <c r="I1318" i="4"/>
  <c r="J1318" i="4"/>
  <c r="K1318" i="4"/>
  <c r="H1319" i="4"/>
  <c r="I1319" i="4"/>
  <c r="J1319" i="4"/>
  <c r="K1319" i="4"/>
  <c r="H1320" i="4"/>
  <c r="I1320" i="4"/>
  <c r="J1320" i="4"/>
  <c r="K1320" i="4"/>
  <c r="H1321" i="4"/>
  <c r="I1321" i="4"/>
  <c r="J1321" i="4"/>
  <c r="K1321" i="4"/>
  <c r="H1322" i="4"/>
  <c r="I1322" i="4"/>
  <c r="J1322" i="4"/>
  <c r="K1322" i="4"/>
  <c r="H1323" i="4"/>
  <c r="I1323" i="4"/>
  <c r="J1323" i="4"/>
  <c r="K1323" i="4"/>
  <c r="H1324" i="4"/>
  <c r="I1324" i="4"/>
  <c r="J1324" i="4"/>
  <c r="K1324" i="4"/>
  <c r="H1325" i="4"/>
  <c r="I1325" i="4"/>
  <c r="J1325" i="4"/>
  <c r="K1325" i="4"/>
  <c r="H1326" i="4"/>
  <c r="I1326" i="4"/>
  <c r="J1326" i="4"/>
  <c r="K1326" i="4"/>
  <c r="H1327" i="4"/>
  <c r="I1327" i="4"/>
  <c r="J1327" i="4"/>
  <c r="K1327" i="4"/>
  <c r="H1328" i="4"/>
  <c r="I1328" i="4"/>
  <c r="J1328" i="4"/>
  <c r="K1328" i="4"/>
  <c r="H1329" i="4"/>
  <c r="I1329" i="4"/>
  <c r="J1329" i="4"/>
  <c r="K1329" i="4"/>
  <c r="H1330" i="4"/>
  <c r="I1330" i="4"/>
  <c r="J1330" i="4"/>
  <c r="K1330" i="4"/>
  <c r="H1331" i="4"/>
  <c r="I1331" i="4"/>
  <c r="J1331" i="4"/>
  <c r="K1331" i="4"/>
  <c r="H1332" i="4"/>
  <c r="I1332" i="4"/>
  <c r="J1332" i="4"/>
  <c r="K1332" i="4"/>
  <c r="H1333" i="4"/>
  <c r="I1333" i="4"/>
  <c r="J1333" i="4"/>
  <c r="K1333" i="4"/>
  <c r="H1334" i="4"/>
  <c r="I1334" i="4"/>
  <c r="J1334" i="4"/>
  <c r="K1334" i="4"/>
  <c r="H1335" i="4"/>
  <c r="I1335" i="4"/>
  <c r="J1335" i="4"/>
  <c r="K1335" i="4"/>
  <c r="H1336" i="4"/>
  <c r="I1336" i="4"/>
  <c r="J1336" i="4"/>
  <c r="K1336" i="4"/>
  <c r="H1337" i="4"/>
  <c r="I1337" i="4"/>
  <c r="J1337" i="4"/>
  <c r="K1337" i="4"/>
  <c r="H1338" i="4"/>
  <c r="I1338" i="4"/>
  <c r="J1338" i="4"/>
  <c r="K1338" i="4"/>
  <c r="H1339" i="4"/>
  <c r="I1339" i="4"/>
  <c r="J1339" i="4"/>
  <c r="K1339" i="4"/>
  <c r="H1340" i="4"/>
  <c r="I1340" i="4"/>
  <c r="J1340" i="4"/>
  <c r="K1340" i="4"/>
  <c r="H1341" i="4"/>
  <c r="I1341" i="4"/>
  <c r="J1341" i="4"/>
  <c r="K1341" i="4"/>
  <c r="H1342" i="4"/>
  <c r="I1342" i="4"/>
  <c r="J1342" i="4"/>
  <c r="K1342" i="4"/>
  <c r="H1343" i="4"/>
  <c r="I1343" i="4"/>
  <c r="J1343" i="4"/>
  <c r="K1343" i="4"/>
  <c r="H1344" i="4"/>
  <c r="I1344" i="4"/>
  <c r="J1344" i="4"/>
  <c r="K1344" i="4"/>
  <c r="H1345" i="4"/>
  <c r="I1345" i="4"/>
  <c r="J1345" i="4"/>
  <c r="K1345" i="4"/>
  <c r="H1346" i="4"/>
  <c r="I1346" i="4"/>
  <c r="J1346" i="4"/>
  <c r="K1346" i="4"/>
  <c r="H1347" i="4"/>
  <c r="I1347" i="4"/>
  <c r="J1347" i="4"/>
  <c r="K1347" i="4"/>
  <c r="H1348" i="4"/>
  <c r="I1348" i="4"/>
  <c r="J1348" i="4"/>
  <c r="K1348" i="4"/>
  <c r="H1349" i="4"/>
  <c r="I1349" i="4"/>
  <c r="J1349" i="4"/>
  <c r="K1349" i="4"/>
  <c r="H1350" i="4"/>
  <c r="I1350" i="4"/>
  <c r="J1350" i="4"/>
  <c r="K1350" i="4"/>
  <c r="H1351" i="4"/>
  <c r="I1351" i="4"/>
  <c r="J1351" i="4"/>
  <c r="K1351" i="4"/>
  <c r="H1352" i="4"/>
  <c r="I1352" i="4"/>
  <c r="J1352" i="4"/>
  <c r="K1352" i="4"/>
  <c r="H1353" i="4"/>
  <c r="I1353" i="4"/>
  <c r="J1353" i="4"/>
  <c r="K1353" i="4"/>
  <c r="H1354" i="4"/>
  <c r="I1354" i="4"/>
  <c r="J1354" i="4"/>
  <c r="K1354" i="4"/>
  <c r="H1355" i="4"/>
  <c r="I1355" i="4"/>
  <c r="J1355" i="4"/>
  <c r="K1355" i="4"/>
  <c r="H1356" i="4"/>
  <c r="I1356" i="4"/>
  <c r="J1356" i="4"/>
  <c r="K1356" i="4"/>
  <c r="H1357" i="4"/>
  <c r="I1357" i="4"/>
  <c r="J1357" i="4"/>
  <c r="K1357" i="4"/>
  <c r="H1358" i="4"/>
  <c r="I1358" i="4"/>
  <c r="J1358" i="4"/>
  <c r="K1358" i="4"/>
  <c r="H1359" i="4"/>
  <c r="I1359" i="4"/>
  <c r="J1359" i="4"/>
  <c r="K1359" i="4"/>
  <c r="H1360" i="4"/>
  <c r="I1360" i="4"/>
  <c r="J1360" i="4"/>
  <c r="K1360" i="4"/>
  <c r="H1361" i="4"/>
  <c r="I1361" i="4"/>
  <c r="J1361" i="4"/>
  <c r="K1361" i="4"/>
  <c r="H1362" i="4"/>
  <c r="I1362" i="4"/>
  <c r="J1362" i="4"/>
  <c r="K1362" i="4"/>
  <c r="H1363" i="4"/>
  <c r="I1363" i="4"/>
  <c r="J1363" i="4"/>
  <c r="K1363" i="4"/>
  <c r="H1364" i="4"/>
  <c r="I1364" i="4"/>
  <c r="J1364" i="4"/>
  <c r="K1364" i="4"/>
  <c r="H1365" i="4"/>
  <c r="I1365" i="4"/>
  <c r="J1365" i="4"/>
  <c r="K1365" i="4"/>
  <c r="H1366" i="4"/>
  <c r="I1366" i="4"/>
  <c r="J1366" i="4"/>
  <c r="K1366" i="4"/>
  <c r="H1367" i="4"/>
  <c r="I1367" i="4"/>
  <c r="J1367" i="4"/>
  <c r="K1367" i="4"/>
  <c r="H1368" i="4"/>
  <c r="I1368" i="4"/>
  <c r="J1368" i="4"/>
  <c r="K1368" i="4"/>
  <c r="H1369" i="4"/>
  <c r="I1369" i="4"/>
  <c r="J1369" i="4"/>
  <c r="K1369" i="4"/>
  <c r="H1370" i="4"/>
  <c r="I1370" i="4"/>
  <c r="J1370" i="4"/>
  <c r="K1370" i="4"/>
  <c r="H1371" i="4"/>
  <c r="I1371" i="4"/>
  <c r="J1371" i="4"/>
  <c r="K1371" i="4"/>
  <c r="H1372" i="4"/>
  <c r="I1372" i="4"/>
  <c r="J1372" i="4"/>
  <c r="K1372" i="4"/>
  <c r="H1373" i="4"/>
  <c r="I1373" i="4"/>
  <c r="J1373" i="4"/>
  <c r="K1373" i="4"/>
  <c r="H1374" i="4"/>
  <c r="I1374" i="4"/>
  <c r="J1374" i="4"/>
  <c r="K1374" i="4"/>
  <c r="H1375" i="4"/>
  <c r="I1375" i="4"/>
  <c r="J1375" i="4"/>
  <c r="K1375" i="4"/>
  <c r="H1376" i="4"/>
  <c r="I1376" i="4"/>
  <c r="J1376" i="4"/>
  <c r="K1376" i="4"/>
  <c r="H1377" i="4"/>
  <c r="I1377" i="4"/>
  <c r="J1377" i="4"/>
  <c r="K1377" i="4"/>
  <c r="H1378" i="4"/>
  <c r="I1378" i="4"/>
  <c r="J1378" i="4"/>
  <c r="K1378" i="4"/>
  <c r="H1379" i="4"/>
  <c r="I1379" i="4"/>
  <c r="J1379" i="4"/>
  <c r="K1379" i="4"/>
  <c r="H1380" i="4"/>
  <c r="I1380" i="4"/>
  <c r="J1380" i="4"/>
  <c r="K1380" i="4"/>
  <c r="H1381" i="4"/>
  <c r="I1381" i="4"/>
  <c r="J1381" i="4"/>
  <c r="K1381" i="4"/>
  <c r="H1382" i="4"/>
  <c r="I1382" i="4"/>
  <c r="J1382" i="4"/>
  <c r="K1382" i="4"/>
  <c r="H1383" i="4"/>
  <c r="I1383" i="4"/>
  <c r="J1383" i="4"/>
  <c r="K1383" i="4"/>
  <c r="H1384" i="4"/>
  <c r="I1384" i="4"/>
  <c r="J1384" i="4"/>
  <c r="K1384" i="4"/>
  <c r="H1385" i="4"/>
  <c r="I1385" i="4"/>
  <c r="J1385" i="4"/>
  <c r="K1385" i="4"/>
  <c r="H1386" i="4"/>
  <c r="I1386" i="4"/>
  <c r="J1386" i="4"/>
  <c r="K1386" i="4"/>
  <c r="H1387" i="4"/>
  <c r="I1387" i="4"/>
  <c r="J1387" i="4"/>
  <c r="K1387" i="4"/>
  <c r="H1388" i="4"/>
  <c r="I1388" i="4"/>
  <c r="J1388" i="4"/>
  <c r="K1388" i="4"/>
  <c r="H1389" i="4"/>
  <c r="I1389" i="4"/>
  <c r="J1389" i="4"/>
  <c r="K1389" i="4"/>
  <c r="H1390" i="4"/>
  <c r="I1390" i="4"/>
  <c r="J1390" i="4"/>
  <c r="K1390" i="4"/>
  <c r="H1391" i="4"/>
  <c r="I1391" i="4"/>
  <c r="J1391" i="4"/>
  <c r="K1391" i="4"/>
  <c r="H1392" i="4"/>
  <c r="I1392" i="4"/>
  <c r="J1392" i="4"/>
  <c r="K1392" i="4"/>
  <c r="H1393" i="4"/>
  <c r="I1393" i="4"/>
  <c r="J1393" i="4"/>
  <c r="K1393" i="4"/>
  <c r="H1394" i="4"/>
  <c r="I1394" i="4"/>
  <c r="J1394" i="4"/>
  <c r="K1394" i="4"/>
  <c r="H1395" i="4"/>
  <c r="I1395" i="4"/>
  <c r="J1395" i="4"/>
  <c r="K1395" i="4"/>
  <c r="H1396" i="4"/>
  <c r="I1396" i="4"/>
  <c r="J1396" i="4"/>
  <c r="K1396" i="4"/>
  <c r="H1397" i="4"/>
  <c r="I1397" i="4"/>
  <c r="J1397" i="4"/>
  <c r="K1397" i="4"/>
  <c r="H1398" i="4"/>
  <c r="I1398" i="4"/>
  <c r="J1398" i="4"/>
  <c r="K1398" i="4"/>
  <c r="H1399" i="4"/>
  <c r="I1399" i="4"/>
  <c r="J1399" i="4"/>
  <c r="K1399" i="4"/>
  <c r="H1400" i="4"/>
  <c r="I1400" i="4"/>
  <c r="J1400" i="4"/>
  <c r="K1400" i="4"/>
  <c r="H1401" i="4"/>
  <c r="I1401" i="4"/>
  <c r="J1401" i="4"/>
  <c r="K1401" i="4"/>
  <c r="H1402" i="4"/>
  <c r="I1402" i="4"/>
  <c r="J1402" i="4"/>
  <c r="K1402" i="4"/>
  <c r="H1403" i="4"/>
  <c r="I1403" i="4"/>
  <c r="J1403" i="4"/>
  <c r="K1403" i="4"/>
  <c r="H1404" i="4"/>
  <c r="I1404" i="4"/>
  <c r="J1404" i="4"/>
  <c r="K1404" i="4"/>
  <c r="H1405" i="4"/>
  <c r="I1405" i="4"/>
  <c r="J1405" i="4"/>
  <c r="K1405" i="4"/>
  <c r="H1406" i="4"/>
  <c r="I1406" i="4"/>
  <c r="J1406" i="4"/>
  <c r="K1406" i="4"/>
  <c r="H1407" i="4"/>
  <c r="I1407" i="4"/>
  <c r="J1407" i="4"/>
  <c r="K1407" i="4"/>
  <c r="H1408" i="4"/>
  <c r="I1408" i="4"/>
  <c r="J1408" i="4"/>
  <c r="K1408" i="4"/>
  <c r="H1409" i="4"/>
  <c r="I1409" i="4"/>
  <c r="J1409" i="4"/>
  <c r="K1409" i="4"/>
  <c r="H1410" i="4"/>
  <c r="I1410" i="4"/>
  <c r="J1410" i="4"/>
  <c r="K1410" i="4"/>
  <c r="H1411" i="4"/>
  <c r="I1411" i="4"/>
  <c r="J1411" i="4"/>
  <c r="K1411" i="4"/>
  <c r="H1412" i="4"/>
  <c r="I1412" i="4"/>
  <c r="J1412" i="4"/>
  <c r="K1412" i="4"/>
  <c r="H1413" i="4"/>
  <c r="I1413" i="4"/>
  <c r="J1413" i="4"/>
  <c r="K1413" i="4"/>
  <c r="H1414" i="4"/>
  <c r="I1414" i="4"/>
  <c r="J1414" i="4"/>
  <c r="K1414" i="4"/>
  <c r="H1415" i="4"/>
  <c r="I1415" i="4"/>
  <c r="J1415" i="4"/>
  <c r="K1415" i="4"/>
  <c r="H1416" i="4"/>
  <c r="I1416" i="4"/>
  <c r="J1416" i="4"/>
  <c r="K1416" i="4"/>
  <c r="H1417" i="4"/>
  <c r="I1417" i="4"/>
  <c r="J1417" i="4"/>
  <c r="K1417" i="4"/>
  <c r="H1418" i="4"/>
  <c r="I1418" i="4"/>
  <c r="J1418" i="4"/>
  <c r="K1418" i="4"/>
  <c r="H1419" i="4"/>
  <c r="I1419" i="4"/>
  <c r="J1419" i="4"/>
  <c r="K1419" i="4"/>
  <c r="H1420" i="4"/>
  <c r="I1420" i="4"/>
  <c r="J1420" i="4"/>
  <c r="K1420" i="4"/>
  <c r="H1421" i="4"/>
  <c r="I1421" i="4"/>
  <c r="J1421" i="4"/>
  <c r="K1421" i="4"/>
  <c r="H1422" i="4"/>
  <c r="I1422" i="4"/>
  <c r="J1422" i="4"/>
  <c r="K1422" i="4"/>
  <c r="H1423" i="4"/>
  <c r="I1423" i="4"/>
  <c r="J1423" i="4"/>
  <c r="K1423" i="4"/>
  <c r="H1424" i="4"/>
  <c r="I1424" i="4"/>
  <c r="J1424" i="4"/>
  <c r="K1424" i="4"/>
  <c r="H1425" i="4"/>
  <c r="I1425" i="4"/>
  <c r="J1425" i="4"/>
  <c r="K1425" i="4"/>
  <c r="H1426" i="4"/>
  <c r="I1426" i="4"/>
  <c r="J1426" i="4"/>
  <c r="K1426" i="4"/>
  <c r="H1427" i="4"/>
  <c r="I1427" i="4"/>
  <c r="J1427" i="4"/>
  <c r="K1427" i="4"/>
  <c r="H1428" i="4"/>
  <c r="I1428" i="4"/>
  <c r="J1428" i="4"/>
  <c r="K1428" i="4"/>
  <c r="H1429" i="4"/>
  <c r="I1429" i="4"/>
  <c r="J1429" i="4"/>
  <c r="K1429" i="4"/>
  <c r="H1430" i="4"/>
  <c r="I1430" i="4"/>
  <c r="J1430" i="4"/>
  <c r="K1430" i="4"/>
  <c r="H1431" i="4"/>
  <c r="I1431" i="4"/>
  <c r="J1431" i="4"/>
  <c r="K1431" i="4"/>
  <c r="H1432" i="4"/>
  <c r="I1432" i="4"/>
  <c r="J1432" i="4"/>
  <c r="K1432" i="4"/>
  <c r="H1433" i="4"/>
  <c r="I1433" i="4"/>
  <c r="J1433" i="4"/>
  <c r="K1433" i="4"/>
  <c r="H1434" i="4"/>
  <c r="I1434" i="4"/>
  <c r="J1434" i="4"/>
  <c r="K1434" i="4"/>
  <c r="H1435" i="4"/>
  <c r="I1435" i="4"/>
  <c r="J1435" i="4"/>
  <c r="K1435" i="4"/>
  <c r="H1436" i="4"/>
  <c r="I1436" i="4"/>
  <c r="J1436" i="4"/>
  <c r="K1436" i="4"/>
  <c r="H1437" i="4"/>
  <c r="I1437" i="4"/>
  <c r="J1437" i="4"/>
  <c r="K1437" i="4"/>
  <c r="H1438" i="4"/>
  <c r="I1438" i="4"/>
  <c r="J1438" i="4"/>
  <c r="K1438" i="4"/>
  <c r="H1439" i="4"/>
  <c r="I1439" i="4"/>
  <c r="J1439" i="4"/>
  <c r="K1439" i="4"/>
  <c r="H1440" i="4"/>
  <c r="I1440" i="4"/>
  <c r="J1440" i="4"/>
  <c r="K1440" i="4"/>
  <c r="H1441" i="4"/>
  <c r="I1441" i="4"/>
  <c r="J1441" i="4"/>
  <c r="K1441" i="4"/>
  <c r="H1442" i="4"/>
  <c r="I1442" i="4"/>
  <c r="J1442" i="4"/>
  <c r="K1442" i="4"/>
  <c r="H1443" i="4"/>
  <c r="I1443" i="4"/>
  <c r="J1443" i="4"/>
  <c r="K1443" i="4"/>
  <c r="H1444" i="4"/>
  <c r="I1444" i="4"/>
  <c r="J1444" i="4"/>
  <c r="K1444" i="4"/>
  <c r="H1445" i="4"/>
  <c r="I1445" i="4"/>
  <c r="J1445" i="4"/>
  <c r="K1445" i="4"/>
  <c r="H1446" i="4"/>
  <c r="I1446" i="4"/>
  <c r="J1446" i="4"/>
  <c r="K1446" i="4"/>
  <c r="H1447" i="4"/>
  <c r="I1447" i="4"/>
  <c r="J1447" i="4"/>
  <c r="K1447" i="4"/>
  <c r="H1448" i="4"/>
  <c r="I1448" i="4"/>
  <c r="J1448" i="4"/>
  <c r="K1448" i="4"/>
  <c r="H1449" i="4"/>
  <c r="I1449" i="4"/>
  <c r="J1449" i="4"/>
  <c r="K1449" i="4"/>
  <c r="H1450" i="4"/>
  <c r="I1450" i="4"/>
  <c r="J1450" i="4"/>
  <c r="K1450" i="4"/>
  <c r="H1451" i="4"/>
  <c r="I1451" i="4"/>
  <c r="J1451" i="4"/>
  <c r="K1451" i="4"/>
  <c r="H1452" i="4"/>
  <c r="I1452" i="4"/>
  <c r="J1452" i="4"/>
  <c r="K1452" i="4"/>
  <c r="H1453" i="4"/>
  <c r="I1453" i="4"/>
  <c r="J1453" i="4"/>
  <c r="K1453" i="4"/>
  <c r="H1454" i="4"/>
  <c r="I1454" i="4"/>
  <c r="J1454" i="4"/>
  <c r="K1454" i="4"/>
  <c r="H1455" i="4"/>
  <c r="I1455" i="4"/>
  <c r="J1455" i="4"/>
  <c r="K1455" i="4"/>
  <c r="H1456" i="4"/>
  <c r="I1456" i="4"/>
  <c r="J1456" i="4"/>
  <c r="K1456" i="4"/>
  <c r="H1457" i="4"/>
  <c r="I1457" i="4"/>
  <c r="J1457" i="4"/>
  <c r="K1457" i="4"/>
  <c r="H1458" i="4"/>
  <c r="I1458" i="4"/>
  <c r="J1458" i="4"/>
  <c r="K1458" i="4"/>
  <c r="H1459" i="4"/>
  <c r="I1459" i="4"/>
  <c r="J1459" i="4"/>
  <c r="K1459" i="4"/>
  <c r="H1460" i="4"/>
  <c r="I1460" i="4"/>
  <c r="J1460" i="4"/>
  <c r="K1460" i="4"/>
  <c r="H1461" i="4"/>
  <c r="I1461" i="4"/>
  <c r="J1461" i="4"/>
  <c r="K1461" i="4"/>
  <c r="H1462" i="4"/>
  <c r="I1462" i="4"/>
  <c r="J1462" i="4"/>
  <c r="K1462" i="4"/>
  <c r="H1463" i="4"/>
  <c r="I1463" i="4"/>
  <c r="J1463" i="4"/>
  <c r="K1463" i="4"/>
  <c r="H1464" i="4"/>
  <c r="I1464" i="4"/>
  <c r="J1464" i="4"/>
  <c r="K1464" i="4"/>
  <c r="H1465" i="4"/>
  <c r="I1465" i="4"/>
  <c r="J1465" i="4"/>
  <c r="K1465" i="4"/>
  <c r="H1466" i="4"/>
  <c r="I1466" i="4"/>
  <c r="J1466" i="4"/>
  <c r="K1466" i="4"/>
  <c r="H1467" i="4"/>
  <c r="I1467" i="4"/>
  <c r="J1467" i="4"/>
  <c r="K1467" i="4"/>
  <c r="H1468" i="4"/>
  <c r="I1468" i="4"/>
  <c r="J1468" i="4"/>
  <c r="K1468" i="4"/>
  <c r="H1469" i="4"/>
  <c r="I1469" i="4"/>
  <c r="J1469" i="4"/>
  <c r="K1469" i="4"/>
  <c r="H1470" i="4"/>
  <c r="I1470" i="4"/>
  <c r="J1470" i="4"/>
  <c r="K1470" i="4"/>
  <c r="H1471" i="4"/>
  <c r="I1471" i="4"/>
  <c r="J1471" i="4"/>
  <c r="K1471" i="4"/>
  <c r="H1472" i="4"/>
  <c r="I1472" i="4"/>
  <c r="J1472" i="4"/>
  <c r="K1472" i="4"/>
  <c r="H1473" i="4"/>
  <c r="I1473" i="4"/>
  <c r="J1473" i="4"/>
  <c r="K1473" i="4"/>
  <c r="H1474" i="4"/>
  <c r="I1474" i="4"/>
  <c r="J1474" i="4"/>
  <c r="K1474" i="4"/>
  <c r="H1475" i="4"/>
  <c r="I1475" i="4"/>
  <c r="J1475" i="4"/>
  <c r="K1475" i="4"/>
  <c r="H1476" i="4"/>
  <c r="I1476" i="4"/>
  <c r="J1476" i="4"/>
  <c r="K1476" i="4"/>
  <c r="H1477" i="4"/>
  <c r="I1477" i="4"/>
  <c r="J1477" i="4"/>
  <c r="K1477" i="4"/>
  <c r="H1478" i="4"/>
  <c r="I1478" i="4"/>
  <c r="J1478" i="4"/>
  <c r="K1478" i="4"/>
  <c r="H1479" i="4"/>
  <c r="I1479" i="4"/>
  <c r="J1479" i="4"/>
  <c r="K1479" i="4"/>
  <c r="H1480" i="4"/>
  <c r="I1480" i="4"/>
  <c r="J1480" i="4"/>
  <c r="K1480" i="4"/>
  <c r="H1481" i="4"/>
  <c r="I1481" i="4"/>
  <c r="J1481" i="4"/>
  <c r="K1481" i="4"/>
  <c r="H1482" i="4"/>
  <c r="I1482" i="4"/>
  <c r="J1482" i="4"/>
  <c r="K1482" i="4"/>
  <c r="H1483" i="4"/>
  <c r="I1483" i="4"/>
  <c r="J1483" i="4"/>
  <c r="K1483" i="4"/>
  <c r="H1484" i="4"/>
  <c r="I1484" i="4"/>
  <c r="J1484" i="4"/>
  <c r="K1484" i="4"/>
  <c r="H1485" i="4"/>
  <c r="I1485" i="4"/>
  <c r="J1485" i="4"/>
  <c r="K1485" i="4"/>
  <c r="H1486" i="4"/>
  <c r="I1486" i="4"/>
  <c r="J1486" i="4"/>
  <c r="K1486" i="4"/>
  <c r="H1487" i="4"/>
  <c r="I1487" i="4"/>
  <c r="J1487" i="4"/>
  <c r="K1487" i="4"/>
  <c r="H1488" i="4"/>
  <c r="I1488" i="4"/>
  <c r="J1488" i="4"/>
  <c r="K1488" i="4"/>
  <c r="H1489" i="4"/>
  <c r="I1489" i="4"/>
  <c r="J1489" i="4"/>
  <c r="K1489" i="4"/>
  <c r="H1490" i="4"/>
  <c r="I1490" i="4"/>
  <c r="J1490" i="4"/>
  <c r="K1490" i="4"/>
  <c r="H1491" i="4"/>
  <c r="I1491" i="4"/>
  <c r="J1491" i="4"/>
  <c r="K1491" i="4"/>
  <c r="H1492" i="4"/>
  <c r="I1492" i="4"/>
  <c r="J1492" i="4"/>
  <c r="K1492" i="4"/>
  <c r="H1493" i="4"/>
  <c r="I1493" i="4"/>
  <c r="J1493" i="4"/>
  <c r="K1493" i="4"/>
  <c r="H1494" i="4"/>
  <c r="I1494" i="4"/>
  <c r="J1494" i="4"/>
  <c r="K1494" i="4"/>
  <c r="H1495" i="4"/>
  <c r="I1495" i="4"/>
  <c r="J1495" i="4"/>
  <c r="K1495" i="4"/>
  <c r="H1496" i="4"/>
  <c r="I1496" i="4"/>
  <c r="J1496" i="4"/>
  <c r="K1496" i="4"/>
  <c r="H1497" i="4"/>
  <c r="I1497" i="4"/>
  <c r="J1497" i="4"/>
  <c r="K1497" i="4"/>
  <c r="H1498" i="4"/>
  <c r="I1498" i="4"/>
  <c r="J1498" i="4"/>
  <c r="K1498" i="4"/>
  <c r="H1499" i="4"/>
  <c r="I1499" i="4"/>
  <c r="J1499" i="4"/>
  <c r="K1499" i="4"/>
  <c r="H1500" i="4"/>
  <c r="I1500" i="4"/>
  <c r="J1500" i="4"/>
  <c r="K1500" i="4"/>
  <c r="H1501" i="4"/>
  <c r="I1501" i="4"/>
  <c r="J1501" i="4"/>
  <c r="K1501" i="4"/>
  <c r="H1502" i="4"/>
  <c r="I1502" i="4"/>
  <c r="J1502" i="4"/>
  <c r="K1502" i="4"/>
  <c r="H1503" i="4"/>
  <c r="I1503" i="4"/>
  <c r="J1503" i="4"/>
  <c r="K1503" i="4"/>
  <c r="H1504" i="4"/>
  <c r="I1504" i="4"/>
  <c r="J1504" i="4"/>
  <c r="K1504" i="4"/>
  <c r="H1505" i="4"/>
  <c r="I1505" i="4"/>
  <c r="J1505" i="4"/>
  <c r="K1505" i="4"/>
  <c r="H1506" i="4"/>
  <c r="I1506" i="4"/>
  <c r="J1506" i="4"/>
  <c r="K1506" i="4"/>
  <c r="H1507" i="4"/>
  <c r="I1507" i="4"/>
  <c r="J1507" i="4"/>
  <c r="K1507" i="4"/>
  <c r="H1508" i="4"/>
  <c r="I1508" i="4"/>
  <c r="J1508" i="4"/>
  <c r="K1508" i="4"/>
  <c r="H1509" i="4"/>
  <c r="I1509" i="4"/>
  <c r="J1509" i="4"/>
  <c r="K1509" i="4"/>
  <c r="H1510" i="4"/>
  <c r="I1510" i="4"/>
  <c r="J1510" i="4"/>
  <c r="K1510" i="4"/>
  <c r="H1511" i="4"/>
  <c r="I1511" i="4"/>
  <c r="J1511" i="4"/>
  <c r="K1511" i="4"/>
  <c r="H1512" i="4"/>
  <c r="I1512" i="4"/>
  <c r="J1512" i="4"/>
  <c r="K1512" i="4"/>
  <c r="H1513" i="4"/>
  <c r="I1513" i="4"/>
  <c r="J1513" i="4"/>
  <c r="K1513" i="4"/>
  <c r="H1514" i="4"/>
  <c r="I1514" i="4"/>
  <c r="J1514" i="4"/>
  <c r="K1514" i="4"/>
  <c r="H1515" i="4"/>
  <c r="I1515" i="4"/>
  <c r="J1515" i="4"/>
  <c r="K1515" i="4"/>
  <c r="H1516" i="4"/>
  <c r="I1516" i="4"/>
  <c r="J1516" i="4"/>
  <c r="K1516" i="4"/>
  <c r="H1517" i="4"/>
  <c r="I1517" i="4"/>
  <c r="J1517" i="4"/>
  <c r="K1517" i="4"/>
  <c r="H1518" i="4"/>
  <c r="I1518" i="4"/>
  <c r="J1518" i="4"/>
  <c r="K1518" i="4"/>
  <c r="H1519" i="4"/>
  <c r="I1519" i="4"/>
  <c r="J1519" i="4"/>
  <c r="K1519" i="4"/>
  <c r="H1520" i="4"/>
  <c r="I1520" i="4"/>
  <c r="J1520" i="4"/>
  <c r="K1520" i="4"/>
  <c r="H1521" i="4"/>
  <c r="I1521" i="4"/>
  <c r="J1521" i="4"/>
  <c r="K1521" i="4"/>
  <c r="H1522" i="4"/>
  <c r="I1522" i="4"/>
  <c r="J1522" i="4"/>
  <c r="K1522" i="4"/>
  <c r="H1523" i="4"/>
  <c r="I1523" i="4"/>
  <c r="J1523" i="4"/>
  <c r="K1523" i="4"/>
  <c r="H1524" i="4"/>
  <c r="I1524" i="4"/>
  <c r="J1524" i="4"/>
  <c r="K1524" i="4"/>
  <c r="H1525" i="4"/>
  <c r="I1525" i="4"/>
  <c r="J1525" i="4"/>
  <c r="K1525" i="4"/>
  <c r="H1526" i="4"/>
  <c r="I1526" i="4"/>
  <c r="J1526" i="4"/>
  <c r="K1526" i="4"/>
  <c r="H1527" i="4"/>
  <c r="I1527" i="4"/>
  <c r="J1527" i="4"/>
  <c r="K1527" i="4"/>
  <c r="H1528" i="4"/>
  <c r="I1528" i="4"/>
  <c r="J1528" i="4"/>
  <c r="K1528" i="4"/>
  <c r="H1529" i="4"/>
  <c r="I1529" i="4"/>
  <c r="J1529" i="4"/>
  <c r="K1529" i="4"/>
  <c r="H1530" i="4"/>
  <c r="I1530" i="4"/>
  <c r="J1530" i="4"/>
  <c r="K1530" i="4"/>
  <c r="H1531" i="4"/>
  <c r="I1531" i="4"/>
  <c r="J1531" i="4"/>
  <c r="K1531" i="4"/>
  <c r="H1532" i="4"/>
  <c r="I1532" i="4"/>
  <c r="J1532" i="4"/>
  <c r="K1532" i="4"/>
  <c r="H1533" i="4"/>
  <c r="I1533" i="4"/>
  <c r="J1533" i="4"/>
  <c r="K1533" i="4"/>
  <c r="H1534" i="4"/>
  <c r="I1534" i="4"/>
  <c r="J1534" i="4"/>
  <c r="K1534" i="4"/>
  <c r="H1535" i="4"/>
  <c r="I1535" i="4"/>
  <c r="J1535" i="4"/>
  <c r="K1535" i="4"/>
  <c r="H1536" i="4"/>
  <c r="I1536" i="4"/>
  <c r="J1536" i="4"/>
  <c r="K1536" i="4"/>
  <c r="H1537" i="4"/>
  <c r="I1537" i="4"/>
  <c r="J1537" i="4"/>
  <c r="K1537" i="4"/>
  <c r="H1538" i="4"/>
  <c r="I1538" i="4"/>
  <c r="J1538" i="4"/>
  <c r="K1538" i="4"/>
  <c r="H1539" i="4"/>
  <c r="I1539" i="4"/>
  <c r="J1539" i="4"/>
  <c r="K1539" i="4"/>
  <c r="H1540" i="4"/>
  <c r="I1540" i="4"/>
  <c r="J1540" i="4"/>
  <c r="K1540" i="4"/>
  <c r="H1541" i="4"/>
  <c r="I1541" i="4"/>
  <c r="J1541" i="4"/>
  <c r="K1541" i="4"/>
  <c r="H1542" i="4"/>
  <c r="I1542" i="4"/>
  <c r="J1542" i="4"/>
  <c r="K1542" i="4"/>
  <c r="H1543" i="4"/>
  <c r="I1543" i="4"/>
  <c r="J1543" i="4"/>
  <c r="K1543" i="4"/>
  <c r="H1544" i="4"/>
  <c r="I1544" i="4"/>
  <c r="J1544" i="4"/>
  <c r="K1544" i="4"/>
  <c r="H1545" i="4"/>
  <c r="I1545" i="4"/>
  <c r="J1545" i="4"/>
  <c r="K1545" i="4"/>
  <c r="H1546" i="4"/>
  <c r="I1546" i="4"/>
  <c r="J1546" i="4"/>
  <c r="K1546" i="4"/>
  <c r="H1547" i="4"/>
  <c r="I1547" i="4"/>
  <c r="J1547" i="4"/>
  <c r="K1547" i="4"/>
  <c r="H1548" i="4"/>
  <c r="I1548" i="4"/>
  <c r="J1548" i="4"/>
  <c r="K1548" i="4"/>
  <c r="H1549" i="4"/>
  <c r="I1549" i="4"/>
  <c r="J1549" i="4"/>
  <c r="K1549" i="4"/>
  <c r="H1550" i="4"/>
  <c r="I1550" i="4"/>
  <c r="J1550" i="4"/>
  <c r="K1550" i="4"/>
  <c r="H1551" i="4"/>
  <c r="I1551" i="4"/>
  <c r="J1551" i="4"/>
  <c r="K1551" i="4"/>
  <c r="H1552" i="4"/>
  <c r="I1552" i="4"/>
  <c r="J1552" i="4"/>
  <c r="K1552" i="4"/>
  <c r="H1553" i="4"/>
  <c r="I1553" i="4"/>
  <c r="J1553" i="4"/>
  <c r="K1553" i="4"/>
  <c r="H1554" i="4"/>
  <c r="I1554" i="4"/>
  <c r="J1554" i="4"/>
  <c r="K1554" i="4"/>
  <c r="H1555" i="4"/>
  <c r="I1555" i="4"/>
  <c r="J1555" i="4"/>
  <c r="K1555" i="4"/>
  <c r="H1556" i="4"/>
  <c r="I1556" i="4"/>
  <c r="J1556" i="4"/>
  <c r="K1556" i="4"/>
  <c r="H1557" i="4"/>
  <c r="I1557" i="4"/>
  <c r="J1557" i="4"/>
  <c r="K1557" i="4"/>
  <c r="H1558" i="4"/>
  <c r="I1558" i="4"/>
  <c r="J1558" i="4"/>
  <c r="K1558" i="4"/>
  <c r="H1559" i="4"/>
  <c r="I1559" i="4"/>
  <c r="J1559" i="4"/>
  <c r="K1559" i="4"/>
  <c r="H1560" i="4"/>
  <c r="I1560" i="4"/>
  <c r="J1560" i="4"/>
  <c r="K1560" i="4"/>
  <c r="H1561" i="4"/>
  <c r="I1561" i="4"/>
  <c r="J1561" i="4"/>
  <c r="K1561" i="4"/>
  <c r="H1562" i="4"/>
  <c r="I1562" i="4"/>
  <c r="J1562" i="4"/>
  <c r="K1562" i="4"/>
  <c r="H1563" i="4"/>
  <c r="I1563" i="4"/>
  <c r="J1563" i="4"/>
  <c r="K1563" i="4"/>
  <c r="H1564" i="4"/>
  <c r="I1564" i="4"/>
  <c r="J1564" i="4"/>
  <c r="K1564" i="4"/>
  <c r="H1565" i="4"/>
  <c r="I1565" i="4"/>
  <c r="J1565" i="4"/>
  <c r="K1565" i="4"/>
  <c r="H1566" i="4"/>
  <c r="I1566" i="4"/>
  <c r="J1566" i="4"/>
  <c r="K1566" i="4"/>
  <c r="H1567" i="4"/>
  <c r="I1567" i="4"/>
  <c r="J1567" i="4"/>
  <c r="K1567" i="4"/>
  <c r="H1568" i="4"/>
  <c r="I1568" i="4"/>
  <c r="J1568" i="4"/>
  <c r="K1568" i="4"/>
  <c r="H1569" i="4"/>
  <c r="I1569" i="4"/>
  <c r="J1569" i="4"/>
  <c r="K1569" i="4"/>
  <c r="H1570" i="4"/>
  <c r="I1570" i="4"/>
  <c r="J1570" i="4"/>
  <c r="K1570" i="4"/>
  <c r="H1571" i="4"/>
  <c r="I1571" i="4"/>
  <c r="J1571" i="4"/>
  <c r="K1571" i="4"/>
  <c r="H1572" i="4"/>
  <c r="I1572" i="4"/>
  <c r="J1572" i="4"/>
  <c r="K1572" i="4"/>
  <c r="H1573" i="4"/>
  <c r="I1573" i="4"/>
  <c r="J1573" i="4"/>
  <c r="K1573" i="4"/>
  <c r="H1574" i="4"/>
  <c r="I1574" i="4"/>
  <c r="J1574" i="4"/>
  <c r="K1574" i="4"/>
  <c r="H1575" i="4"/>
  <c r="I1575" i="4"/>
  <c r="J1575" i="4"/>
  <c r="K1575" i="4"/>
  <c r="H1576" i="4"/>
  <c r="I1576" i="4"/>
  <c r="J1576" i="4"/>
  <c r="K1576" i="4"/>
  <c r="H1577" i="4"/>
  <c r="I1577" i="4"/>
  <c r="J1577" i="4"/>
  <c r="K1577" i="4"/>
  <c r="H1578" i="4"/>
  <c r="I1578" i="4"/>
  <c r="J1578" i="4"/>
  <c r="K1578" i="4"/>
  <c r="H1579" i="4"/>
  <c r="I1579" i="4"/>
  <c r="J1579" i="4"/>
  <c r="K1579" i="4"/>
  <c r="H1580" i="4"/>
  <c r="I1580" i="4"/>
  <c r="J1580" i="4"/>
  <c r="K1580" i="4"/>
  <c r="H1581" i="4"/>
  <c r="I1581" i="4"/>
  <c r="J1581" i="4"/>
  <c r="K1581" i="4"/>
  <c r="H1582" i="4"/>
  <c r="I1582" i="4"/>
  <c r="J1582" i="4"/>
  <c r="K1582" i="4"/>
  <c r="H1583" i="4"/>
  <c r="I1583" i="4"/>
  <c r="J1583" i="4"/>
  <c r="K1583" i="4"/>
  <c r="H1584" i="4"/>
  <c r="I1584" i="4"/>
  <c r="J1584" i="4"/>
  <c r="K1584" i="4"/>
  <c r="H1585" i="4"/>
  <c r="I1585" i="4"/>
  <c r="J1585" i="4"/>
  <c r="K1585" i="4"/>
  <c r="H1586" i="4"/>
  <c r="I1586" i="4"/>
  <c r="J1586" i="4"/>
  <c r="K1586" i="4"/>
  <c r="H1587" i="4"/>
  <c r="I1587" i="4"/>
  <c r="J1587" i="4"/>
  <c r="K1587" i="4"/>
  <c r="H1588" i="4"/>
  <c r="I1588" i="4"/>
  <c r="J1588" i="4"/>
  <c r="K1588" i="4"/>
  <c r="H1589" i="4"/>
  <c r="I1589" i="4"/>
  <c r="J1589" i="4"/>
  <c r="K1589" i="4"/>
  <c r="H1590" i="4"/>
  <c r="I1590" i="4"/>
  <c r="J1590" i="4"/>
  <c r="K1590" i="4"/>
  <c r="H1591" i="4"/>
  <c r="I1591" i="4"/>
  <c r="J1591" i="4"/>
  <c r="K1591" i="4"/>
  <c r="H1592" i="4"/>
  <c r="I1592" i="4"/>
  <c r="J1592" i="4"/>
  <c r="K1592" i="4"/>
  <c r="H1593" i="4"/>
  <c r="I1593" i="4"/>
  <c r="J1593" i="4"/>
  <c r="K1593" i="4"/>
  <c r="H1594" i="4"/>
  <c r="I1594" i="4"/>
  <c r="J1594" i="4"/>
  <c r="K1594" i="4"/>
  <c r="H1595" i="4"/>
  <c r="I1595" i="4"/>
  <c r="J1595" i="4"/>
  <c r="K1595" i="4"/>
  <c r="H1596" i="4"/>
  <c r="I1596" i="4"/>
  <c r="J1596" i="4"/>
  <c r="K1596" i="4"/>
  <c r="H1597" i="4"/>
  <c r="I1597" i="4"/>
  <c r="J1597" i="4"/>
  <c r="K1597" i="4"/>
  <c r="H1598" i="4"/>
  <c r="I1598" i="4"/>
  <c r="J1598" i="4"/>
  <c r="K1598" i="4"/>
  <c r="H1599" i="4"/>
  <c r="I1599" i="4"/>
  <c r="J1599" i="4"/>
  <c r="K1599" i="4"/>
  <c r="H1600" i="4"/>
  <c r="I1600" i="4"/>
  <c r="J1600" i="4"/>
  <c r="K1600" i="4"/>
  <c r="H1601" i="4"/>
  <c r="I1601" i="4"/>
  <c r="J1601" i="4"/>
  <c r="K1601" i="4"/>
  <c r="H1602" i="4"/>
  <c r="I1602" i="4"/>
  <c r="J1602" i="4"/>
  <c r="K1602" i="4"/>
  <c r="H1603" i="4"/>
  <c r="I1603" i="4"/>
  <c r="J1603" i="4"/>
  <c r="K1603" i="4"/>
  <c r="H1604" i="4"/>
  <c r="I1604" i="4"/>
  <c r="J1604" i="4"/>
  <c r="K1604" i="4"/>
  <c r="H1605" i="4"/>
  <c r="I1605" i="4"/>
  <c r="J1605" i="4"/>
  <c r="K1605" i="4"/>
  <c r="H1606" i="4"/>
  <c r="I1606" i="4"/>
  <c r="J1606" i="4"/>
  <c r="K1606" i="4"/>
  <c r="H1607" i="4"/>
  <c r="I1607" i="4"/>
  <c r="J1607" i="4"/>
  <c r="K1607" i="4"/>
  <c r="H1608" i="4"/>
  <c r="I1608" i="4"/>
  <c r="J1608" i="4"/>
  <c r="K1608" i="4"/>
  <c r="H1609" i="4"/>
  <c r="I1609" i="4"/>
  <c r="J1609" i="4"/>
  <c r="K1609" i="4"/>
  <c r="H1610" i="4"/>
  <c r="I1610" i="4"/>
  <c r="J1610" i="4"/>
  <c r="K1610" i="4"/>
  <c r="H1611" i="4"/>
  <c r="I1611" i="4"/>
  <c r="J1611" i="4"/>
  <c r="K1611" i="4"/>
  <c r="H1612" i="4"/>
  <c r="I1612" i="4"/>
  <c r="J1612" i="4"/>
  <c r="K1612" i="4"/>
  <c r="H1613" i="4"/>
  <c r="I1613" i="4"/>
  <c r="J1613" i="4"/>
  <c r="K1613" i="4"/>
  <c r="H1614" i="4"/>
  <c r="I1614" i="4"/>
  <c r="J1614" i="4"/>
  <c r="K1614" i="4"/>
  <c r="H1615" i="4"/>
  <c r="I1615" i="4"/>
  <c r="J1615" i="4"/>
  <c r="K1615" i="4"/>
  <c r="H1616" i="4"/>
  <c r="I1616" i="4"/>
  <c r="J1616" i="4"/>
  <c r="K1616" i="4"/>
  <c r="H1617" i="4"/>
  <c r="I1617" i="4"/>
  <c r="J1617" i="4"/>
  <c r="K1617" i="4"/>
  <c r="H1618" i="4"/>
  <c r="I1618" i="4"/>
  <c r="J1618" i="4"/>
  <c r="K1618" i="4"/>
  <c r="H1619" i="4"/>
  <c r="I1619" i="4"/>
  <c r="J1619" i="4"/>
  <c r="K1619" i="4"/>
  <c r="H1620" i="4"/>
  <c r="I1620" i="4"/>
  <c r="J1620" i="4"/>
  <c r="K1620" i="4"/>
  <c r="H1621" i="4"/>
  <c r="I1621" i="4"/>
  <c r="J1621" i="4"/>
  <c r="K1621" i="4"/>
  <c r="H1622" i="4"/>
  <c r="I1622" i="4"/>
  <c r="J1622" i="4"/>
  <c r="K1622" i="4"/>
  <c r="H1623" i="4"/>
  <c r="I1623" i="4"/>
  <c r="J1623" i="4"/>
  <c r="K1623" i="4"/>
  <c r="H1624" i="4"/>
  <c r="I1624" i="4"/>
  <c r="J1624" i="4"/>
  <c r="K1624" i="4"/>
  <c r="H1625" i="4"/>
  <c r="I1625" i="4"/>
  <c r="J1625" i="4"/>
  <c r="K1625" i="4"/>
  <c r="H1626" i="4"/>
  <c r="I1626" i="4"/>
  <c r="J1626" i="4"/>
  <c r="K1626" i="4"/>
  <c r="H1627" i="4"/>
  <c r="I1627" i="4"/>
  <c r="J1627" i="4"/>
  <c r="K1627" i="4"/>
  <c r="H1628" i="4"/>
  <c r="I1628" i="4"/>
  <c r="J1628" i="4"/>
  <c r="K1628" i="4"/>
  <c r="H1629" i="4"/>
  <c r="I1629" i="4"/>
  <c r="J1629" i="4"/>
  <c r="K1629" i="4"/>
  <c r="H1630" i="4"/>
  <c r="I1630" i="4"/>
  <c r="J1630" i="4"/>
  <c r="K1630" i="4"/>
  <c r="H1631" i="4"/>
  <c r="I1631" i="4"/>
  <c r="J1631" i="4"/>
  <c r="K1631" i="4"/>
  <c r="H1632" i="4"/>
  <c r="I1632" i="4"/>
  <c r="J1632" i="4"/>
  <c r="K1632" i="4"/>
  <c r="H1633" i="4"/>
  <c r="I1633" i="4"/>
  <c r="J1633" i="4"/>
  <c r="K1633" i="4"/>
  <c r="H1634" i="4"/>
  <c r="I1634" i="4"/>
  <c r="J1634" i="4"/>
  <c r="K1634" i="4"/>
  <c r="H1635" i="4"/>
  <c r="I1635" i="4"/>
  <c r="J1635" i="4"/>
  <c r="K1635" i="4"/>
  <c r="H1636" i="4"/>
  <c r="I1636" i="4"/>
  <c r="J1636" i="4"/>
  <c r="K1636" i="4"/>
  <c r="H1637" i="4"/>
  <c r="I1637" i="4"/>
  <c r="J1637" i="4"/>
  <c r="K1637" i="4"/>
  <c r="H1638" i="4"/>
  <c r="I1638" i="4"/>
  <c r="J1638" i="4"/>
  <c r="K1638" i="4"/>
  <c r="H1639" i="4"/>
  <c r="I1639" i="4"/>
  <c r="J1639" i="4"/>
  <c r="K1639" i="4"/>
  <c r="H1640" i="4"/>
  <c r="I1640" i="4"/>
  <c r="J1640" i="4"/>
  <c r="K1640" i="4"/>
  <c r="H1641" i="4"/>
  <c r="I1641" i="4"/>
  <c r="J1641" i="4"/>
  <c r="K1641" i="4"/>
  <c r="H1642" i="4"/>
  <c r="I1642" i="4"/>
  <c r="J1642" i="4"/>
  <c r="K1642" i="4"/>
  <c r="H1643" i="4"/>
  <c r="I1643" i="4"/>
  <c r="J1643" i="4"/>
  <c r="K1643" i="4"/>
  <c r="H1644" i="4"/>
  <c r="I1644" i="4"/>
  <c r="J1644" i="4"/>
  <c r="K1644" i="4"/>
  <c r="H1645" i="4"/>
  <c r="I1645" i="4"/>
  <c r="J1645" i="4"/>
  <c r="K1645" i="4"/>
  <c r="H1646" i="4"/>
  <c r="I1646" i="4"/>
  <c r="J1646" i="4"/>
  <c r="K1646" i="4"/>
  <c r="H1647" i="4"/>
  <c r="I1647" i="4"/>
  <c r="J1647" i="4"/>
  <c r="K1647" i="4"/>
  <c r="H1648" i="4"/>
  <c r="I1648" i="4"/>
  <c r="J1648" i="4"/>
  <c r="K1648" i="4"/>
  <c r="H1649" i="4"/>
  <c r="I1649" i="4"/>
  <c r="J1649" i="4"/>
  <c r="K1649" i="4"/>
  <c r="H1650" i="4"/>
  <c r="I1650" i="4"/>
  <c r="J1650" i="4"/>
  <c r="K1650" i="4"/>
  <c r="H1651" i="4"/>
  <c r="I1651" i="4"/>
  <c r="J1651" i="4"/>
  <c r="K1651" i="4"/>
  <c r="H1652" i="4"/>
  <c r="I1652" i="4"/>
  <c r="J1652" i="4"/>
  <c r="K1652" i="4"/>
  <c r="H1653" i="4"/>
  <c r="I1653" i="4"/>
  <c r="J1653" i="4"/>
  <c r="K1653" i="4"/>
  <c r="H1654" i="4"/>
  <c r="I1654" i="4"/>
  <c r="J1654" i="4"/>
  <c r="K1654" i="4"/>
  <c r="H1655" i="4"/>
  <c r="I1655" i="4"/>
  <c r="J1655" i="4"/>
  <c r="K1655" i="4"/>
  <c r="H1656" i="4"/>
  <c r="I1656" i="4"/>
  <c r="J1656" i="4"/>
  <c r="K1656" i="4"/>
  <c r="H1657" i="4"/>
  <c r="I1657" i="4"/>
  <c r="J1657" i="4"/>
  <c r="K1657" i="4"/>
  <c r="H1658" i="4"/>
  <c r="I1658" i="4"/>
  <c r="J1658" i="4"/>
  <c r="K1658" i="4"/>
  <c r="H1659" i="4"/>
  <c r="I1659" i="4"/>
  <c r="J1659" i="4"/>
  <c r="K1659" i="4"/>
  <c r="H1660" i="4"/>
  <c r="I1660" i="4"/>
  <c r="J1660" i="4"/>
  <c r="K1660" i="4"/>
  <c r="H1661" i="4"/>
  <c r="I1661" i="4"/>
  <c r="J1661" i="4"/>
  <c r="K1661" i="4"/>
  <c r="H1662" i="4"/>
  <c r="I1662" i="4"/>
  <c r="J1662" i="4"/>
  <c r="K1662" i="4"/>
  <c r="H1663" i="4"/>
  <c r="I1663" i="4"/>
  <c r="J1663" i="4"/>
  <c r="K1663" i="4"/>
  <c r="H1664" i="4"/>
  <c r="I1664" i="4"/>
  <c r="J1664" i="4"/>
  <c r="K1664" i="4"/>
  <c r="H1665" i="4"/>
  <c r="I1665" i="4"/>
  <c r="J1665" i="4"/>
  <c r="K1665" i="4"/>
  <c r="H1666" i="4"/>
  <c r="I1666" i="4"/>
  <c r="J1666" i="4"/>
  <c r="K1666" i="4"/>
  <c r="H1667" i="4"/>
  <c r="I1667" i="4"/>
  <c r="J1667" i="4"/>
  <c r="K1667" i="4"/>
  <c r="H1668" i="4"/>
  <c r="I1668" i="4"/>
  <c r="J1668" i="4"/>
  <c r="K1668" i="4"/>
  <c r="H1669" i="4"/>
  <c r="I1669" i="4"/>
  <c r="J1669" i="4"/>
  <c r="K1669" i="4"/>
  <c r="H1670" i="4"/>
  <c r="I1670" i="4"/>
  <c r="J1670" i="4"/>
  <c r="K1670" i="4"/>
  <c r="H1671" i="4"/>
  <c r="I1671" i="4"/>
  <c r="J1671" i="4"/>
  <c r="K1671" i="4"/>
  <c r="H1672" i="4"/>
  <c r="I1672" i="4"/>
  <c r="J1672" i="4"/>
  <c r="K1672" i="4"/>
  <c r="H1673" i="4"/>
  <c r="I1673" i="4"/>
  <c r="J1673" i="4"/>
  <c r="K1673" i="4"/>
  <c r="H1674" i="4"/>
  <c r="I1674" i="4"/>
  <c r="J1674" i="4"/>
  <c r="K1674" i="4"/>
  <c r="H1675" i="4"/>
  <c r="I1675" i="4"/>
  <c r="J1675" i="4"/>
  <c r="K1675" i="4"/>
  <c r="H1676" i="4"/>
  <c r="I1676" i="4"/>
  <c r="J1676" i="4"/>
  <c r="K1676" i="4"/>
  <c r="H1677" i="4"/>
  <c r="I1677" i="4"/>
  <c r="J1677" i="4"/>
  <c r="K1677" i="4"/>
  <c r="H1678" i="4"/>
  <c r="I1678" i="4"/>
  <c r="J1678" i="4"/>
  <c r="K1678" i="4"/>
  <c r="H1679" i="4"/>
  <c r="I1679" i="4"/>
  <c r="J1679" i="4"/>
  <c r="K1679" i="4"/>
  <c r="H1680" i="4"/>
  <c r="I1680" i="4"/>
  <c r="J1680" i="4"/>
  <c r="K1680" i="4"/>
  <c r="H1681" i="4"/>
  <c r="I1681" i="4"/>
  <c r="J1681" i="4"/>
  <c r="K1681" i="4"/>
  <c r="H1682" i="4"/>
  <c r="I1682" i="4"/>
  <c r="J1682" i="4"/>
  <c r="K1682" i="4"/>
  <c r="H1683" i="4"/>
  <c r="I1683" i="4"/>
  <c r="J1683" i="4"/>
  <c r="K1683" i="4"/>
  <c r="H1684" i="4"/>
  <c r="I1684" i="4"/>
  <c r="J1684" i="4"/>
  <c r="K1684" i="4"/>
  <c r="H1685" i="4"/>
  <c r="I1685" i="4"/>
  <c r="J1685" i="4"/>
  <c r="K1685" i="4"/>
  <c r="H1686" i="4"/>
  <c r="I1686" i="4"/>
  <c r="J1686" i="4"/>
  <c r="K1686" i="4"/>
  <c r="H1687" i="4"/>
  <c r="I1687" i="4"/>
  <c r="J1687" i="4"/>
  <c r="K1687" i="4"/>
  <c r="H1688" i="4"/>
  <c r="I1688" i="4"/>
  <c r="J1688" i="4"/>
  <c r="K1688" i="4"/>
  <c r="H1689" i="4"/>
  <c r="I1689" i="4"/>
  <c r="J1689" i="4"/>
  <c r="K1689" i="4"/>
  <c r="H1690" i="4"/>
  <c r="I1690" i="4"/>
  <c r="J1690" i="4"/>
  <c r="K1690" i="4"/>
  <c r="H1691" i="4"/>
  <c r="I1691" i="4"/>
  <c r="J1691" i="4"/>
  <c r="K1691" i="4"/>
  <c r="H1692" i="4"/>
  <c r="I1692" i="4"/>
  <c r="J1692" i="4"/>
  <c r="K1692" i="4"/>
  <c r="H1693" i="4"/>
  <c r="I1693" i="4"/>
  <c r="J1693" i="4"/>
  <c r="K1693" i="4"/>
  <c r="H1694" i="4"/>
  <c r="I1694" i="4"/>
  <c r="J1694" i="4"/>
  <c r="K1694" i="4"/>
  <c r="H1695" i="4"/>
  <c r="I1695" i="4"/>
  <c r="J1695" i="4"/>
  <c r="K1695" i="4"/>
  <c r="H1696" i="4"/>
  <c r="I1696" i="4"/>
  <c r="J1696" i="4"/>
  <c r="K1696" i="4"/>
  <c r="H1697" i="4"/>
  <c r="I1697" i="4"/>
  <c r="J1697" i="4"/>
  <c r="K1697" i="4"/>
  <c r="H1698" i="4"/>
  <c r="I1698" i="4"/>
  <c r="J1698" i="4"/>
  <c r="K1698" i="4"/>
  <c r="H1699" i="4"/>
  <c r="I1699" i="4"/>
  <c r="J1699" i="4"/>
  <c r="K1699" i="4"/>
  <c r="H1700" i="4"/>
  <c r="I1700" i="4"/>
  <c r="J1700" i="4"/>
  <c r="K1700" i="4"/>
  <c r="H1701" i="4"/>
  <c r="I1701" i="4"/>
  <c r="J1701" i="4"/>
  <c r="K1701" i="4"/>
  <c r="H1702" i="4"/>
  <c r="I1702" i="4"/>
  <c r="J1702" i="4"/>
  <c r="K1702" i="4"/>
  <c r="H1703" i="4"/>
  <c r="I1703" i="4"/>
  <c r="J1703" i="4"/>
  <c r="K1703" i="4"/>
  <c r="H1704" i="4"/>
  <c r="I1704" i="4"/>
  <c r="J1704" i="4"/>
  <c r="K1704" i="4"/>
  <c r="H1705" i="4"/>
  <c r="I1705" i="4"/>
  <c r="J1705" i="4"/>
  <c r="K1705" i="4"/>
  <c r="H1706" i="4"/>
  <c r="I1706" i="4"/>
  <c r="J1706" i="4"/>
  <c r="K1706" i="4"/>
  <c r="H1707" i="4"/>
  <c r="I1707" i="4"/>
  <c r="J1707" i="4"/>
  <c r="K1707" i="4"/>
  <c r="H1708" i="4"/>
  <c r="I1708" i="4"/>
  <c r="J1708" i="4"/>
  <c r="K1708" i="4"/>
  <c r="H1709" i="4"/>
  <c r="I1709" i="4"/>
  <c r="J1709" i="4"/>
  <c r="K1709" i="4"/>
  <c r="H1710" i="4"/>
  <c r="I1710" i="4"/>
  <c r="J1710" i="4"/>
  <c r="K1710" i="4"/>
  <c r="H1711" i="4"/>
  <c r="I1711" i="4"/>
  <c r="J1711" i="4"/>
  <c r="K1711" i="4"/>
  <c r="H1712" i="4"/>
  <c r="I1712" i="4"/>
  <c r="J1712" i="4"/>
  <c r="K1712" i="4"/>
  <c r="H1713" i="4"/>
  <c r="I1713" i="4"/>
  <c r="J1713" i="4"/>
  <c r="K1713" i="4"/>
  <c r="H1714" i="4"/>
  <c r="I1714" i="4"/>
  <c r="J1714" i="4"/>
  <c r="K1714" i="4"/>
  <c r="H1715" i="4"/>
  <c r="I1715" i="4"/>
  <c r="J1715" i="4"/>
  <c r="K1715" i="4"/>
  <c r="H1716" i="4"/>
  <c r="I1716" i="4"/>
  <c r="J1716" i="4"/>
  <c r="K1716" i="4"/>
  <c r="H1717" i="4"/>
  <c r="I1717" i="4"/>
  <c r="J1717" i="4"/>
  <c r="K1717" i="4"/>
  <c r="H1718" i="4"/>
  <c r="I1718" i="4"/>
  <c r="J1718" i="4"/>
  <c r="K1718" i="4"/>
  <c r="H1719" i="4"/>
  <c r="I1719" i="4"/>
  <c r="J1719" i="4"/>
  <c r="K1719" i="4"/>
  <c r="H1720" i="4"/>
  <c r="I1720" i="4"/>
  <c r="J1720" i="4"/>
  <c r="K1720" i="4"/>
  <c r="H1721" i="4"/>
  <c r="I1721" i="4"/>
  <c r="J1721" i="4"/>
  <c r="K1721" i="4"/>
  <c r="H1722" i="4"/>
  <c r="I1722" i="4"/>
  <c r="J1722" i="4"/>
  <c r="K1722" i="4"/>
  <c r="H1723" i="4"/>
  <c r="I1723" i="4"/>
  <c r="J1723" i="4"/>
  <c r="K1723" i="4"/>
  <c r="H1724" i="4"/>
  <c r="I1724" i="4"/>
  <c r="J1724" i="4"/>
  <c r="K1724" i="4"/>
  <c r="H1725" i="4"/>
  <c r="I1725" i="4"/>
  <c r="J1725" i="4"/>
  <c r="K1725" i="4"/>
  <c r="H1726" i="4"/>
  <c r="I1726" i="4"/>
  <c r="J1726" i="4"/>
  <c r="K1726" i="4"/>
  <c r="H1727" i="4"/>
  <c r="I1727" i="4"/>
  <c r="J1727" i="4"/>
  <c r="K1727" i="4"/>
  <c r="H1728" i="4"/>
  <c r="I1728" i="4"/>
  <c r="J1728" i="4"/>
  <c r="K1728" i="4"/>
  <c r="H1729" i="4"/>
  <c r="I1729" i="4"/>
  <c r="J1729" i="4"/>
  <c r="K1729" i="4"/>
  <c r="H1730" i="4"/>
  <c r="I1730" i="4"/>
  <c r="J1730" i="4"/>
  <c r="K1730" i="4"/>
  <c r="H1731" i="4"/>
  <c r="I1731" i="4"/>
  <c r="J1731" i="4"/>
  <c r="K1731" i="4"/>
  <c r="H1732" i="4"/>
  <c r="I1732" i="4"/>
  <c r="J1732" i="4"/>
  <c r="K1732" i="4"/>
  <c r="H1733" i="4"/>
  <c r="I1733" i="4"/>
  <c r="J1733" i="4"/>
  <c r="K1733" i="4"/>
  <c r="H1734" i="4"/>
  <c r="I1734" i="4"/>
  <c r="J1734" i="4"/>
  <c r="K1734" i="4"/>
  <c r="H1735" i="4"/>
  <c r="I1735" i="4"/>
  <c r="J1735" i="4"/>
  <c r="K1735" i="4"/>
  <c r="H1736" i="4"/>
  <c r="I1736" i="4"/>
  <c r="J1736" i="4"/>
  <c r="K1736" i="4"/>
  <c r="H1737" i="4"/>
  <c r="I1737" i="4"/>
  <c r="J1737" i="4"/>
  <c r="K1737" i="4"/>
  <c r="H1738" i="4"/>
  <c r="I1738" i="4"/>
  <c r="J1738" i="4"/>
  <c r="K1738" i="4"/>
  <c r="H1739" i="4"/>
  <c r="I1739" i="4"/>
  <c r="J1739" i="4"/>
  <c r="K1739" i="4"/>
  <c r="H1740" i="4"/>
  <c r="I1740" i="4"/>
  <c r="J1740" i="4"/>
  <c r="K1740" i="4"/>
  <c r="H1741" i="4"/>
  <c r="I1741" i="4"/>
  <c r="J1741" i="4"/>
  <c r="K1741" i="4"/>
  <c r="H1742" i="4"/>
  <c r="I1742" i="4"/>
  <c r="J1742" i="4"/>
  <c r="K1742" i="4"/>
  <c r="H1743" i="4"/>
  <c r="I1743" i="4"/>
  <c r="J1743" i="4"/>
  <c r="K1743" i="4"/>
  <c r="H1744" i="4"/>
  <c r="I1744" i="4"/>
  <c r="J1744" i="4"/>
  <c r="K1744" i="4"/>
  <c r="H1745" i="4"/>
  <c r="I1745" i="4"/>
  <c r="J1745" i="4"/>
  <c r="K1745" i="4"/>
  <c r="H1746" i="4"/>
  <c r="I1746" i="4"/>
  <c r="J1746" i="4"/>
  <c r="K1746" i="4"/>
  <c r="H1747" i="4"/>
  <c r="I1747" i="4"/>
  <c r="J1747" i="4"/>
  <c r="K1747" i="4"/>
  <c r="H1748" i="4"/>
  <c r="I1748" i="4"/>
  <c r="J1748" i="4"/>
  <c r="K1748" i="4"/>
  <c r="H1749" i="4"/>
  <c r="I1749" i="4"/>
  <c r="J1749" i="4"/>
  <c r="K1749" i="4"/>
  <c r="H1750" i="4"/>
  <c r="I1750" i="4"/>
  <c r="J1750" i="4"/>
  <c r="K1750" i="4"/>
  <c r="H1751" i="4"/>
  <c r="I1751" i="4"/>
  <c r="J1751" i="4"/>
  <c r="K1751" i="4"/>
  <c r="H1752" i="4"/>
  <c r="I1752" i="4"/>
  <c r="J1752" i="4"/>
  <c r="K1752" i="4"/>
  <c r="H1753" i="4"/>
  <c r="I1753" i="4"/>
  <c r="J1753" i="4"/>
  <c r="K1753" i="4"/>
  <c r="H1754" i="4"/>
  <c r="I1754" i="4"/>
  <c r="J1754" i="4"/>
  <c r="K1754" i="4"/>
  <c r="H1755" i="4"/>
  <c r="I1755" i="4"/>
  <c r="J1755" i="4"/>
  <c r="K1755" i="4"/>
  <c r="H1756" i="4"/>
  <c r="I1756" i="4"/>
  <c r="J1756" i="4"/>
  <c r="K1756" i="4"/>
  <c r="H1757" i="4"/>
  <c r="I1757" i="4"/>
  <c r="J1757" i="4"/>
  <c r="K1757" i="4"/>
  <c r="H1758" i="4"/>
  <c r="I1758" i="4"/>
  <c r="J1758" i="4"/>
  <c r="K1758" i="4"/>
  <c r="H1759" i="4"/>
  <c r="I1759" i="4"/>
  <c r="J1759" i="4"/>
  <c r="K1759" i="4"/>
  <c r="H1760" i="4"/>
  <c r="I1760" i="4"/>
  <c r="J1760" i="4"/>
  <c r="K1760" i="4"/>
  <c r="H1761" i="4"/>
  <c r="I1761" i="4"/>
  <c r="J1761" i="4"/>
  <c r="K1761" i="4"/>
  <c r="H1762" i="4"/>
  <c r="I1762" i="4"/>
  <c r="J1762" i="4"/>
  <c r="K1762" i="4"/>
  <c r="H1763" i="4"/>
  <c r="I1763" i="4"/>
  <c r="J1763" i="4"/>
  <c r="K1763" i="4"/>
  <c r="H1764" i="4"/>
  <c r="I1764" i="4"/>
  <c r="J1764" i="4"/>
  <c r="K1764" i="4"/>
  <c r="H1765" i="4"/>
  <c r="I1765" i="4"/>
  <c r="J1765" i="4"/>
  <c r="K1765" i="4"/>
  <c r="H1766" i="4"/>
  <c r="I1766" i="4"/>
  <c r="J1766" i="4"/>
  <c r="K1766" i="4"/>
  <c r="H1767" i="4"/>
  <c r="I1767" i="4"/>
  <c r="J1767" i="4"/>
  <c r="K1767" i="4"/>
  <c r="H1768" i="4"/>
  <c r="I1768" i="4"/>
  <c r="J1768" i="4"/>
  <c r="K1768" i="4"/>
  <c r="H1769" i="4"/>
  <c r="I1769" i="4"/>
  <c r="J1769" i="4"/>
  <c r="K1769" i="4"/>
  <c r="H1770" i="4"/>
  <c r="I1770" i="4"/>
  <c r="J1770" i="4"/>
  <c r="K1770" i="4"/>
  <c r="H1771" i="4"/>
  <c r="I1771" i="4"/>
  <c r="J1771" i="4"/>
  <c r="K1771" i="4"/>
  <c r="H1772" i="4"/>
  <c r="I1772" i="4"/>
  <c r="J1772" i="4"/>
  <c r="K1772" i="4"/>
  <c r="H1773" i="4"/>
  <c r="I1773" i="4"/>
  <c r="J1773" i="4"/>
  <c r="K1773" i="4"/>
  <c r="H1774" i="4"/>
  <c r="I1774" i="4"/>
  <c r="J1774" i="4"/>
  <c r="K1774" i="4"/>
  <c r="H1775" i="4"/>
  <c r="I1775" i="4"/>
  <c r="J1775" i="4"/>
  <c r="K1775" i="4"/>
  <c r="H1776" i="4"/>
  <c r="I1776" i="4"/>
  <c r="J1776" i="4"/>
  <c r="K1776" i="4"/>
  <c r="H1777" i="4"/>
  <c r="I1777" i="4"/>
  <c r="J1777" i="4"/>
  <c r="K1777" i="4"/>
  <c r="H1778" i="4"/>
  <c r="I1778" i="4"/>
  <c r="J1778" i="4"/>
  <c r="K1778" i="4"/>
  <c r="H1779" i="4"/>
  <c r="I1779" i="4"/>
  <c r="J1779" i="4"/>
  <c r="K1779" i="4"/>
  <c r="H1780" i="4"/>
  <c r="I1780" i="4"/>
  <c r="J1780" i="4"/>
  <c r="K1780" i="4"/>
  <c r="H1781" i="4"/>
  <c r="I1781" i="4"/>
  <c r="J1781" i="4"/>
  <c r="K1781" i="4"/>
  <c r="H1782" i="4"/>
  <c r="I1782" i="4"/>
  <c r="J1782" i="4"/>
  <c r="K1782" i="4"/>
  <c r="H1783" i="4"/>
  <c r="I1783" i="4"/>
  <c r="J1783" i="4"/>
  <c r="K1783" i="4"/>
  <c r="H1784" i="4"/>
  <c r="I1784" i="4"/>
  <c r="J1784" i="4"/>
  <c r="K1784" i="4"/>
  <c r="H1785" i="4"/>
  <c r="I1785" i="4"/>
  <c r="J1785" i="4"/>
  <c r="K1785" i="4"/>
  <c r="H1786" i="4"/>
  <c r="I1786" i="4"/>
  <c r="J1786" i="4"/>
  <c r="K1786" i="4"/>
  <c r="H1787" i="4"/>
  <c r="I1787" i="4"/>
  <c r="J1787" i="4"/>
  <c r="K1787" i="4"/>
  <c r="H1788" i="4"/>
  <c r="I1788" i="4"/>
  <c r="J1788" i="4"/>
  <c r="K1788" i="4"/>
  <c r="H1789" i="4"/>
  <c r="I1789" i="4"/>
  <c r="J1789" i="4"/>
  <c r="K1789" i="4"/>
  <c r="H1790" i="4"/>
  <c r="I1790" i="4"/>
  <c r="J1790" i="4"/>
  <c r="K1790" i="4"/>
  <c r="H1791" i="4"/>
  <c r="I1791" i="4"/>
  <c r="J1791" i="4"/>
  <c r="K1791" i="4"/>
  <c r="H1792" i="4"/>
  <c r="I1792" i="4"/>
  <c r="J1792" i="4"/>
  <c r="K1792" i="4"/>
  <c r="H1793" i="4"/>
  <c r="I1793" i="4"/>
  <c r="J1793" i="4"/>
  <c r="K1793" i="4"/>
  <c r="H1794" i="4"/>
  <c r="I1794" i="4"/>
  <c r="J1794" i="4"/>
  <c r="K1794" i="4"/>
  <c r="H1795" i="4"/>
  <c r="I1795" i="4"/>
  <c r="J1795" i="4"/>
  <c r="K1795" i="4"/>
  <c r="H1796" i="4"/>
  <c r="I1796" i="4"/>
  <c r="J1796" i="4"/>
  <c r="K1796" i="4"/>
  <c r="H1797" i="4"/>
  <c r="I1797" i="4"/>
  <c r="J1797" i="4"/>
  <c r="K1797" i="4"/>
  <c r="H1798" i="4"/>
  <c r="I1798" i="4"/>
  <c r="J1798" i="4"/>
  <c r="K1798" i="4"/>
  <c r="H1799" i="4"/>
  <c r="I1799" i="4"/>
  <c r="J1799" i="4"/>
  <c r="K1799" i="4"/>
  <c r="H1800" i="4"/>
  <c r="I1800" i="4"/>
  <c r="J1800" i="4"/>
  <c r="K1800" i="4"/>
  <c r="H1801" i="4"/>
  <c r="I1801" i="4"/>
  <c r="J1801" i="4"/>
  <c r="K1801" i="4"/>
  <c r="H1802" i="4"/>
  <c r="I1802" i="4"/>
  <c r="J1802" i="4"/>
  <c r="K1802" i="4"/>
  <c r="H1803" i="4"/>
  <c r="I1803" i="4"/>
  <c r="J1803" i="4"/>
  <c r="K1803" i="4"/>
  <c r="H1804" i="4"/>
  <c r="I1804" i="4"/>
  <c r="J1804" i="4"/>
  <c r="K1804" i="4"/>
  <c r="H1805" i="4"/>
  <c r="I1805" i="4"/>
  <c r="J1805" i="4"/>
  <c r="K1805" i="4"/>
  <c r="H1806" i="4"/>
  <c r="I1806" i="4"/>
  <c r="J1806" i="4"/>
  <c r="K1806" i="4"/>
  <c r="H1807" i="4"/>
  <c r="I1807" i="4"/>
  <c r="J1807" i="4"/>
  <c r="K1807" i="4"/>
  <c r="H1808" i="4"/>
  <c r="I1808" i="4"/>
  <c r="J1808" i="4"/>
  <c r="K1808" i="4"/>
  <c r="H1809" i="4"/>
  <c r="I1809" i="4"/>
  <c r="J1809" i="4"/>
  <c r="K1809" i="4"/>
  <c r="H1810" i="4"/>
  <c r="I1810" i="4"/>
  <c r="J1810" i="4"/>
  <c r="K1810" i="4"/>
  <c r="H1811" i="4"/>
  <c r="I1811" i="4"/>
  <c r="J1811" i="4"/>
  <c r="K1811" i="4"/>
  <c r="H1812" i="4"/>
  <c r="I1812" i="4"/>
  <c r="J1812" i="4"/>
  <c r="K1812" i="4"/>
  <c r="H1813" i="4"/>
  <c r="I1813" i="4"/>
  <c r="J1813" i="4"/>
  <c r="K1813" i="4"/>
  <c r="H1814" i="4"/>
  <c r="I1814" i="4"/>
  <c r="J1814" i="4"/>
  <c r="K1814" i="4"/>
  <c r="H1815" i="4"/>
  <c r="I1815" i="4"/>
  <c r="J1815" i="4"/>
  <c r="K1815" i="4"/>
  <c r="H1816" i="4"/>
  <c r="I1816" i="4"/>
  <c r="J1816" i="4"/>
  <c r="K1816" i="4"/>
  <c r="H1817" i="4"/>
  <c r="I1817" i="4"/>
  <c r="J1817" i="4"/>
  <c r="K1817" i="4"/>
  <c r="H1818" i="4"/>
  <c r="I1818" i="4"/>
  <c r="J1818" i="4"/>
  <c r="K1818" i="4"/>
  <c r="H1819" i="4"/>
  <c r="I1819" i="4"/>
  <c r="J1819" i="4"/>
  <c r="K1819" i="4"/>
  <c r="H1820" i="4"/>
  <c r="I1820" i="4"/>
  <c r="J1820" i="4"/>
  <c r="K1820" i="4"/>
  <c r="H1821" i="4"/>
  <c r="I1821" i="4"/>
  <c r="J1821" i="4"/>
  <c r="K1821" i="4"/>
  <c r="H1822" i="4"/>
  <c r="I1822" i="4"/>
  <c r="J1822" i="4"/>
  <c r="K1822" i="4"/>
  <c r="H1823" i="4"/>
  <c r="I1823" i="4"/>
  <c r="J1823" i="4"/>
  <c r="K1823" i="4"/>
  <c r="H1824" i="4"/>
  <c r="I1824" i="4"/>
  <c r="J1824" i="4"/>
  <c r="K1824" i="4"/>
  <c r="H1825" i="4"/>
  <c r="I1825" i="4"/>
  <c r="J1825" i="4"/>
  <c r="K1825" i="4"/>
  <c r="H1826" i="4"/>
  <c r="I1826" i="4"/>
  <c r="J1826" i="4"/>
  <c r="K1826" i="4"/>
  <c r="H1827" i="4"/>
  <c r="I1827" i="4"/>
  <c r="J1827" i="4"/>
  <c r="K1827" i="4"/>
  <c r="H1828" i="4"/>
  <c r="I1828" i="4"/>
  <c r="J1828" i="4"/>
  <c r="K1828" i="4"/>
  <c r="H1829" i="4"/>
  <c r="I1829" i="4"/>
  <c r="J1829" i="4"/>
  <c r="K1829" i="4"/>
  <c r="H1830" i="4"/>
  <c r="I1830" i="4"/>
  <c r="J1830" i="4"/>
  <c r="K1830" i="4"/>
  <c r="H1831" i="4"/>
  <c r="I1831" i="4"/>
  <c r="J1831" i="4"/>
  <c r="K1831" i="4"/>
  <c r="H1832" i="4"/>
  <c r="I1832" i="4"/>
  <c r="J1832" i="4"/>
  <c r="K1832" i="4"/>
  <c r="H1833" i="4"/>
  <c r="I1833" i="4"/>
  <c r="J1833" i="4"/>
  <c r="K1833" i="4"/>
  <c r="H1834" i="4"/>
  <c r="I1834" i="4"/>
  <c r="J1834" i="4"/>
  <c r="K1834" i="4"/>
  <c r="H1835" i="4"/>
  <c r="I1835" i="4"/>
  <c r="J1835" i="4"/>
  <c r="K1835" i="4"/>
  <c r="H1836" i="4"/>
  <c r="I1836" i="4"/>
  <c r="J1836" i="4"/>
  <c r="K1836" i="4"/>
  <c r="H1837" i="4"/>
  <c r="I1837" i="4"/>
  <c r="J1837" i="4"/>
  <c r="K1837" i="4"/>
  <c r="H1838" i="4"/>
  <c r="I1838" i="4"/>
  <c r="J1838" i="4"/>
  <c r="K1838" i="4"/>
  <c r="H1839" i="4"/>
  <c r="I1839" i="4"/>
  <c r="J1839" i="4"/>
  <c r="K1839" i="4"/>
  <c r="H1840" i="4"/>
  <c r="I1840" i="4"/>
  <c r="J1840" i="4"/>
  <c r="K1840" i="4"/>
  <c r="H1841" i="4"/>
  <c r="I1841" i="4"/>
  <c r="J1841" i="4"/>
  <c r="K1841" i="4"/>
  <c r="H1842" i="4"/>
  <c r="I1842" i="4"/>
  <c r="J1842" i="4"/>
  <c r="K1842" i="4"/>
  <c r="H1843" i="4"/>
  <c r="I1843" i="4"/>
  <c r="J1843" i="4"/>
  <c r="K1843" i="4"/>
  <c r="H1844" i="4"/>
  <c r="I1844" i="4"/>
  <c r="J1844" i="4"/>
  <c r="K1844" i="4"/>
  <c r="H1845" i="4"/>
  <c r="I1845" i="4"/>
  <c r="J1845" i="4"/>
  <c r="K1845" i="4"/>
  <c r="H1846" i="4"/>
  <c r="I1846" i="4"/>
  <c r="J1846" i="4"/>
  <c r="K1846" i="4"/>
  <c r="H1847" i="4"/>
  <c r="I1847" i="4"/>
  <c r="J1847" i="4"/>
  <c r="K1847" i="4"/>
  <c r="H1848" i="4"/>
  <c r="I1848" i="4"/>
  <c r="J1848" i="4"/>
  <c r="K1848" i="4"/>
  <c r="H1849" i="4"/>
  <c r="I1849" i="4"/>
  <c r="J1849" i="4"/>
  <c r="K1849" i="4"/>
  <c r="H1850" i="4"/>
  <c r="I1850" i="4"/>
  <c r="J1850" i="4"/>
  <c r="K1850" i="4"/>
  <c r="H1851" i="4"/>
  <c r="I1851" i="4"/>
  <c r="J1851" i="4"/>
  <c r="K1851" i="4"/>
  <c r="H1852" i="4"/>
  <c r="I1852" i="4"/>
  <c r="J1852" i="4"/>
  <c r="K1852" i="4"/>
  <c r="H1853" i="4"/>
  <c r="I1853" i="4"/>
  <c r="J1853" i="4"/>
  <c r="K1853" i="4"/>
  <c r="H1854" i="4"/>
  <c r="I1854" i="4"/>
  <c r="J1854" i="4"/>
  <c r="K1854" i="4"/>
  <c r="H1855" i="4"/>
  <c r="I1855" i="4"/>
  <c r="J1855" i="4"/>
  <c r="K1855" i="4"/>
  <c r="H1856" i="4"/>
  <c r="I1856" i="4"/>
  <c r="J1856" i="4"/>
  <c r="K1856" i="4"/>
  <c r="H1857" i="4"/>
  <c r="I1857" i="4"/>
  <c r="J1857" i="4"/>
  <c r="K1857" i="4"/>
  <c r="H1858" i="4"/>
  <c r="I1858" i="4"/>
  <c r="J1858" i="4"/>
  <c r="K1858" i="4"/>
  <c r="H1859" i="4"/>
  <c r="I1859" i="4"/>
  <c r="J1859" i="4"/>
  <c r="K1859" i="4"/>
  <c r="H1860" i="4"/>
  <c r="I1860" i="4"/>
  <c r="J1860" i="4"/>
  <c r="K1860" i="4"/>
  <c r="H1861" i="4"/>
  <c r="I1861" i="4"/>
  <c r="J1861" i="4"/>
  <c r="K1861" i="4"/>
  <c r="H1862" i="4"/>
  <c r="I1862" i="4"/>
  <c r="J1862" i="4"/>
  <c r="K1862" i="4"/>
  <c r="H1863" i="4"/>
  <c r="I1863" i="4"/>
  <c r="J1863" i="4"/>
  <c r="K1863" i="4"/>
  <c r="H1864" i="4"/>
  <c r="I1864" i="4"/>
  <c r="J1864" i="4"/>
  <c r="K1864" i="4"/>
  <c r="H1865" i="4"/>
  <c r="I1865" i="4"/>
  <c r="J1865" i="4"/>
  <c r="K1865" i="4"/>
  <c r="H1866" i="4"/>
  <c r="I1866" i="4"/>
  <c r="J1866" i="4"/>
  <c r="K1866" i="4"/>
  <c r="H1867" i="4"/>
  <c r="I1867" i="4"/>
  <c r="J1867" i="4"/>
  <c r="K1867" i="4"/>
  <c r="H1868" i="4"/>
  <c r="I1868" i="4"/>
  <c r="J1868" i="4"/>
  <c r="K1868" i="4"/>
  <c r="H1869" i="4"/>
  <c r="I1869" i="4"/>
  <c r="J1869" i="4"/>
  <c r="K1869" i="4"/>
  <c r="H1870" i="4"/>
  <c r="I1870" i="4"/>
  <c r="J1870" i="4"/>
  <c r="K1870" i="4"/>
  <c r="H1871" i="4"/>
  <c r="I1871" i="4"/>
  <c r="J1871" i="4"/>
  <c r="K1871" i="4"/>
  <c r="H1872" i="4"/>
  <c r="I1872" i="4"/>
  <c r="J1872" i="4"/>
  <c r="K1872" i="4"/>
  <c r="H1873" i="4"/>
  <c r="I1873" i="4"/>
  <c r="J1873" i="4"/>
  <c r="K1873" i="4"/>
  <c r="H1874" i="4"/>
  <c r="I1874" i="4"/>
  <c r="J1874" i="4"/>
  <c r="K1874" i="4"/>
  <c r="H1875" i="4"/>
  <c r="I1875" i="4"/>
  <c r="J1875" i="4"/>
  <c r="K1875" i="4"/>
  <c r="H1876" i="4"/>
  <c r="I1876" i="4"/>
  <c r="J1876" i="4"/>
  <c r="K1876" i="4"/>
  <c r="H1877" i="4"/>
  <c r="I1877" i="4"/>
  <c r="J1877" i="4"/>
  <c r="K1877" i="4"/>
  <c r="H1878" i="4"/>
  <c r="I1878" i="4"/>
  <c r="J1878" i="4"/>
  <c r="K1878" i="4"/>
  <c r="H1879" i="4"/>
  <c r="I1879" i="4"/>
  <c r="J1879" i="4"/>
  <c r="K1879" i="4"/>
  <c r="H1880" i="4"/>
  <c r="I1880" i="4"/>
  <c r="J1880" i="4"/>
  <c r="K1880" i="4"/>
  <c r="H1881" i="4"/>
  <c r="I1881" i="4"/>
  <c r="J1881" i="4"/>
  <c r="K1881" i="4"/>
  <c r="K2" i="4"/>
  <c r="J2" i="4"/>
  <c r="I2" i="4"/>
  <c r="H2" i="4"/>
  <c r="C1881" i="4" l="1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<sst xmlns="http://schemas.openxmlformats.org/spreadsheetml/2006/main" count="2858" uniqueCount="224">
  <si>
    <t>COD_IBGE</t>
  </si>
  <si>
    <t>NOM_MUN</t>
  </si>
  <si>
    <t>SAEB17_LP_5</t>
  </si>
  <si>
    <t>SAEB17_MT_5</t>
  </si>
  <si>
    <t>SAEB19_LP_5</t>
  </si>
  <si>
    <t>SAEB19_MT_5</t>
  </si>
  <si>
    <t>SAEB21_LP_5</t>
  </si>
  <si>
    <t>SAEB21_MT_5</t>
  </si>
  <si>
    <t>SAEB23_LP_5</t>
  </si>
  <si>
    <t>SAEB23_MT_5</t>
  </si>
  <si>
    <t>Águas Vermelhas</t>
  </si>
  <si>
    <t>Aimorés</t>
  </si>
  <si>
    <t>Almenara</t>
  </si>
  <si>
    <t>Alpercata</t>
  </si>
  <si>
    <t>Angelândia</t>
  </si>
  <si>
    <t>Araçuaí</t>
  </si>
  <si>
    <t>Aricanduva</t>
  </si>
  <si>
    <t>Arinos</t>
  </si>
  <si>
    <t>Ataléia</t>
  </si>
  <si>
    <t>Bandeira</t>
  </si>
  <si>
    <t>Berizal</t>
  </si>
  <si>
    <t>Bocaiúva</t>
  </si>
  <si>
    <t>Bonfinópolis de Minas</t>
  </si>
  <si>
    <t>Brasília de Minas</t>
  </si>
  <si>
    <t>Buenópolis</t>
  </si>
  <si>
    <t>Buritizeiro</t>
  </si>
  <si>
    <t>Cachoeira de Pajeú</t>
  </si>
  <si>
    <t>Campanário</t>
  </si>
  <si>
    <t>Campo Azul</t>
  </si>
  <si>
    <t>Cantagalo</t>
  </si>
  <si>
    <t>Capelinha</t>
  </si>
  <si>
    <t>Capitão Enéas</t>
  </si>
  <si>
    <t>Caraí</t>
  </si>
  <si>
    <t>Carbonita</t>
  </si>
  <si>
    <t>Carlos Chagas</t>
  </si>
  <si>
    <t>Carmésia</t>
  </si>
  <si>
    <t>Catuji</t>
  </si>
  <si>
    <t>Catuti</t>
  </si>
  <si>
    <t>Chapada do Norte</t>
  </si>
  <si>
    <t>Chapada Gaúcha</t>
  </si>
  <si>
    <t>Claro dos Poções</t>
  </si>
  <si>
    <t>Coluna</t>
  </si>
  <si>
    <t>Comercinho</t>
  </si>
  <si>
    <t>Conselheiro Pena</t>
  </si>
  <si>
    <t>Corinto</t>
  </si>
  <si>
    <t>Coroaci</t>
  </si>
  <si>
    <t>Coronel Murta</t>
  </si>
  <si>
    <t>Crisólita</t>
  </si>
  <si>
    <t>Curral de Dentro</t>
  </si>
  <si>
    <t>Curvelo</t>
  </si>
  <si>
    <t>Datas</t>
  </si>
  <si>
    <t>Diamantina</t>
  </si>
  <si>
    <t>Divino das Laranjeiras</t>
  </si>
  <si>
    <t>Divinolândia de Minas</t>
  </si>
  <si>
    <t>Divisópolis</t>
  </si>
  <si>
    <t>Dom Bosco</t>
  </si>
  <si>
    <t>Dores de Guanhães</t>
  </si>
  <si>
    <t>Engenheiro Caldas</t>
  </si>
  <si>
    <t>Engenheiro Navarro</t>
  </si>
  <si>
    <t>Espinosa</t>
  </si>
  <si>
    <t>Felício dos Santos</t>
  </si>
  <si>
    <t>Felixlândia</t>
  </si>
  <si>
    <t>Francisco Dumont</t>
  </si>
  <si>
    <t>Francisco Sá</t>
  </si>
  <si>
    <t>Frei Inocêncio</t>
  </si>
  <si>
    <t>Fruta de Leite</t>
  </si>
  <si>
    <t>Glaucilândia</t>
  </si>
  <si>
    <t>Gonzaga</t>
  </si>
  <si>
    <t>Gouveia</t>
  </si>
  <si>
    <t>Governador Valadares</t>
  </si>
  <si>
    <t>Guanhães</t>
  </si>
  <si>
    <t>Guaraciama</t>
  </si>
  <si>
    <t>Ibiracatu</t>
  </si>
  <si>
    <t>Icaraí de Minas</t>
  </si>
  <si>
    <t>Imbé de Minas</t>
  </si>
  <si>
    <t>Indaiabira</t>
  </si>
  <si>
    <t>Inhapim</t>
  </si>
  <si>
    <t>Inimutaba</t>
  </si>
  <si>
    <t>Ipanema</t>
  </si>
  <si>
    <t>Itabirinha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</si>
  <si>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</si>
  <si>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</si>
  <si>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</si>
  <si>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</si>
  <si>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</si>
  <si>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</si>
  <si>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</si>
  <si>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</si>
  <si>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</si>
  <si>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</si>
  <si>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</si>
  <si>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Januária</t>
  </si>
  <si>
    <t>Japonvar</t>
  </si>
  <si>
    <t>Jequitaí</t>
  </si>
  <si>
    <t>Jequitinhonha</t>
  </si>
  <si>
    <t>Joaíma</t>
  </si>
  <si>
    <t>Joaquim Felício</t>
  </si>
  <si>
    <t>José Raydan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</si>
  <si>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</si>
  <si>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</si>
  <si>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</si>
  <si>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</si>
  <si>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</si>
  <si>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</si>
  <si>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</si>
  <si>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Machacalis</t>
  </si>
  <si>
    <t>Malacacheta</t>
  </si>
  <si>
    <t>Mamonas</t>
  </si>
  <si>
    <t>Manga</t>
  </si>
  <si>
    <t>Mantena</t>
  </si>
  <si>
    <t>Marilac</t>
  </si>
  <si>
    <t>Materlândia</t>
  </si>
  <si>
    <t>Mathias Lobato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</si>
  <si>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</si>
  <si>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</si>
  <si>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</si>
  <si>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</si>
  <si>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</si>
  <si>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</si>
  <si>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</si>
  <si>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Monjolos</t>
  </si>
  <si>
    <t>Montalvânia</t>
  </si>
  <si>
    <t>Monte Formoso</t>
  </si>
  <si>
    <t>Montes Claros</t>
  </si>
  <si>
    <t>Montezuma</t>
  </si>
  <si>
    <t>Morro da Garça</t>
  </si>
  <si>
    <t>Mutum</t>
  </si>
  <si>
    <t>Nacip Raydan</t>
  </si>
  <si>
    <t>Nanuque</t>
  </si>
  <si>
    <t>Naque</t>
  </si>
  <si>
    <t>Natalândia</t>
  </si>
  <si>
    <t>Ninheira</t>
  </si>
  <si>
    <t>Nova Belém</t>
  </si>
  <si>
    <t>Nova Porteirinha</t>
  </si>
  <si>
    <t>Novo Oriente de Minas</t>
  </si>
  <si>
    <t>Novorizonte</t>
  </si>
  <si>
    <t>Olhos-d'Água</t>
  </si>
  <si>
    <t>Padre Paraíso</t>
  </si>
  <si>
    <t>Pai Pedro</t>
  </si>
  <si>
    <t>Palmópolis</t>
  </si>
  <si>
    <t>Patis</t>
  </si>
  <si>
    <t>Peçanha</t>
  </si>
  <si>
    <t>Pedra Azul</t>
  </si>
  <si>
    <t>Periquito</t>
  </si>
  <si>
    <t>Piedade de Caratinga</t>
  </si>
  <si>
    <t>Pintópolis</t>
  </si>
  <si>
    <t>Pirapora</t>
  </si>
  <si>
    <t>Ponto dos Volantes</t>
  </si>
  <si>
    <t>Poté</t>
  </si>
  <si>
    <t>Presidente Kubitschek</t>
  </si>
  <si>
    <t>Resplendor</t>
  </si>
  <si>
    <t>Rio do Prado</t>
  </si>
  <si>
    <t>Rio Pardo de Minas</t>
  </si>
  <si>
    <t>Rubelita</t>
  </si>
  <si>
    <t>Rubim</t>
  </si>
  <si>
    <t>Sabinópolis</t>
  </si>
  <si>
    <t>Salinas</t>
  </si>
  <si>
    <t>Salto da Divisa</t>
  </si>
  <si>
    <t>Santa Bárbara do Leste</t>
  </si>
  <si>
    <t>Santa Cruz de Salinas</t>
  </si>
  <si>
    <t>Santa Efigênia de Minas</t>
  </si>
  <si>
    <t>Santa Helena de Minas</t>
  </si>
  <si>
    <t>Santa Maria do Suaçuí</t>
  </si>
  <si>
    <t>Santa Rita de Minas</t>
  </si>
  <si>
    <t>Santa Rita do Itueto</t>
  </si>
  <si>
    <t>Santo Antônio do Retiro</t>
  </si>
  <si>
    <t>Santo Hipólito</t>
  </si>
  <si>
    <t>São Domingos das Dores</t>
  </si>
  <si>
    <t>São Geraldo da Piedade</t>
  </si>
  <si>
    <t>São Gonçalo do Rio Preto</t>
  </si>
  <si>
    <t>São João da Lagoa</t>
  </si>
  <si>
    <t>São João da Ponte</t>
  </si>
  <si>
    <t>São João do Manteninha</t>
  </si>
  <si>
    <t>São João Evangelista</t>
  </si>
  <si>
    <t>São José do Jacuri</t>
  </si>
  <si>
    <t>São Pedro do Suaçuí</t>
  </si>
  <si>
    <t>São Sebastião do Anta</t>
  </si>
  <si>
    <t>Sardoá</t>
  </si>
  <si>
    <t>Senador Modestino Gonçalves</t>
  </si>
  <si>
    <t>Senhora do Porto</t>
  </si>
  <si>
    <t>Serra dos Aimorés</t>
  </si>
  <si>
    <t>Serranópolis de Minas</t>
  </si>
  <si>
    <t>Taiobeiras</t>
  </si>
  <si>
    <t>Taparuba</t>
  </si>
  <si>
    <t>Tarumirim</t>
  </si>
  <si>
    <t>Teófilo Otoni</t>
  </si>
  <si>
    <t>Tumiritinga</t>
  </si>
  <si>
    <t>Turmalina</t>
  </si>
  <si>
    <t>Ubaporanga</t>
  </si>
  <si>
    <t>Umburatiba</t>
  </si>
  <si>
    <t>Uruana de Minas</t>
  </si>
  <si>
    <t>Urucuia</t>
  </si>
  <si>
    <t>Vargem Grande do Rio Pardo</t>
  </si>
  <si>
    <t>Várzea da Palma</t>
  </si>
  <si>
    <t>Veredinha</t>
  </si>
  <si>
    <t>Virgem da Lapa</t>
  </si>
  <si>
    <t>Virginópolis</t>
  </si>
  <si>
    <t>Virgolândia</t>
  </si>
  <si>
    <t>COD_ENTE</t>
  </si>
  <si>
    <t>SIOPE_NOM</t>
  </si>
  <si>
    <t>SIOPE_CORR</t>
  </si>
  <si>
    <t>SICONFI_NOM</t>
  </si>
  <si>
    <t>SICONFI_CORR</t>
  </si>
  <si>
    <t>CO_MUNICIPIO</t>
  </si>
  <si>
    <t>NO_MUNICIPIO</t>
  </si>
  <si>
    <t>MD_INSE_2023</t>
  </si>
  <si>
    <t>MD_INSE_2019</t>
  </si>
  <si>
    <t>MD_INSE_2021</t>
  </si>
  <si>
    <t>codigo_ibge</t>
  </si>
  <si>
    <t>NOM_MUNIC</t>
  </si>
  <si>
    <t>ano</t>
  </si>
  <si>
    <t>Ano</t>
  </si>
  <si>
    <t>Código do Município</t>
  </si>
  <si>
    <t xml:space="preserve"> Nome do Município</t>
  </si>
  <si>
    <t>TDI</t>
  </si>
  <si>
    <t>mat_urb_AI</t>
  </si>
  <si>
    <t>mat_urb_AF</t>
  </si>
  <si>
    <t>mat_rur_AI</t>
  </si>
  <si>
    <t>mat_rur_AF</t>
  </si>
  <si>
    <t>p_mat_urb_AI</t>
  </si>
  <si>
    <t>p_mat_urb_AF</t>
  </si>
  <si>
    <t>p_mat_rur_AI</t>
  </si>
  <si>
    <t>p_mat_rur_AF</t>
  </si>
  <si>
    <t>NUM_ANO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</si>
</sst>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MS Sans Serif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6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right"/>
    </xf>
    <xf numFmtId="0" fontId="2" fillId="0" borderId="1" xfId="0" applyFont="1" applyBorder="1"/>
    <xf numFmtId="43" fontId="0" fillId="0" borderId="0" xfId="1" applyFont="1"/>
    <xf numFmtId="43" fontId="0" fillId="0" borderId="0" xfId="0" applyNumberFormat="1"/>
    <xf numFmtId="0" fontId="3" fillId="0" borderId="0" xfId="0" applyFont="1"/>
    <xf numFmtId="0" fontId="5" fillId="0" borderId="2" xfId="0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6" fillId="2" borderId="2" xfId="2" applyFont="1" applyFill="1" applyBorder="1" applyAlignment="1">
      <alignment horizontal="left" vertical="center"/>
    </xf>
    <xf numFmtId="0" fontId="6" fillId="2" borderId="3" xfId="2" applyFont="1" applyFill="1" applyBorder="1" applyAlignment="1">
      <alignment horizontal="left" vertical="center"/>
    </xf>
  </cellXfs>
  <cellStyles count="3">
    <cellStyle name="Normal" xfId="0" builtinId="0"/>
    <cellStyle name="Normal_Plan1" xfId="2" xr:uid="{7AF195EE-5F13-425E-A0E0-BF7D37725091}"/>
    <cellStyle name="Vírgula" xfId="1" builtinId="3"/>
  </cellStyles>
  <dxfs count="3"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929D-176E-417E-96EC-AEB2F0EEDD2A}">
  <dimension ref="A1:J189"/>
  <sheetViews>
    <sheetView workbookViewId="0">
      <selection activeCell="D1" sqref="D1"/>
    </sheetView>
  </sheetViews>
  <sheetFormatPr defaultRowHeight="14.5" x14ac:dyDescent="0.35"/>
  <cols>
    <col min="1" max="1" width="9.36328125" bestFit="1" customWidth="1"/>
    <col min="2" max="2" width="25.453125" bestFit="1" customWidth="1"/>
    <col min="3" max="3" width="11.6328125" bestFit="1" customWidth="1"/>
    <col min="4" max="4" width="12" bestFit="1" customWidth="1"/>
    <col min="5" max="5" width="11.6328125" bestFit="1" customWidth="1"/>
    <col min="6" max="6" width="12" bestFit="1" customWidth="1"/>
    <col min="7" max="7" width="11.6328125" bestFit="1" customWidth="1"/>
    <col min="8" max="8" width="12" bestFit="1" customWidth="1"/>
    <col min="9" max="9" width="11.6328125" bestFit="1" customWidth="1"/>
    <col min="10" max="10" width="12" bestFit="1" customWidth="1"/>
  </cols>
  <sheetData>
    <row r="1" spans="1:1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>
        <v>3101003</v>
      </c>
      <c r="B2" s="4" t="s">
        <v>10</v>
      </c>
      <c r="C2" s="5">
        <v>213.62</v>
      </c>
      <c r="D2" s="5">
        <v>219.48000000000002</v>
      </c>
      <c r="E2" s="5">
        <v>224.73000000000002</v>
      </c>
      <c r="F2" s="5">
        <v>238.65</v>
      </c>
      <c r="G2" s="5">
        <v>189.56</v>
      </c>
      <c r="H2" s="5">
        <v>196.52</v>
      </c>
      <c r="I2" s="5">
        <v>205.68</v>
      </c>
      <c r="J2" s="5">
        <v>214.12</v>
      </c>
    </row>
    <row r="3" spans="1:10" x14ac:dyDescent="0.35">
      <c r="A3" s="3">
        <v>3101102</v>
      </c>
      <c r="B3" s="4" t="s">
        <v>11</v>
      </c>
      <c r="C3" s="5">
        <v>220.05</v>
      </c>
      <c r="D3" s="5">
        <v>229.35</v>
      </c>
      <c r="E3" s="5">
        <v>224.19</v>
      </c>
      <c r="F3" s="5">
        <v>229.53</v>
      </c>
      <c r="G3" s="5">
        <v>208.12</v>
      </c>
      <c r="H3" s="5">
        <v>211.47</v>
      </c>
      <c r="I3" s="5">
        <v>215.43</v>
      </c>
      <c r="J3" s="5">
        <v>219.95000000000002</v>
      </c>
    </row>
    <row r="4" spans="1:10" x14ac:dyDescent="0.35">
      <c r="A4" s="3">
        <v>3101706</v>
      </c>
      <c r="B4" s="4" t="s">
        <v>12</v>
      </c>
      <c r="C4" s="5">
        <v>192.82</v>
      </c>
      <c r="D4" s="5">
        <v>195.55</v>
      </c>
      <c r="E4" s="5">
        <v>190.15</v>
      </c>
      <c r="F4" s="5">
        <v>200.24</v>
      </c>
      <c r="G4" s="5">
        <v>191.34</v>
      </c>
      <c r="H4" s="5">
        <v>199.1</v>
      </c>
      <c r="I4" s="5">
        <v>195.77</v>
      </c>
      <c r="J4" s="5">
        <v>204.06</v>
      </c>
    </row>
    <row r="5" spans="1:10" x14ac:dyDescent="0.35">
      <c r="A5" s="3">
        <v>3101805</v>
      </c>
      <c r="B5" s="4" t="s">
        <v>13</v>
      </c>
      <c r="C5" s="5">
        <v>177.33</v>
      </c>
      <c r="D5" s="5">
        <v>189.95000000000002</v>
      </c>
      <c r="E5" s="5">
        <v>199.27</v>
      </c>
      <c r="F5" s="5">
        <v>211.38</v>
      </c>
      <c r="G5" s="5">
        <v>191.83</v>
      </c>
      <c r="H5" s="5">
        <v>205.35</v>
      </c>
      <c r="I5" s="5">
        <v>195.88</v>
      </c>
      <c r="J5" s="5">
        <v>198.73000000000002</v>
      </c>
    </row>
    <row r="6" spans="1:10" x14ac:dyDescent="0.35">
      <c r="A6" s="3">
        <v>3102852</v>
      </c>
      <c r="B6" s="4" t="s">
        <v>14</v>
      </c>
      <c r="C6" s="5">
        <v>205.97</v>
      </c>
      <c r="D6" s="5">
        <v>215.57</v>
      </c>
      <c r="E6" s="5">
        <v>214.58</v>
      </c>
      <c r="F6" s="5">
        <v>235.89000000000001</v>
      </c>
      <c r="G6" s="5">
        <v>181.85</v>
      </c>
      <c r="H6" s="5">
        <v>208.94</v>
      </c>
      <c r="I6" s="5">
        <v>215.01</v>
      </c>
      <c r="J6" s="5">
        <v>227.73000000000002</v>
      </c>
    </row>
    <row r="7" spans="1:10" x14ac:dyDescent="0.35">
      <c r="A7" s="3">
        <v>3103405</v>
      </c>
      <c r="B7" s="4" t="s">
        <v>15</v>
      </c>
      <c r="C7" s="5">
        <v>201.51</v>
      </c>
      <c r="D7" s="5">
        <v>209.14000000000001</v>
      </c>
      <c r="E7" s="5">
        <v>195.62</v>
      </c>
      <c r="F7" s="5">
        <v>203.67000000000002</v>
      </c>
      <c r="G7" s="5">
        <v>180.92000000000002</v>
      </c>
      <c r="H7" s="5">
        <v>188.92000000000002</v>
      </c>
      <c r="I7" s="5">
        <v>196.17000000000002</v>
      </c>
      <c r="J7" s="5">
        <v>205.92000000000002</v>
      </c>
    </row>
    <row r="8" spans="1:10" x14ac:dyDescent="0.35">
      <c r="A8" s="3">
        <v>3104452</v>
      </c>
      <c r="B8" s="4" t="s">
        <v>16</v>
      </c>
      <c r="C8" s="5">
        <v>222.21</v>
      </c>
      <c r="D8" s="5">
        <v>238.95000000000002</v>
      </c>
      <c r="E8" s="5">
        <v>228.01</v>
      </c>
      <c r="F8" s="5">
        <v>250.16</v>
      </c>
      <c r="G8" s="5">
        <v>197.66</v>
      </c>
      <c r="H8" s="5">
        <v>197.69</v>
      </c>
      <c r="I8" s="5">
        <v>211.63</v>
      </c>
      <c r="J8" s="5">
        <v>226.58</v>
      </c>
    </row>
    <row r="9" spans="1:10" x14ac:dyDescent="0.35">
      <c r="A9" s="3">
        <v>3104502</v>
      </c>
      <c r="B9" s="4" t="s">
        <v>17</v>
      </c>
      <c r="C9" s="5">
        <v>200.62</v>
      </c>
      <c r="D9" s="5">
        <v>206.21</v>
      </c>
      <c r="E9" s="5">
        <v>204.26</v>
      </c>
      <c r="F9" s="5">
        <v>214.96</v>
      </c>
      <c r="G9" s="5">
        <v>186.49</v>
      </c>
      <c r="H9" s="5">
        <v>187.20000000000002</v>
      </c>
      <c r="I9" s="5">
        <v>203</v>
      </c>
      <c r="J9" s="5">
        <v>203.34</v>
      </c>
    </row>
    <row r="10" spans="1:10" x14ac:dyDescent="0.35">
      <c r="A10" s="3">
        <v>3104700</v>
      </c>
      <c r="B10" s="4" t="s">
        <v>18</v>
      </c>
      <c r="C10" s="5">
        <v>209.45000000000002</v>
      </c>
      <c r="D10" s="5">
        <v>210.48000000000002</v>
      </c>
      <c r="E10" s="5">
        <v>199.69</v>
      </c>
      <c r="F10" s="5">
        <v>209.27</v>
      </c>
      <c r="G10" s="5">
        <v>181.38</v>
      </c>
      <c r="H10" s="5">
        <v>190.36</v>
      </c>
      <c r="I10" s="5">
        <v>189.3</v>
      </c>
      <c r="J10" s="5">
        <v>206.4</v>
      </c>
    </row>
    <row r="11" spans="1:10" x14ac:dyDescent="0.35">
      <c r="A11" s="3">
        <v>3105202</v>
      </c>
      <c r="B11" s="4" t="s">
        <v>19</v>
      </c>
      <c r="C11" s="5">
        <v>221.48000000000002</v>
      </c>
      <c r="D11" s="5">
        <v>232.52</v>
      </c>
      <c r="E11" s="5">
        <v>202.24</v>
      </c>
      <c r="F11" s="5">
        <v>213.17000000000002</v>
      </c>
      <c r="G11" s="5">
        <v>191.48000000000002</v>
      </c>
      <c r="H11" s="5">
        <v>205.92000000000002</v>
      </c>
      <c r="I11" s="5">
        <v>211.02</v>
      </c>
      <c r="J11" s="5">
        <v>223.46</v>
      </c>
    </row>
    <row r="12" spans="1:10" x14ac:dyDescent="0.35">
      <c r="A12" s="3">
        <v>3106655</v>
      </c>
      <c r="B12" s="4" t="s">
        <v>20</v>
      </c>
      <c r="C12" s="5">
        <v>215.55</v>
      </c>
      <c r="D12" s="5">
        <v>212.05</v>
      </c>
      <c r="E12" s="5">
        <v>209.84</v>
      </c>
      <c r="F12" s="5">
        <v>225.58</v>
      </c>
      <c r="G12" s="5">
        <v>202.18</v>
      </c>
      <c r="H12" s="5">
        <v>212.89000000000001</v>
      </c>
      <c r="I12" s="5">
        <v>209.71</v>
      </c>
      <c r="J12" s="5">
        <v>228.27</v>
      </c>
    </row>
    <row r="13" spans="1:10" x14ac:dyDescent="0.35">
      <c r="A13" s="3">
        <v>3107307</v>
      </c>
      <c r="B13" s="4" t="s">
        <v>21</v>
      </c>
      <c r="C13" s="5">
        <v>200.20000000000002</v>
      </c>
      <c r="D13" s="5">
        <v>211.93</v>
      </c>
      <c r="E13" s="5">
        <v>197.37</v>
      </c>
      <c r="F13" s="5">
        <v>207.88</v>
      </c>
      <c r="G13" s="5">
        <v>189.88</v>
      </c>
      <c r="H13" s="5">
        <v>204.9</v>
      </c>
      <c r="I13" s="5">
        <v>190.3</v>
      </c>
      <c r="J13" s="5">
        <v>203.13</v>
      </c>
    </row>
    <row r="14" spans="1:10" x14ac:dyDescent="0.35">
      <c r="A14" s="3">
        <v>3108206</v>
      </c>
      <c r="B14" s="4" t="s">
        <v>22</v>
      </c>
      <c r="C14" s="5">
        <v>218.32</v>
      </c>
      <c r="D14" s="5">
        <v>234.51</v>
      </c>
      <c r="E14" s="5">
        <v>216.87</v>
      </c>
      <c r="F14" s="5">
        <v>220.35</v>
      </c>
      <c r="G14" s="5">
        <v>198.62</v>
      </c>
      <c r="H14" s="5">
        <v>210.16</v>
      </c>
      <c r="I14" s="5">
        <v>210.08</v>
      </c>
      <c r="J14" s="5">
        <v>215.33</v>
      </c>
    </row>
    <row r="15" spans="1:10" x14ac:dyDescent="0.35">
      <c r="A15" s="3">
        <v>3108602</v>
      </c>
      <c r="B15" s="4" t="s">
        <v>23</v>
      </c>
      <c r="C15" s="5">
        <v>212.12</v>
      </c>
      <c r="D15" s="5">
        <v>204.97</v>
      </c>
      <c r="E15" s="5">
        <v>215.46</v>
      </c>
      <c r="F15" s="5">
        <v>216.56</v>
      </c>
      <c r="G15" s="5">
        <v>203.85</v>
      </c>
      <c r="H15" s="5">
        <v>199.9</v>
      </c>
      <c r="I15" s="5">
        <v>192.66</v>
      </c>
      <c r="J15" s="5">
        <v>191.22</v>
      </c>
    </row>
    <row r="16" spans="1:10" x14ac:dyDescent="0.35">
      <c r="A16" s="3">
        <v>3109204</v>
      </c>
      <c r="B16" s="4" t="s">
        <v>24</v>
      </c>
      <c r="C16" s="5">
        <v>225.22</v>
      </c>
      <c r="D16" s="5">
        <v>233.17000000000002</v>
      </c>
      <c r="E16" s="5">
        <v>200.48000000000002</v>
      </c>
      <c r="F16" s="5">
        <v>210.86</v>
      </c>
      <c r="G16" s="5">
        <v>197.84</v>
      </c>
      <c r="H16" s="5">
        <v>198.4</v>
      </c>
      <c r="I16" s="5">
        <v>210.49</v>
      </c>
      <c r="J16" s="5">
        <v>217.84</v>
      </c>
    </row>
    <row r="17" spans="1:10" x14ac:dyDescent="0.35">
      <c r="A17" s="3">
        <v>3109402</v>
      </c>
      <c r="B17" s="4" t="s">
        <v>25</v>
      </c>
      <c r="C17" s="5">
        <v>199.98000000000002</v>
      </c>
      <c r="D17" s="5">
        <v>204.22</v>
      </c>
      <c r="E17" s="5">
        <v>193.31</v>
      </c>
      <c r="F17" s="5">
        <v>202.18</v>
      </c>
      <c r="G17" s="5">
        <v>193.59</v>
      </c>
      <c r="H17" s="5">
        <v>195.68</v>
      </c>
      <c r="I17" s="5">
        <v>190.89000000000001</v>
      </c>
      <c r="J17" s="5">
        <v>195.3</v>
      </c>
    </row>
    <row r="18" spans="1:10" x14ac:dyDescent="0.35">
      <c r="A18" s="3">
        <v>3102704</v>
      </c>
      <c r="B18" s="4" t="s">
        <v>26</v>
      </c>
      <c r="C18" s="5">
        <v>203.94</v>
      </c>
      <c r="D18" s="5">
        <v>212.68</v>
      </c>
      <c r="E18" s="5">
        <v>197.18</v>
      </c>
      <c r="F18" s="5">
        <v>211.45000000000002</v>
      </c>
      <c r="G18" s="5">
        <v>187.54</v>
      </c>
      <c r="H18" s="5">
        <v>192.71</v>
      </c>
      <c r="I18" s="5">
        <v>198.23000000000002</v>
      </c>
      <c r="J18" s="5">
        <v>208.92000000000002</v>
      </c>
    </row>
    <row r="19" spans="1:10" x14ac:dyDescent="0.35">
      <c r="A19" s="3">
        <v>3110806</v>
      </c>
      <c r="B19" s="4" t="s">
        <v>27</v>
      </c>
      <c r="C19" s="5">
        <v>194.43</v>
      </c>
      <c r="D19" s="5">
        <v>198.4</v>
      </c>
      <c r="E19" s="5">
        <v>198.95000000000002</v>
      </c>
      <c r="F19" s="5">
        <v>212.64000000000001</v>
      </c>
      <c r="G19" s="5">
        <v>192.75</v>
      </c>
      <c r="H19" s="5">
        <v>201.12</v>
      </c>
      <c r="I19" s="5">
        <v>195</v>
      </c>
      <c r="J19" s="5">
        <v>197.77</v>
      </c>
    </row>
    <row r="20" spans="1:10" x14ac:dyDescent="0.35">
      <c r="A20" s="3">
        <v>3111150</v>
      </c>
      <c r="B20" s="4" t="s">
        <v>28</v>
      </c>
      <c r="C20" s="5">
        <v>215.61</v>
      </c>
      <c r="D20" s="5">
        <v>213.34</v>
      </c>
      <c r="E20" s="5">
        <v>208.78</v>
      </c>
      <c r="F20" s="5">
        <v>217.16</v>
      </c>
      <c r="G20" s="5">
        <v>199.26</v>
      </c>
      <c r="H20" s="5">
        <v>208.45000000000002</v>
      </c>
      <c r="I20" s="5">
        <v>205.25</v>
      </c>
      <c r="J20" s="5">
        <v>215.89000000000001</v>
      </c>
    </row>
    <row r="21" spans="1:10" x14ac:dyDescent="0.35">
      <c r="A21" s="3">
        <v>3112059</v>
      </c>
      <c r="B21" s="4" t="s">
        <v>29</v>
      </c>
      <c r="C21" s="5">
        <v>206.14000000000001</v>
      </c>
      <c r="D21" s="5">
        <v>216.4</v>
      </c>
      <c r="E21" s="5">
        <v>202.36</v>
      </c>
      <c r="F21" s="5">
        <v>210.26</v>
      </c>
      <c r="G21" s="5">
        <v>213.29</v>
      </c>
      <c r="H21" s="5">
        <v>222.43</v>
      </c>
      <c r="I21" s="5">
        <v>193.89000000000001</v>
      </c>
      <c r="J21" s="5">
        <v>219.23000000000002</v>
      </c>
    </row>
    <row r="22" spans="1:10" x14ac:dyDescent="0.35">
      <c r="A22" s="3">
        <v>3112307</v>
      </c>
      <c r="B22" s="4" t="s">
        <v>30</v>
      </c>
      <c r="C22" s="5">
        <v>222.26</v>
      </c>
      <c r="D22" s="5">
        <v>240.86</v>
      </c>
      <c r="E22" s="5">
        <v>214.19</v>
      </c>
      <c r="F22" s="5">
        <v>233.47</v>
      </c>
      <c r="G22" s="5">
        <v>204.9</v>
      </c>
      <c r="H22" s="5">
        <v>226.72</v>
      </c>
      <c r="I22" s="5">
        <v>223.95000000000002</v>
      </c>
      <c r="J22" s="5">
        <v>243.23000000000002</v>
      </c>
    </row>
    <row r="23" spans="1:10" x14ac:dyDescent="0.35">
      <c r="A23" s="3">
        <v>3112703</v>
      </c>
      <c r="B23" s="4" t="s">
        <v>31</v>
      </c>
      <c r="C23" s="5">
        <v>176.42000000000002</v>
      </c>
      <c r="D23" s="5">
        <v>183.02</v>
      </c>
      <c r="E23" s="5">
        <v>170.89000000000001</v>
      </c>
      <c r="F23" s="5">
        <v>180.12</v>
      </c>
      <c r="G23" s="5">
        <v>164.63</v>
      </c>
      <c r="H23" s="5">
        <v>182.39000000000001</v>
      </c>
      <c r="I23" s="5">
        <v>189.02</v>
      </c>
      <c r="J23" s="5">
        <v>192.94</v>
      </c>
    </row>
    <row r="24" spans="1:10" x14ac:dyDescent="0.35">
      <c r="A24" s="3">
        <v>3113008</v>
      </c>
      <c r="B24" s="4" t="s">
        <v>32</v>
      </c>
      <c r="C24" s="5">
        <v>190.8</v>
      </c>
      <c r="D24" s="5">
        <v>203.18</v>
      </c>
      <c r="E24" s="5">
        <v>183.31</v>
      </c>
      <c r="F24" s="5">
        <v>196.71</v>
      </c>
      <c r="G24" s="5">
        <v>180.03</v>
      </c>
      <c r="H24" s="5">
        <v>183.71</v>
      </c>
      <c r="I24" s="5">
        <v>184.08</v>
      </c>
      <c r="J24" s="5">
        <v>190.24</v>
      </c>
    </row>
    <row r="25" spans="1:10" x14ac:dyDescent="0.35">
      <c r="A25" s="3">
        <v>3113503</v>
      </c>
      <c r="B25" s="4" t="s">
        <v>33</v>
      </c>
      <c r="C25" s="5">
        <v>209.69</v>
      </c>
      <c r="D25" s="5">
        <v>217.5</v>
      </c>
      <c r="E25" s="5">
        <v>223.83</v>
      </c>
      <c r="F25" s="5">
        <v>227.22</v>
      </c>
      <c r="G25" s="5">
        <v>206.53</v>
      </c>
      <c r="H25" s="5">
        <v>211.73000000000002</v>
      </c>
      <c r="I25" s="5">
        <v>192.29</v>
      </c>
      <c r="J25" s="5">
        <v>203.19</v>
      </c>
    </row>
    <row r="26" spans="1:10" x14ac:dyDescent="0.35">
      <c r="A26" s="3">
        <v>3113701</v>
      </c>
      <c r="B26" s="4" t="s">
        <v>34</v>
      </c>
      <c r="C26" s="5">
        <v>213.78</v>
      </c>
      <c r="D26" s="5">
        <v>220.81</v>
      </c>
      <c r="E26" s="5">
        <v>202.51</v>
      </c>
      <c r="F26" s="5">
        <v>213.23000000000002</v>
      </c>
      <c r="G26" s="5">
        <v>192.74</v>
      </c>
      <c r="H26" s="5">
        <v>197.02</v>
      </c>
      <c r="I26" s="5">
        <v>198.82</v>
      </c>
      <c r="J26" s="5">
        <v>201.21</v>
      </c>
    </row>
    <row r="27" spans="1:10" x14ac:dyDescent="0.35">
      <c r="A27" s="3">
        <v>3113800</v>
      </c>
      <c r="B27" s="4" t="s">
        <v>35</v>
      </c>
      <c r="C27" s="5">
        <v>200.75</v>
      </c>
      <c r="D27" s="5">
        <v>207.69</v>
      </c>
      <c r="E27" s="5">
        <v>224.64000000000001</v>
      </c>
      <c r="F27" s="5">
        <v>240.54</v>
      </c>
      <c r="G27" s="5">
        <v>197.65</v>
      </c>
      <c r="H27" s="5">
        <v>201.99</v>
      </c>
      <c r="I27" s="5">
        <v>203.75</v>
      </c>
      <c r="J27" s="5">
        <v>219.70000000000002</v>
      </c>
    </row>
    <row r="28" spans="1:10" x14ac:dyDescent="0.35">
      <c r="A28" s="3">
        <v>3115458</v>
      </c>
      <c r="B28" s="4" t="s">
        <v>36</v>
      </c>
      <c r="C28" s="5">
        <v>192.08</v>
      </c>
      <c r="D28" s="5">
        <v>202.41</v>
      </c>
      <c r="E28" s="5">
        <v>172.89000000000001</v>
      </c>
      <c r="F28" s="5">
        <v>188.62</v>
      </c>
      <c r="G28" s="5">
        <v>175.44</v>
      </c>
      <c r="H28" s="5">
        <v>189.06</v>
      </c>
      <c r="I28" s="5">
        <v>189.4</v>
      </c>
      <c r="J28" s="5">
        <v>194.82</v>
      </c>
    </row>
    <row r="29" spans="1:10" x14ac:dyDescent="0.35">
      <c r="A29" s="3">
        <v>3115474</v>
      </c>
      <c r="B29" s="4" t="s">
        <v>37</v>
      </c>
      <c r="C29" s="5">
        <v>207.59</v>
      </c>
      <c r="D29" s="5">
        <v>214.59</v>
      </c>
      <c r="E29" s="5">
        <v>211.71</v>
      </c>
      <c r="F29" s="5">
        <v>218.1</v>
      </c>
      <c r="G29" s="5">
        <v>185.75</v>
      </c>
      <c r="H29" s="5">
        <v>199.57</v>
      </c>
      <c r="I29" s="5">
        <v>206.23000000000002</v>
      </c>
      <c r="J29" s="5">
        <v>220.82</v>
      </c>
    </row>
    <row r="30" spans="1:10" x14ac:dyDescent="0.35">
      <c r="A30" s="3">
        <v>3116100</v>
      </c>
      <c r="B30" s="4" t="s">
        <v>38</v>
      </c>
      <c r="C30" s="5">
        <v>211.31</v>
      </c>
      <c r="D30" s="5">
        <v>214.18</v>
      </c>
      <c r="E30" s="5">
        <v>205.78</v>
      </c>
      <c r="F30" s="5">
        <v>221.3</v>
      </c>
      <c r="G30" s="5">
        <v>179.05</v>
      </c>
      <c r="H30" s="5">
        <v>195.04</v>
      </c>
      <c r="I30" s="5">
        <v>196.70000000000002</v>
      </c>
      <c r="J30" s="5">
        <v>209.97</v>
      </c>
    </row>
    <row r="31" spans="1:10" x14ac:dyDescent="0.35">
      <c r="A31" s="3">
        <v>3116159</v>
      </c>
      <c r="B31" s="4" t="s">
        <v>39</v>
      </c>
      <c r="C31" s="5">
        <v>209.33</v>
      </c>
      <c r="D31" s="5">
        <v>215.55</v>
      </c>
      <c r="E31" s="5">
        <v>203.98000000000002</v>
      </c>
      <c r="F31" s="5">
        <v>217.57</v>
      </c>
      <c r="G31" s="5">
        <v>184</v>
      </c>
      <c r="H31" s="5">
        <v>196.85</v>
      </c>
      <c r="I31" s="5">
        <v>187.72</v>
      </c>
      <c r="J31" s="5">
        <v>200.87</v>
      </c>
    </row>
    <row r="32" spans="1:10" x14ac:dyDescent="0.35">
      <c r="A32" s="3">
        <v>3116506</v>
      </c>
      <c r="B32" s="4" t="s">
        <v>40</v>
      </c>
      <c r="C32" s="5">
        <v>217.06</v>
      </c>
      <c r="D32" s="5">
        <v>224.52</v>
      </c>
      <c r="E32" s="5">
        <v>202.53</v>
      </c>
      <c r="F32" s="5">
        <v>215.58</v>
      </c>
      <c r="G32" s="5">
        <v>204.01</v>
      </c>
      <c r="H32" s="5">
        <v>202.11</v>
      </c>
      <c r="I32" s="5">
        <v>212.62</v>
      </c>
      <c r="J32" s="5">
        <v>217.56</v>
      </c>
    </row>
    <row r="33" spans="1:10" x14ac:dyDescent="0.35">
      <c r="A33" s="3">
        <v>3116803</v>
      </c>
      <c r="B33" s="4" t="s">
        <v>41</v>
      </c>
      <c r="C33" s="5">
        <v>200.47</v>
      </c>
      <c r="D33" s="5">
        <v>205.77</v>
      </c>
      <c r="E33" s="5">
        <v>216.12</v>
      </c>
      <c r="F33" s="5">
        <v>229.53</v>
      </c>
      <c r="G33" s="5">
        <v>187.92000000000002</v>
      </c>
      <c r="H33" s="5">
        <v>199.37</v>
      </c>
      <c r="I33" s="5">
        <v>193.88</v>
      </c>
      <c r="J33" s="5">
        <v>205.31</v>
      </c>
    </row>
    <row r="34" spans="1:10" x14ac:dyDescent="0.35">
      <c r="A34" s="3">
        <v>3117009</v>
      </c>
      <c r="B34" s="4" t="s">
        <v>42</v>
      </c>
      <c r="C34" s="5">
        <v>201.91</v>
      </c>
      <c r="D34" s="5">
        <v>206.76</v>
      </c>
      <c r="E34" s="5">
        <v>200.53</v>
      </c>
      <c r="F34" s="5">
        <v>212.88</v>
      </c>
      <c r="G34" s="5">
        <v>194.6</v>
      </c>
      <c r="H34" s="5">
        <v>195.32</v>
      </c>
      <c r="I34" s="5">
        <v>183.29</v>
      </c>
      <c r="J34" s="5">
        <v>189.29</v>
      </c>
    </row>
    <row r="35" spans="1:10" x14ac:dyDescent="0.35">
      <c r="A35" s="3">
        <v>3118403</v>
      </c>
      <c r="B35" s="4" t="s">
        <v>43</v>
      </c>
      <c r="C35" s="5">
        <v>215.54</v>
      </c>
      <c r="D35" s="5">
        <v>231.76</v>
      </c>
      <c r="E35" s="5">
        <v>221.43</v>
      </c>
      <c r="F35" s="5">
        <v>233.09</v>
      </c>
      <c r="G35" s="5">
        <v>198.66</v>
      </c>
      <c r="H35" s="5">
        <v>208.37</v>
      </c>
      <c r="I35" s="5">
        <v>198.54</v>
      </c>
      <c r="J35" s="5">
        <v>211.84</v>
      </c>
    </row>
    <row r="36" spans="1:10" x14ac:dyDescent="0.35">
      <c r="A36" s="3">
        <v>3119104</v>
      </c>
      <c r="B36" s="4" t="s">
        <v>44</v>
      </c>
      <c r="C36" s="5">
        <v>218.93</v>
      </c>
      <c r="D36" s="5">
        <v>231.9</v>
      </c>
      <c r="E36" s="5">
        <v>198.18</v>
      </c>
      <c r="F36" s="5">
        <v>214.65</v>
      </c>
      <c r="G36" s="5">
        <v>194.5</v>
      </c>
      <c r="H36" s="5">
        <v>199.47</v>
      </c>
      <c r="I36" s="5">
        <v>198.26</v>
      </c>
      <c r="J36" s="5">
        <v>213.1</v>
      </c>
    </row>
    <row r="37" spans="1:10" x14ac:dyDescent="0.35">
      <c r="A37" s="3">
        <v>3119203</v>
      </c>
      <c r="B37" s="4" t="s">
        <v>45</v>
      </c>
      <c r="C37" s="5">
        <v>216.13</v>
      </c>
      <c r="D37" s="5">
        <v>226.17000000000002</v>
      </c>
      <c r="E37" s="5">
        <v>220.76</v>
      </c>
      <c r="F37" s="5">
        <v>233.57</v>
      </c>
      <c r="G37" s="5">
        <v>216.89000000000001</v>
      </c>
      <c r="H37" s="5">
        <v>221.32</v>
      </c>
      <c r="I37" s="5">
        <v>206.07</v>
      </c>
      <c r="J37" s="5">
        <v>213.21</v>
      </c>
    </row>
    <row r="38" spans="1:10" x14ac:dyDescent="0.35">
      <c r="A38" s="3">
        <v>3119500</v>
      </c>
      <c r="B38" s="4" t="s">
        <v>46</v>
      </c>
      <c r="C38" s="5">
        <v>187.64000000000001</v>
      </c>
      <c r="D38" s="5">
        <v>205.55</v>
      </c>
      <c r="E38" s="5">
        <v>190.5</v>
      </c>
      <c r="F38" s="5">
        <v>206.43</v>
      </c>
      <c r="G38" s="5">
        <v>192.54</v>
      </c>
      <c r="H38" s="5">
        <v>202.58</v>
      </c>
      <c r="I38" s="5">
        <v>195.28</v>
      </c>
      <c r="J38" s="5">
        <v>207.19</v>
      </c>
    </row>
    <row r="39" spans="1:10" x14ac:dyDescent="0.35">
      <c r="A39" s="3">
        <v>3120151</v>
      </c>
      <c r="B39" s="4" t="s">
        <v>47</v>
      </c>
      <c r="C39" s="5">
        <v>189.49</v>
      </c>
      <c r="D39" s="5">
        <v>197.43</v>
      </c>
      <c r="E39" s="5">
        <v>185.35</v>
      </c>
      <c r="F39" s="5">
        <v>192.62</v>
      </c>
      <c r="G39" s="5">
        <v>175.41</v>
      </c>
      <c r="H39" s="5">
        <v>179.93</v>
      </c>
      <c r="I39" s="5">
        <v>183.25</v>
      </c>
      <c r="J39" s="5">
        <v>192.55</v>
      </c>
    </row>
    <row r="40" spans="1:10" x14ac:dyDescent="0.35">
      <c r="A40" s="3">
        <v>3120870</v>
      </c>
      <c r="B40" s="4" t="s">
        <v>48</v>
      </c>
      <c r="C40" s="5">
        <v>217.18</v>
      </c>
      <c r="D40" s="5">
        <v>233.46</v>
      </c>
      <c r="E40" s="5">
        <v>201.36</v>
      </c>
      <c r="F40" s="5">
        <v>225.82</v>
      </c>
      <c r="G40" s="5">
        <v>199.84</v>
      </c>
      <c r="H40" s="5">
        <v>208.45000000000002</v>
      </c>
      <c r="I40" s="5">
        <v>217.46</v>
      </c>
      <c r="J40" s="5">
        <v>238.06</v>
      </c>
    </row>
    <row r="41" spans="1:10" x14ac:dyDescent="0.35">
      <c r="A41" s="3">
        <v>3120904</v>
      </c>
      <c r="B41" s="4" t="s">
        <v>49</v>
      </c>
      <c r="C41" s="5">
        <v>227.97</v>
      </c>
      <c r="D41" s="5">
        <v>235.78</v>
      </c>
      <c r="E41" s="5">
        <v>216.35</v>
      </c>
      <c r="F41" s="5">
        <v>230.68</v>
      </c>
      <c r="G41" s="5">
        <v>208.11</v>
      </c>
      <c r="H41" s="5">
        <v>214.34</v>
      </c>
      <c r="I41" s="5">
        <v>213.25</v>
      </c>
      <c r="J41" s="5">
        <v>226.01</v>
      </c>
    </row>
    <row r="42" spans="1:10" x14ac:dyDescent="0.35">
      <c r="A42" s="3">
        <v>3121001</v>
      </c>
      <c r="B42" s="4" t="s">
        <v>50</v>
      </c>
      <c r="C42" s="5">
        <v>232.48000000000002</v>
      </c>
      <c r="D42" s="5">
        <v>240.67000000000002</v>
      </c>
      <c r="E42" s="5">
        <v>227.91</v>
      </c>
      <c r="F42" s="5">
        <v>243.03</v>
      </c>
      <c r="G42" s="5">
        <v>210.09</v>
      </c>
      <c r="H42" s="5">
        <v>221.85</v>
      </c>
      <c r="I42" s="5">
        <v>232.6</v>
      </c>
      <c r="J42" s="5">
        <v>236.97</v>
      </c>
    </row>
    <row r="43" spans="1:10" x14ac:dyDescent="0.35">
      <c r="A43" s="3">
        <v>3121605</v>
      </c>
      <c r="B43" s="4" t="s">
        <v>51</v>
      </c>
      <c r="C43" s="5">
        <v>206.23000000000002</v>
      </c>
      <c r="D43" s="5">
        <v>211.57</v>
      </c>
      <c r="E43" s="5">
        <v>209.68</v>
      </c>
      <c r="F43" s="5">
        <v>220.79</v>
      </c>
      <c r="G43" s="5">
        <v>192.39000000000001</v>
      </c>
      <c r="H43" s="5">
        <v>189.95000000000002</v>
      </c>
      <c r="I43" s="5">
        <v>216.24</v>
      </c>
      <c r="J43" s="5">
        <v>221.21</v>
      </c>
    </row>
    <row r="44" spans="1:10" x14ac:dyDescent="0.35">
      <c r="A44" s="3">
        <v>3122108</v>
      </c>
      <c r="B44" s="4" t="s">
        <v>52</v>
      </c>
      <c r="C44" s="5">
        <v>217.33</v>
      </c>
      <c r="D44" s="5">
        <v>224.37</v>
      </c>
      <c r="E44" s="5">
        <v>204.56</v>
      </c>
      <c r="F44" s="5">
        <v>213.79</v>
      </c>
      <c r="G44" s="5">
        <v>212.24</v>
      </c>
      <c r="H44" s="5">
        <v>211.86</v>
      </c>
      <c r="I44" s="5">
        <v>209.95000000000002</v>
      </c>
      <c r="J44" s="5">
        <v>202.17000000000002</v>
      </c>
    </row>
    <row r="45" spans="1:10" x14ac:dyDescent="0.35">
      <c r="A45" s="3">
        <v>3122207</v>
      </c>
      <c r="B45" s="4" t="s">
        <v>53</v>
      </c>
      <c r="C45" s="5">
        <v>222.33</v>
      </c>
      <c r="D45" s="5">
        <v>234.38</v>
      </c>
      <c r="E45" s="5">
        <v>224.63</v>
      </c>
      <c r="F45" s="5">
        <v>243.54</v>
      </c>
      <c r="G45" s="5">
        <v>209.06</v>
      </c>
      <c r="H45" s="5">
        <v>216.65</v>
      </c>
      <c r="I45" s="5">
        <v>216.19</v>
      </c>
      <c r="J45" s="5">
        <v>231.02</v>
      </c>
    </row>
    <row r="46" spans="1:10" x14ac:dyDescent="0.35">
      <c r="A46" s="3">
        <v>3122454</v>
      </c>
      <c r="B46" s="4" t="s">
        <v>54</v>
      </c>
      <c r="C46" s="5">
        <v>210.61</v>
      </c>
      <c r="D46" s="5">
        <v>222.64000000000001</v>
      </c>
      <c r="E46" s="5">
        <v>206.85</v>
      </c>
      <c r="F46" s="5">
        <v>223.48000000000002</v>
      </c>
      <c r="G46" s="5">
        <v>196.54</v>
      </c>
      <c r="H46" s="5">
        <v>197.88</v>
      </c>
      <c r="I46" s="5">
        <v>223.03</v>
      </c>
      <c r="J46" s="5">
        <v>231.54</v>
      </c>
    </row>
    <row r="47" spans="1:10" x14ac:dyDescent="0.35">
      <c r="A47" s="3">
        <v>3122470</v>
      </c>
      <c r="B47" s="4" t="s">
        <v>55</v>
      </c>
      <c r="C47" s="5">
        <v>214.6</v>
      </c>
      <c r="D47" s="5">
        <v>222.24</v>
      </c>
      <c r="E47" s="5">
        <v>203.3</v>
      </c>
      <c r="F47" s="5">
        <v>219.99</v>
      </c>
      <c r="G47" s="5">
        <v>186.03</v>
      </c>
      <c r="H47" s="5">
        <v>184.8</v>
      </c>
      <c r="I47" s="5">
        <v>198.8</v>
      </c>
      <c r="J47" s="5">
        <v>222.01</v>
      </c>
    </row>
    <row r="48" spans="1:10" x14ac:dyDescent="0.35">
      <c r="A48" s="3">
        <v>3123106</v>
      </c>
      <c r="B48" s="4" t="s">
        <v>56</v>
      </c>
      <c r="C48" s="5">
        <v>221.84</v>
      </c>
      <c r="D48" s="5">
        <v>240.28</v>
      </c>
      <c r="E48" s="5">
        <v>222.77</v>
      </c>
      <c r="F48" s="5">
        <v>242.59</v>
      </c>
      <c r="G48" s="5">
        <v>222.98000000000002</v>
      </c>
      <c r="H48" s="5">
        <v>237.73000000000002</v>
      </c>
      <c r="I48" s="5">
        <v>216.35</v>
      </c>
      <c r="J48" s="5">
        <v>228.16</v>
      </c>
    </row>
    <row r="49" spans="1:10" x14ac:dyDescent="0.35">
      <c r="A49" s="3">
        <v>3123700</v>
      </c>
      <c r="B49" s="4" t="s">
        <v>57</v>
      </c>
      <c r="C49" s="5">
        <v>215.41</v>
      </c>
      <c r="D49" s="5">
        <v>229.27</v>
      </c>
      <c r="E49" s="5">
        <v>212.71</v>
      </c>
      <c r="F49" s="5">
        <v>229.25</v>
      </c>
      <c r="G49" s="5">
        <v>209.46</v>
      </c>
      <c r="H49" s="5">
        <v>219.20000000000002</v>
      </c>
      <c r="I49" s="5">
        <v>206.44</v>
      </c>
      <c r="J49" s="5">
        <v>216.85</v>
      </c>
    </row>
    <row r="50" spans="1:10" x14ac:dyDescent="0.35">
      <c r="A50" s="3">
        <v>3123809</v>
      </c>
      <c r="B50" s="4" t="s">
        <v>58</v>
      </c>
      <c r="C50" s="5">
        <v>220.46</v>
      </c>
      <c r="D50" s="5">
        <v>227.86</v>
      </c>
      <c r="E50" s="5">
        <v>203.37</v>
      </c>
      <c r="F50" s="5">
        <v>210.23000000000002</v>
      </c>
      <c r="G50" s="5">
        <v>187.44</v>
      </c>
      <c r="H50" s="5">
        <v>202.08</v>
      </c>
      <c r="I50" s="5">
        <v>204.12</v>
      </c>
      <c r="J50" s="5">
        <v>220.66</v>
      </c>
    </row>
    <row r="51" spans="1:10" x14ac:dyDescent="0.35">
      <c r="A51" s="3">
        <v>3124302</v>
      </c>
      <c r="B51" s="4" t="s">
        <v>59</v>
      </c>
      <c r="C51" s="5">
        <v>204.6</v>
      </c>
      <c r="D51" s="5">
        <v>215.09</v>
      </c>
      <c r="E51" s="5">
        <v>210.49</v>
      </c>
      <c r="F51" s="5">
        <v>223.34</v>
      </c>
      <c r="G51" s="5">
        <v>195.26</v>
      </c>
      <c r="H51" s="5">
        <v>203.35</v>
      </c>
      <c r="I51" s="5">
        <v>219.76</v>
      </c>
      <c r="J51" s="5">
        <v>233.88</v>
      </c>
    </row>
    <row r="52" spans="1:10" x14ac:dyDescent="0.35">
      <c r="A52" s="3">
        <v>3125408</v>
      </c>
      <c r="B52" s="4" t="s">
        <v>60</v>
      </c>
      <c r="C52" s="5">
        <v>195.41</v>
      </c>
      <c r="D52" s="5">
        <v>227.42000000000002</v>
      </c>
      <c r="E52" s="5">
        <v>212.66</v>
      </c>
      <c r="F52" s="5">
        <v>232.89000000000001</v>
      </c>
      <c r="G52" s="5">
        <v>200.20000000000002</v>
      </c>
      <c r="H52" s="5">
        <v>216.70000000000002</v>
      </c>
      <c r="I52" s="5">
        <v>200.85</v>
      </c>
      <c r="J52" s="5">
        <v>209.98000000000002</v>
      </c>
    </row>
    <row r="53" spans="1:10" x14ac:dyDescent="0.35">
      <c r="A53" s="3">
        <v>3125705</v>
      </c>
      <c r="B53" s="4" t="s">
        <v>61</v>
      </c>
      <c r="C53" s="5">
        <v>215.56</v>
      </c>
      <c r="D53" s="5">
        <v>219.43</v>
      </c>
      <c r="E53" s="5">
        <v>217.92000000000002</v>
      </c>
      <c r="F53" s="5">
        <v>230.49</v>
      </c>
      <c r="G53" s="5">
        <v>203.58</v>
      </c>
      <c r="H53" s="5">
        <v>208.75</v>
      </c>
      <c r="I53" s="5">
        <v>209.65</v>
      </c>
      <c r="J53" s="5">
        <v>220.42000000000002</v>
      </c>
    </row>
    <row r="54" spans="1:10" x14ac:dyDescent="0.35">
      <c r="A54" s="3">
        <v>3126604</v>
      </c>
      <c r="B54" s="4" t="s">
        <v>62</v>
      </c>
      <c r="C54" s="5">
        <v>203.58</v>
      </c>
      <c r="D54" s="5">
        <v>214.97</v>
      </c>
      <c r="E54" s="5">
        <v>193.49</v>
      </c>
      <c r="F54" s="5">
        <v>202.89000000000001</v>
      </c>
      <c r="G54" s="5">
        <v>166.86</v>
      </c>
      <c r="H54" s="5">
        <v>176.6</v>
      </c>
      <c r="I54" s="5">
        <v>196.5</v>
      </c>
      <c r="J54" s="5">
        <v>214.91</v>
      </c>
    </row>
    <row r="55" spans="1:10" x14ac:dyDescent="0.35">
      <c r="A55" s="3">
        <v>3126703</v>
      </c>
      <c r="B55" s="4" t="s">
        <v>63</v>
      </c>
      <c r="C55" s="5">
        <v>190.44</v>
      </c>
      <c r="D55" s="5">
        <v>192.85</v>
      </c>
      <c r="E55" s="5">
        <v>186.83</v>
      </c>
      <c r="F55" s="5">
        <v>199.03</v>
      </c>
      <c r="G55" s="5">
        <v>191.51</v>
      </c>
      <c r="H55" s="5">
        <v>197.65</v>
      </c>
      <c r="I55" s="5">
        <v>194.77</v>
      </c>
      <c r="J55" s="5">
        <v>202.53</v>
      </c>
    </row>
    <row r="56" spans="1:10" x14ac:dyDescent="0.35">
      <c r="A56" s="3">
        <v>3126901</v>
      </c>
      <c r="B56" s="4" t="s">
        <v>64</v>
      </c>
      <c r="C56" s="5">
        <v>193.62</v>
      </c>
      <c r="D56" s="5">
        <v>207</v>
      </c>
      <c r="E56" s="5">
        <v>200.07</v>
      </c>
      <c r="F56" s="5">
        <v>211.49</v>
      </c>
      <c r="G56" s="5">
        <v>177.9</v>
      </c>
      <c r="H56" s="5">
        <v>175.35</v>
      </c>
      <c r="I56" s="5">
        <v>190.41</v>
      </c>
      <c r="J56" s="5">
        <v>196.69</v>
      </c>
    </row>
    <row r="57" spans="1:10" x14ac:dyDescent="0.35">
      <c r="A57" s="3">
        <v>3127073</v>
      </c>
      <c r="B57" s="4" t="s">
        <v>65</v>
      </c>
      <c r="C57" s="5">
        <v>186.58</v>
      </c>
      <c r="D57" s="5">
        <v>179.96</v>
      </c>
      <c r="E57" s="5">
        <v>177.62</v>
      </c>
      <c r="F57" s="5">
        <v>187.3</v>
      </c>
      <c r="G57" s="5">
        <v>147.05000000000001</v>
      </c>
      <c r="H57" s="5">
        <v>158.71</v>
      </c>
      <c r="I57" s="5">
        <v>175.44</v>
      </c>
      <c r="J57" s="5">
        <v>182.37</v>
      </c>
    </row>
    <row r="58" spans="1:10" x14ac:dyDescent="0.35">
      <c r="A58" s="3">
        <v>3127354</v>
      </c>
      <c r="B58" s="4" t="s">
        <v>66</v>
      </c>
      <c r="C58" s="5">
        <v>210.8</v>
      </c>
      <c r="D58" s="5">
        <v>217.94</v>
      </c>
      <c r="E58" s="5">
        <v>204.66</v>
      </c>
      <c r="F58" s="5">
        <v>225.95000000000002</v>
      </c>
      <c r="G58" s="5">
        <v>203.65</v>
      </c>
      <c r="H58" s="5">
        <v>218.58</v>
      </c>
      <c r="I58" s="5">
        <v>212.06</v>
      </c>
      <c r="J58" s="5">
        <v>215.8</v>
      </c>
    </row>
    <row r="59" spans="1:10" x14ac:dyDescent="0.35">
      <c r="A59" s="3">
        <v>3127503</v>
      </c>
      <c r="B59" s="4" t="s">
        <v>67</v>
      </c>
      <c r="C59" s="5">
        <v>222.84</v>
      </c>
      <c r="D59" s="5">
        <v>232.24</v>
      </c>
      <c r="E59" s="5">
        <v>213.42000000000002</v>
      </c>
      <c r="F59" s="5">
        <v>229.28</v>
      </c>
      <c r="G59" s="5">
        <v>208.1</v>
      </c>
      <c r="H59" s="5">
        <v>215.62</v>
      </c>
      <c r="I59" s="5">
        <v>226.78</v>
      </c>
      <c r="J59" s="5">
        <v>234.33</v>
      </c>
    </row>
    <row r="60" spans="1:10" x14ac:dyDescent="0.35">
      <c r="A60" s="3">
        <v>3127602</v>
      </c>
      <c r="B60" s="4" t="s">
        <v>68</v>
      </c>
      <c r="C60" s="5">
        <v>209.17000000000002</v>
      </c>
      <c r="D60" s="5">
        <v>211.25</v>
      </c>
      <c r="E60" s="5">
        <v>219.18</v>
      </c>
      <c r="F60" s="5">
        <v>235.18</v>
      </c>
      <c r="G60" s="5">
        <v>222.91</v>
      </c>
      <c r="H60" s="5">
        <v>242.84</v>
      </c>
      <c r="I60" s="5">
        <v>234.03</v>
      </c>
      <c r="J60" s="5">
        <v>256.20999999999998</v>
      </c>
    </row>
    <row r="61" spans="1:10" x14ac:dyDescent="0.35">
      <c r="A61" s="3">
        <v>3127701</v>
      </c>
      <c r="B61" s="4" t="s">
        <v>69</v>
      </c>
      <c r="C61" s="5">
        <v>204.54</v>
      </c>
      <c r="D61" s="5">
        <v>211.04</v>
      </c>
      <c r="E61" s="5">
        <v>205.77</v>
      </c>
      <c r="F61" s="5">
        <v>220.57</v>
      </c>
      <c r="G61" s="5">
        <v>200.07</v>
      </c>
      <c r="H61" s="5">
        <v>209.94</v>
      </c>
      <c r="I61" s="5">
        <v>211.38</v>
      </c>
      <c r="J61" s="5">
        <v>223.66</v>
      </c>
    </row>
    <row r="62" spans="1:10" x14ac:dyDescent="0.35">
      <c r="A62" s="3">
        <v>3128006</v>
      </c>
      <c r="B62" s="4" t="s">
        <v>70</v>
      </c>
      <c r="C62" s="5">
        <v>224.63</v>
      </c>
      <c r="D62" s="5">
        <v>225.49</v>
      </c>
      <c r="E62" s="5">
        <v>225.14000000000001</v>
      </c>
      <c r="F62" s="5">
        <v>233.36</v>
      </c>
      <c r="G62" s="5">
        <v>211.46</v>
      </c>
      <c r="H62" s="5">
        <v>217.76</v>
      </c>
      <c r="I62" s="5">
        <v>215.13</v>
      </c>
      <c r="J62" s="5">
        <v>226.58</v>
      </c>
    </row>
    <row r="63" spans="1:10" x14ac:dyDescent="0.35">
      <c r="A63" s="3">
        <v>3128253</v>
      </c>
      <c r="B63" s="4" t="s">
        <v>71</v>
      </c>
      <c r="C63" s="5">
        <v>214.32</v>
      </c>
      <c r="D63" s="5">
        <v>224.24</v>
      </c>
      <c r="E63" s="5">
        <v>213.33</v>
      </c>
      <c r="F63" s="5">
        <v>230.85</v>
      </c>
      <c r="G63" s="5">
        <v>207.99</v>
      </c>
      <c r="H63" s="5">
        <v>209.26</v>
      </c>
      <c r="I63" s="5">
        <v>203.49</v>
      </c>
      <c r="J63" s="5">
        <v>207.4</v>
      </c>
    </row>
    <row r="64" spans="1:10" x14ac:dyDescent="0.35">
      <c r="A64" s="3">
        <v>3129657</v>
      </c>
      <c r="B64" s="4" t="s">
        <v>72</v>
      </c>
      <c r="C64" s="5">
        <v>194.79</v>
      </c>
      <c r="D64" s="5">
        <v>202.17000000000002</v>
      </c>
      <c r="E64" s="5">
        <v>186.27</v>
      </c>
      <c r="F64" s="5">
        <v>211.22</v>
      </c>
      <c r="G64" s="5">
        <v>177.78</v>
      </c>
      <c r="H64" s="5">
        <v>183.71</v>
      </c>
      <c r="I64" s="5">
        <v>172.68</v>
      </c>
      <c r="J64" s="5">
        <v>176.08</v>
      </c>
    </row>
    <row r="65" spans="1:10" x14ac:dyDescent="0.35">
      <c r="A65" s="3">
        <v>3130051</v>
      </c>
      <c r="B65" s="4" t="s">
        <v>73</v>
      </c>
      <c r="C65" s="5">
        <v>189.57</v>
      </c>
      <c r="D65" s="5">
        <v>206.95000000000002</v>
      </c>
      <c r="E65" s="5">
        <v>210.61</v>
      </c>
      <c r="F65" s="5">
        <v>228.84</v>
      </c>
      <c r="G65" s="5">
        <v>197.23000000000002</v>
      </c>
      <c r="H65" s="5">
        <v>205.48000000000002</v>
      </c>
      <c r="I65" s="5">
        <v>216.69</v>
      </c>
      <c r="J65" s="5">
        <v>226.68</v>
      </c>
    </row>
    <row r="66" spans="1:10" x14ac:dyDescent="0.35">
      <c r="A66" s="3">
        <v>3130556</v>
      </c>
      <c r="B66" s="4" t="s">
        <v>74</v>
      </c>
      <c r="C66" s="5">
        <v>209.94</v>
      </c>
      <c r="D66" s="5">
        <v>220.13</v>
      </c>
      <c r="E66" s="5">
        <v>206.47</v>
      </c>
      <c r="F66" s="5">
        <v>216.78</v>
      </c>
      <c r="G66" s="5">
        <v>185.72</v>
      </c>
      <c r="H66" s="5">
        <v>203.45000000000002</v>
      </c>
      <c r="I66" s="5">
        <v>212.39000000000001</v>
      </c>
      <c r="J66" s="5">
        <v>213.07</v>
      </c>
    </row>
    <row r="67" spans="1:10" x14ac:dyDescent="0.35">
      <c r="A67" s="3">
        <v>3130655</v>
      </c>
      <c r="B67" s="4" t="s">
        <v>75</v>
      </c>
      <c r="C67" s="5">
        <v>222.87</v>
      </c>
      <c r="D67" s="5">
        <v>228.19</v>
      </c>
      <c r="E67" s="5">
        <v>214.68</v>
      </c>
      <c r="F67" s="5">
        <v>233.92000000000002</v>
      </c>
      <c r="G67" s="5">
        <v>210</v>
      </c>
      <c r="H67" s="5">
        <v>217.55</v>
      </c>
      <c r="I67" s="5">
        <v>215.21</v>
      </c>
      <c r="J67" s="5">
        <v>222.34</v>
      </c>
    </row>
    <row r="68" spans="1:10" x14ac:dyDescent="0.35">
      <c r="A68" s="3">
        <v>3130903</v>
      </c>
      <c r="B68" s="4" t="s">
        <v>76</v>
      </c>
      <c r="C68" s="5">
        <v>226.49</v>
      </c>
      <c r="D68" s="5">
        <v>232.92000000000002</v>
      </c>
      <c r="E68" s="5">
        <v>217.61</v>
      </c>
      <c r="F68" s="5">
        <v>232.34</v>
      </c>
      <c r="G68" s="5">
        <v>210.53</v>
      </c>
      <c r="H68" s="5">
        <v>227.56</v>
      </c>
      <c r="I68" s="5">
        <v>227.4</v>
      </c>
      <c r="J68" s="5">
        <v>235.22</v>
      </c>
    </row>
    <row r="69" spans="1:10" x14ac:dyDescent="0.35">
      <c r="A69" s="3">
        <v>3131109</v>
      </c>
      <c r="B69" s="4" t="s">
        <v>77</v>
      </c>
      <c r="C69" s="5">
        <v>213.1</v>
      </c>
      <c r="D69" s="5">
        <v>219.56</v>
      </c>
      <c r="E69" s="5">
        <v>208</v>
      </c>
      <c r="F69" s="5">
        <v>230.63</v>
      </c>
      <c r="G69" s="5">
        <v>202.98000000000002</v>
      </c>
      <c r="H69" s="5">
        <v>197.74</v>
      </c>
      <c r="I69" s="5">
        <v>205.15</v>
      </c>
      <c r="J69" s="5">
        <v>210.45000000000002</v>
      </c>
    </row>
    <row r="70" spans="1:10" x14ac:dyDescent="0.35">
      <c r="A70" s="3">
        <v>3131208</v>
      </c>
      <c r="B70" s="4" t="s">
        <v>78</v>
      </c>
      <c r="C70" s="5">
        <v>243.61</v>
      </c>
      <c r="D70" s="5">
        <v>253.98000000000002</v>
      </c>
      <c r="E70" s="5">
        <v>218.27</v>
      </c>
      <c r="F70" s="5">
        <v>231.88</v>
      </c>
      <c r="G70" s="5">
        <v>208.03</v>
      </c>
      <c r="H70" s="5">
        <v>221.04</v>
      </c>
      <c r="I70" s="5">
        <v>212.01</v>
      </c>
      <c r="J70" s="5">
        <v>225.88</v>
      </c>
    </row>
    <row r="71" spans="1:10" x14ac:dyDescent="0.35">
      <c r="A71" s="3">
        <v>3131802</v>
      </c>
      <c r="B71" s="4" t="s">
        <v>79</v>
      </c>
      <c r="C71" s="5">
        <v>207.64000000000001</v>
      </c>
      <c r="D71" s="5">
        <v>213.21</v>
      </c>
      <c r="E71" s="5">
        <v>216.41</v>
      </c>
      <c r="F71" s="5">
        <v>230.20000000000002</v>
      </c>
      <c r="G71" s="5">
        <v>208.51</v>
      </c>
      <c r="H71" s="5">
        <v>224.09</v>
      </c>
      <c r="I71" s="5">
        <v>211.97</v>
      </c>
      <c r="J71" s="5">
        <v>218.1</v>
      </c>
    </row>
    <row r="72" spans="1:10" x14ac:dyDescent="0.35">
      <c r="A72" s="3">
        <v>3132107</v>
      </c>
      <c r="B72" s="4" t="s">
        <v>80</v>
      </c>
      <c r="C72" s="5">
        <v>202.88</v>
      </c>
      <c r="D72" s="5">
        <v>211.93</v>
      </c>
      <c r="E72" s="5">
        <v>189.46</v>
      </c>
      <c r="F72" s="5">
        <v>205.32</v>
      </c>
      <c r="G72" s="5">
        <v>193.32</v>
      </c>
      <c r="H72" s="5">
        <v>196.85</v>
      </c>
      <c r="I72" s="5">
        <v>221.32</v>
      </c>
      <c r="J72" s="5">
        <v>234.16</v>
      </c>
    </row>
    <row r="73" spans="1:10" x14ac:dyDescent="0.35">
      <c r="A73" s="3">
        <v>3132305</v>
      </c>
      <c r="B73" s="4" t="s">
        <v>81</v>
      </c>
      <c r="C73" s="5">
        <v>189.47</v>
      </c>
      <c r="D73" s="5">
        <v>199.71</v>
      </c>
      <c r="E73" s="5">
        <v>171.07</v>
      </c>
      <c r="F73" s="5">
        <v>185.57</v>
      </c>
      <c r="G73" s="5">
        <v>171.88</v>
      </c>
      <c r="H73" s="5">
        <v>176.62</v>
      </c>
      <c r="I73" s="5">
        <v>188.98</v>
      </c>
      <c r="J73" s="5">
        <v>200.67000000000002</v>
      </c>
    </row>
    <row r="74" spans="1:10" x14ac:dyDescent="0.35">
      <c r="A74" s="3">
        <v>3132503</v>
      </c>
      <c r="B74" s="4" t="s">
        <v>82</v>
      </c>
      <c r="C74" s="5">
        <v>227.32</v>
      </c>
      <c r="D74" s="5">
        <v>246.84</v>
      </c>
      <c r="E74" s="5">
        <v>239.68</v>
      </c>
      <c r="F74" s="5">
        <v>255.98000000000002</v>
      </c>
      <c r="G74" s="5">
        <v>217.98000000000002</v>
      </c>
      <c r="H74" s="5">
        <v>226.44</v>
      </c>
      <c r="I74" s="5">
        <v>225.57</v>
      </c>
      <c r="J74" s="5">
        <v>240.08</v>
      </c>
    </row>
    <row r="75" spans="1:10" x14ac:dyDescent="0.35">
      <c r="A75" s="3">
        <v>3132701</v>
      </c>
      <c r="B75" s="4" t="s">
        <v>83</v>
      </c>
      <c r="C75" s="5">
        <v>198.25</v>
      </c>
      <c r="D75" s="5">
        <v>198.36</v>
      </c>
      <c r="E75" s="5">
        <v>181.35</v>
      </c>
      <c r="F75" s="5">
        <v>191.72</v>
      </c>
      <c r="G75" s="5">
        <v>165.03</v>
      </c>
      <c r="H75" s="5">
        <v>180.08</v>
      </c>
      <c r="I75" s="5">
        <v>182.16</v>
      </c>
      <c r="J75" s="5">
        <v>193.44</v>
      </c>
    </row>
    <row r="76" spans="1:10" x14ac:dyDescent="0.35">
      <c r="A76" s="3">
        <v>3133204</v>
      </c>
      <c r="B76" s="4" t="s">
        <v>84</v>
      </c>
      <c r="C76" s="5">
        <v>213.16</v>
      </c>
      <c r="D76" s="5">
        <v>220.89000000000001</v>
      </c>
      <c r="E76" s="5">
        <v>212.8</v>
      </c>
      <c r="F76" s="5">
        <v>217.88</v>
      </c>
      <c r="G76" s="5">
        <v>215.06</v>
      </c>
      <c r="H76" s="5">
        <v>230.08</v>
      </c>
      <c r="I76" s="5">
        <v>221.72</v>
      </c>
      <c r="J76" s="5">
        <v>233.06</v>
      </c>
    </row>
    <row r="77" spans="1:10" x14ac:dyDescent="0.35">
      <c r="A77" s="3">
        <v>3133303</v>
      </c>
      <c r="B77" s="4" t="s">
        <v>85</v>
      </c>
      <c r="C77" s="5">
        <v>198.55</v>
      </c>
      <c r="D77" s="5">
        <v>209.19</v>
      </c>
      <c r="E77" s="5">
        <v>183.73</v>
      </c>
      <c r="F77" s="5">
        <v>192.09</v>
      </c>
      <c r="G77" s="5">
        <v>174.47</v>
      </c>
      <c r="H77" s="5">
        <v>181.37</v>
      </c>
      <c r="I77" s="5">
        <v>178.20000000000002</v>
      </c>
      <c r="J77" s="5">
        <v>188.24</v>
      </c>
    </row>
    <row r="78" spans="1:10" x14ac:dyDescent="0.35">
      <c r="A78" s="3">
        <v>3134004</v>
      </c>
      <c r="B78" s="4" t="s">
        <v>86</v>
      </c>
      <c r="C78" s="5">
        <v>203.9</v>
      </c>
      <c r="D78" s="5">
        <v>210.24</v>
      </c>
      <c r="E78" s="5">
        <v>206.95000000000002</v>
      </c>
      <c r="F78" s="5">
        <v>228.55</v>
      </c>
      <c r="G78" s="5">
        <v>202.81</v>
      </c>
      <c r="H78" s="5">
        <v>215.52</v>
      </c>
      <c r="I78" s="5">
        <v>187.65</v>
      </c>
      <c r="J78" s="5">
        <v>203.04</v>
      </c>
    </row>
    <row r="79" spans="1:10" x14ac:dyDescent="0.35">
      <c r="A79" s="3">
        <v>3134103</v>
      </c>
      <c r="B79" s="4" t="s">
        <v>87</v>
      </c>
      <c r="C79" s="5">
        <v>206.27</v>
      </c>
      <c r="D79" s="5">
        <v>216.27</v>
      </c>
      <c r="E79" s="5">
        <v>206.53</v>
      </c>
      <c r="F79" s="5">
        <v>213.21</v>
      </c>
      <c r="G79" s="5">
        <v>200.11</v>
      </c>
      <c r="H79" s="5">
        <v>205.35</v>
      </c>
      <c r="I79" s="5">
        <v>213.52</v>
      </c>
      <c r="J79" s="5">
        <v>208.95000000000002</v>
      </c>
    </row>
    <row r="80" spans="1:10" x14ac:dyDescent="0.35">
      <c r="A80" s="3">
        <v>3134707</v>
      </c>
      <c r="B80" s="4" t="s">
        <v>88</v>
      </c>
      <c r="C80" s="5">
        <v>201.87</v>
      </c>
      <c r="D80" s="5">
        <v>205.24</v>
      </c>
      <c r="E80" s="5">
        <v>196.24</v>
      </c>
      <c r="F80" s="5">
        <v>204.84</v>
      </c>
      <c r="G80" s="5">
        <v>182.3</v>
      </c>
      <c r="H80" s="5">
        <v>189.97</v>
      </c>
      <c r="I80" s="5">
        <v>189.44</v>
      </c>
      <c r="J80" s="5">
        <v>192.57</v>
      </c>
    </row>
    <row r="81" spans="1:10" x14ac:dyDescent="0.35">
      <c r="A81" s="3">
        <v>3135050</v>
      </c>
      <c r="B81" s="4" t="s">
        <v>89</v>
      </c>
      <c r="C81" s="5">
        <v>208.01</v>
      </c>
      <c r="D81" s="5">
        <v>213.79</v>
      </c>
      <c r="E81" s="5">
        <v>195.76</v>
      </c>
      <c r="F81" s="5">
        <v>202.44</v>
      </c>
      <c r="G81" s="5">
        <v>188.82</v>
      </c>
      <c r="H81" s="5">
        <v>188.24</v>
      </c>
      <c r="I81" s="5">
        <v>196.96</v>
      </c>
      <c r="J81" s="5">
        <v>199.06</v>
      </c>
    </row>
    <row r="82" spans="1:10" x14ac:dyDescent="0.35">
      <c r="A82" s="3">
        <v>3135100</v>
      </c>
      <c r="B82" s="4" t="s">
        <v>90</v>
      </c>
      <c r="C82" s="5">
        <v>216.61</v>
      </c>
      <c r="D82" s="5">
        <v>225.05</v>
      </c>
      <c r="E82" s="5">
        <v>210.43</v>
      </c>
      <c r="F82" s="5">
        <v>224.15</v>
      </c>
      <c r="G82" s="5">
        <v>184.56</v>
      </c>
      <c r="H82" s="5">
        <v>193.12</v>
      </c>
      <c r="I82" s="5">
        <v>193.93</v>
      </c>
      <c r="J82" s="5">
        <v>204.81</v>
      </c>
    </row>
    <row r="83" spans="1:10" x14ac:dyDescent="0.35">
      <c r="A83" s="3">
        <v>3135209</v>
      </c>
      <c r="B83" s="4" t="s">
        <v>91</v>
      </c>
      <c r="C83" s="5">
        <v>177.68</v>
      </c>
      <c r="D83" s="5">
        <v>186.51</v>
      </c>
      <c r="E83" s="5">
        <v>179.41</v>
      </c>
      <c r="F83" s="5">
        <v>184.5</v>
      </c>
      <c r="G83" s="5">
        <v>178.15</v>
      </c>
      <c r="H83" s="5">
        <v>186.39000000000001</v>
      </c>
      <c r="I83" s="5">
        <v>180.63</v>
      </c>
      <c r="J83" s="5">
        <v>182.3</v>
      </c>
    </row>
    <row r="84" spans="1:10" x14ac:dyDescent="0.35">
      <c r="A84" s="3">
        <v>3135357</v>
      </c>
      <c r="B84" s="4" t="s">
        <v>92</v>
      </c>
      <c r="C84" s="5">
        <v>239.29</v>
      </c>
      <c r="D84" s="5">
        <v>248.41</v>
      </c>
      <c r="E84" s="5">
        <v>202.01</v>
      </c>
      <c r="F84" s="5">
        <v>214.98000000000002</v>
      </c>
      <c r="G84" s="5">
        <v>184.20000000000002</v>
      </c>
      <c r="H84" s="5">
        <v>197.85</v>
      </c>
      <c r="I84" s="5">
        <v>221.79</v>
      </c>
      <c r="J84" s="5">
        <v>236.27</v>
      </c>
    </row>
    <row r="85" spans="1:10" x14ac:dyDescent="0.35">
      <c r="A85" s="3">
        <v>3135605</v>
      </c>
      <c r="B85" s="4" t="s">
        <v>93</v>
      </c>
      <c r="C85" s="5">
        <v>223.24</v>
      </c>
      <c r="D85" s="5">
        <v>230.6</v>
      </c>
      <c r="E85" s="5">
        <v>219.6</v>
      </c>
      <c r="F85" s="5">
        <v>225.20000000000002</v>
      </c>
      <c r="G85" s="5">
        <v>205.87</v>
      </c>
      <c r="H85" s="5">
        <v>198.19</v>
      </c>
      <c r="I85" s="5">
        <v>205.70000000000002</v>
      </c>
      <c r="J85" s="5">
        <v>209.88</v>
      </c>
    </row>
    <row r="86" spans="1:10" x14ac:dyDescent="0.35">
      <c r="A86" s="3">
        <v>3135803</v>
      </c>
      <c r="B86" s="4" t="s">
        <v>94</v>
      </c>
      <c r="C86" s="5">
        <v>192.74</v>
      </c>
      <c r="D86" s="5">
        <v>193.04</v>
      </c>
      <c r="E86" s="5">
        <v>200.23000000000002</v>
      </c>
      <c r="F86" s="5">
        <v>210.6</v>
      </c>
      <c r="G86" s="5">
        <v>173.14000000000001</v>
      </c>
      <c r="H86" s="5">
        <v>181.36</v>
      </c>
      <c r="I86" s="5">
        <v>182.42000000000002</v>
      </c>
      <c r="J86" s="5">
        <v>190.4</v>
      </c>
    </row>
    <row r="87" spans="1:10" x14ac:dyDescent="0.35">
      <c r="A87" s="3">
        <v>3136009</v>
      </c>
      <c r="B87" s="4" t="s">
        <v>95</v>
      </c>
      <c r="C87" s="5">
        <v>209.68</v>
      </c>
      <c r="D87" s="5">
        <v>214.02</v>
      </c>
      <c r="E87" s="5">
        <v>186.04</v>
      </c>
      <c r="F87" s="5">
        <v>202.66</v>
      </c>
      <c r="G87" s="5">
        <v>173.95000000000002</v>
      </c>
      <c r="H87" s="5">
        <v>187.05</v>
      </c>
      <c r="I87" s="5">
        <v>194.52</v>
      </c>
      <c r="J87" s="5">
        <v>203.55</v>
      </c>
    </row>
    <row r="88" spans="1:10" x14ac:dyDescent="0.35">
      <c r="A88" s="3">
        <v>3136405</v>
      </c>
      <c r="B88" s="4" t="s">
        <v>96</v>
      </c>
      <c r="C88" s="5">
        <v>237.59</v>
      </c>
      <c r="D88" s="5">
        <v>264.04000000000002</v>
      </c>
      <c r="E88" s="5">
        <v>214.47</v>
      </c>
      <c r="F88" s="5">
        <v>236.6</v>
      </c>
      <c r="G88" s="5">
        <v>184.04</v>
      </c>
      <c r="H88" s="5">
        <v>192.21</v>
      </c>
      <c r="I88" s="5">
        <v>219.09</v>
      </c>
      <c r="J88" s="5">
        <v>227.92000000000002</v>
      </c>
    </row>
    <row r="89" spans="1:10" x14ac:dyDescent="0.35">
      <c r="A89" s="3">
        <v>3136553</v>
      </c>
      <c r="B89" s="4" t="s">
        <v>97</v>
      </c>
      <c r="C89" s="5">
        <v>211.09</v>
      </c>
      <c r="D89" s="5">
        <v>214.4</v>
      </c>
      <c r="E89" s="5">
        <v>224.75</v>
      </c>
      <c r="F89" s="5">
        <v>242.56</v>
      </c>
      <c r="G89" s="5">
        <v>201.85</v>
      </c>
      <c r="H89" s="5">
        <v>207.77</v>
      </c>
      <c r="I89" s="5">
        <v>215.42000000000002</v>
      </c>
      <c r="J89" s="5">
        <v>241.01</v>
      </c>
    </row>
    <row r="90" spans="1:10" x14ac:dyDescent="0.35">
      <c r="A90" s="3">
        <v>3136801</v>
      </c>
      <c r="B90" s="4" t="s">
        <v>98</v>
      </c>
      <c r="C90" s="5">
        <v>220.32</v>
      </c>
      <c r="D90" s="5">
        <v>218.17000000000002</v>
      </c>
      <c r="E90" s="5">
        <v>206.07</v>
      </c>
      <c r="F90" s="5">
        <v>208.9</v>
      </c>
      <c r="G90" s="5">
        <v>222.16</v>
      </c>
      <c r="H90" s="5">
        <v>221.3</v>
      </c>
      <c r="I90" s="5">
        <v>182.58</v>
      </c>
      <c r="J90" s="5">
        <v>197.71</v>
      </c>
    </row>
    <row r="91" spans="1:10" x14ac:dyDescent="0.35">
      <c r="A91" s="3">
        <v>3136959</v>
      </c>
      <c r="B91" s="4" t="s">
        <v>99</v>
      </c>
      <c r="C91" s="5">
        <v>179.07</v>
      </c>
      <c r="D91" s="5">
        <v>189.57</v>
      </c>
      <c r="E91" s="5">
        <v>172.65</v>
      </c>
      <c r="F91" s="5">
        <v>178.43</v>
      </c>
      <c r="G91" s="5">
        <v>165.57</v>
      </c>
      <c r="H91" s="5">
        <v>172.02</v>
      </c>
      <c r="I91" s="5">
        <v>178.06</v>
      </c>
      <c r="J91" s="5">
        <v>188.86</v>
      </c>
    </row>
    <row r="92" spans="1:10" x14ac:dyDescent="0.35">
      <c r="A92" s="3">
        <v>3137007</v>
      </c>
      <c r="B92" s="4" t="s">
        <v>100</v>
      </c>
      <c r="C92" s="5">
        <v>199.32</v>
      </c>
      <c r="D92" s="5">
        <v>207.14000000000001</v>
      </c>
      <c r="E92" s="5">
        <v>160.92000000000002</v>
      </c>
      <c r="F92" s="5">
        <v>176.54</v>
      </c>
      <c r="G92" s="5">
        <v>163.09</v>
      </c>
      <c r="H92" s="5">
        <v>173.08</v>
      </c>
      <c r="I92" s="5">
        <v>193.56</v>
      </c>
      <c r="J92" s="5">
        <v>204.33</v>
      </c>
    </row>
    <row r="93" spans="1:10" x14ac:dyDescent="0.35">
      <c r="A93" s="3">
        <v>3137304</v>
      </c>
      <c r="B93" s="4" t="s">
        <v>101</v>
      </c>
      <c r="C93" s="5">
        <v>202.95000000000002</v>
      </c>
      <c r="D93" s="5">
        <v>225.20000000000002</v>
      </c>
      <c r="E93" s="5">
        <v>213.78</v>
      </c>
      <c r="F93" s="5">
        <v>224.66</v>
      </c>
      <c r="G93" s="5">
        <v>184.75</v>
      </c>
      <c r="H93" s="5">
        <v>191.95000000000002</v>
      </c>
      <c r="I93" s="5">
        <v>202.5</v>
      </c>
      <c r="J93" s="5">
        <v>210.47</v>
      </c>
    </row>
    <row r="94" spans="1:10" x14ac:dyDescent="0.35">
      <c r="A94" s="3">
        <v>3138104</v>
      </c>
      <c r="B94" s="4" t="s">
        <v>102</v>
      </c>
      <c r="C94" s="5">
        <v>204.94</v>
      </c>
      <c r="D94" s="5">
        <v>213.74</v>
      </c>
      <c r="E94" s="5">
        <v>196.14000000000001</v>
      </c>
      <c r="F94" s="5">
        <v>209.17000000000002</v>
      </c>
      <c r="G94" s="5">
        <v>182.29</v>
      </c>
      <c r="H94" s="5">
        <v>181.8</v>
      </c>
      <c r="I94" s="5">
        <v>178.57</v>
      </c>
      <c r="J94" s="5">
        <v>206.48000000000002</v>
      </c>
    </row>
    <row r="95" spans="1:10" x14ac:dyDescent="0.35">
      <c r="A95" s="3">
        <v>3138351</v>
      </c>
      <c r="B95" s="4" t="s">
        <v>103</v>
      </c>
      <c r="C95" s="5">
        <v>228.78</v>
      </c>
      <c r="D95" s="5">
        <v>224</v>
      </c>
      <c r="E95" s="5">
        <v>226.68</v>
      </c>
      <c r="F95" s="5">
        <v>240.9</v>
      </c>
      <c r="G95" s="5">
        <v>228.46</v>
      </c>
      <c r="H95" s="5">
        <v>233.64000000000001</v>
      </c>
      <c r="I95" s="5">
        <v>220.65</v>
      </c>
      <c r="J95" s="5">
        <v>229.95000000000002</v>
      </c>
    </row>
    <row r="96" spans="1:10" x14ac:dyDescent="0.35">
      <c r="A96" s="3">
        <v>3138658</v>
      </c>
      <c r="B96" s="4" t="s">
        <v>104</v>
      </c>
      <c r="C96" s="5">
        <v>199.87</v>
      </c>
      <c r="D96" s="5">
        <v>209.01</v>
      </c>
      <c r="E96" s="5">
        <v>222.64000000000001</v>
      </c>
      <c r="F96" s="5">
        <v>229.41</v>
      </c>
      <c r="G96" s="5">
        <v>214.03</v>
      </c>
      <c r="H96" s="5">
        <v>216.11</v>
      </c>
      <c r="I96" s="5">
        <v>217.41</v>
      </c>
      <c r="J96" s="5">
        <v>228.84</v>
      </c>
    </row>
    <row r="97" spans="1:10" x14ac:dyDescent="0.35">
      <c r="A97" s="3">
        <v>3138906</v>
      </c>
      <c r="B97" s="4" t="s">
        <v>105</v>
      </c>
      <c r="C97" s="5">
        <v>206.51</v>
      </c>
      <c r="D97" s="5">
        <v>214.89000000000001</v>
      </c>
      <c r="E97" s="5">
        <v>220.23000000000002</v>
      </c>
      <c r="F97" s="5">
        <v>232.18</v>
      </c>
      <c r="G97" s="5">
        <v>186.02</v>
      </c>
      <c r="H97" s="5">
        <v>195.12</v>
      </c>
      <c r="I97" s="5">
        <v>203.25</v>
      </c>
      <c r="J97" s="5">
        <v>210.88</v>
      </c>
    </row>
    <row r="98" spans="1:10" x14ac:dyDescent="0.35">
      <c r="A98" s="3">
        <v>3139201</v>
      </c>
      <c r="B98" s="4" t="s">
        <v>106</v>
      </c>
      <c r="C98" s="5">
        <v>191.59</v>
      </c>
      <c r="D98" s="5">
        <v>190.72</v>
      </c>
      <c r="E98" s="5">
        <v>188.42000000000002</v>
      </c>
      <c r="F98" s="5">
        <v>198.62</v>
      </c>
      <c r="G98" s="5">
        <v>180.9</v>
      </c>
      <c r="H98" s="5">
        <v>193.06</v>
      </c>
      <c r="I98" s="5">
        <v>192.70000000000002</v>
      </c>
      <c r="J98" s="5">
        <v>204.48000000000002</v>
      </c>
    </row>
    <row r="99" spans="1:10" x14ac:dyDescent="0.35">
      <c r="A99" s="3">
        <v>3139250</v>
      </c>
      <c r="B99" s="4" t="s">
        <v>107</v>
      </c>
      <c r="C99" s="5">
        <v>206.76</v>
      </c>
      <c r="D99" s="5">
        <v>221.58</v>
      </c>
      <c r="E99" s="5">
        <v>210.6</v>
      </c>
      <c r="F99" s="5">
        <v>223.51</v>
      </c>
      <c r="G99" s="5">
        <v>187.23</v>
      </c>
      <c r="H99" s="5">
        <v>202.9</v>
      </c>
      <c r="I99" s="5">
        <v>198.12</v>
      </c>
      <c r="J99" s="5">
        <v>215.42000000000002</v>
      </c>
    </row>
    <row r="100" spans="1:10" x14ac:dyDescent="0.35">
      <c r="A100" s="3">
        <v>3139300</v>
      </c>
      <c r="B100" s="4" t="s">
        <v>108</v>
      </c>
      <c r="C100" s="5">
        <v>189.89000000000001</v>
      </c>
      <c r="D100" s="5">
        <v>194.25</v>
      </c>
      <c r="E100" s="5">
        <v>193.75</v>
      </c>
      <c r="F100" s="5">
        <v>207.21</v>
      </c>
      <c r="G100" s="5">
        <v>181.12</v>
      </c>
      <c r="H100" s="5">
        <v>186.88</v>
      </c>
      <c r="I100" s="5">
        <v>175.77</v>
      </c>
      <c r="J100" s="5">
        <v>182.28</v>
      </c>
    </row>
    <row r="101" spans="1:10" x14ac:dyDescent="0.35">
      <c r="A101" s="3">
        <v>3139607</v>
      </c>
      <c r="B101" s="4" t="s">
        <v>109</v>
      </c>
      <c r="C101" s="5">
        <v>222.8</v>
      </c>
      <c r="D101" s="5">
        <v>232.96</v>
      </c>
      <c r="E101" s="5">
        <v>214.03</v>
      </c>
      <c r="F101" s="5">
        <v>226.47</v>
      </c>
      <c r="G101" s="5">
        <v>212.29</v>
      </c>
      <c r="H101" s="5">
        <v>220.54</v>
      </c>
      <c r="I101" s="5">
        <v>217.23000000000002</v>
      </c>
      <c r="J101" s="5">
        <v>223.63</v>
      </c>
    </row>
    <row r="102" spans="1:10" x14ac:dyDescent="0.35">
      <c r="A102" s="3">
        <v>3140100</v>
      </c>
      <c r="B102" s="4" t="s">
        <v>110</v>
      </c>
      <c r="C102" s="5">
        <v>216.53</v>
      </c>
      <c r="D102" s="5">
        <v>218.37</v>
      </c>
      <c r="E102" s="5">
        <v>204.16</v>
      </c>
      <c r="F102" s="5">
        <v>215.82</v>
      </c>
      <c r="G102" s="5">
        <v>218.73000000000002</v>
      </c>
      <c r="H102" s="5">
        <v>219.67000000000002</v>
      </c>
      <c r="I102" s="5">
        <v>207.31</v>
      </c>
      <c r="J102" s="5">
        <v>222.3</v>
      </c>
    </row>
    <row r="103" spans="1:10" x14ac:dyDescent="0.35">
      <c r="A103" s="3">
        <v>3140605</v>
      </c>
      <c r="B103" s="4" t="s">
        <v>111</v>
      </c>
      <c r="C103" s="5">
        <v>205.11</v>
      </c>
      <c r="D103" s="5">
        <v>216.88</v>
      </c>
      <c r="E103" s="5">
        <v>195.21</v>
      </c>
      <c r="F103" s="5">
        <v>207.25</v>
      </c>
      <c r="G103" s="5">
        <v>178.76</v>
      </c>
      <c r="H103" s="5">
        <v>193.81</v>
      </c>
      <c r="I103" s="5">
        <v>210.21</v>
      </c>
      <c r="J103" s="5">
        <v>218.22</v>
      </c>
    </row>
    <row r="104" spans="1:10" x14ac:dyDescent="0.35">
      <c r="A104" s="3">
        <v>3171501</v>
      </c>
      <c r="B104" s="4" t="s">
        <v>112</v>
      </c>
      <c r="C104" s="5">
        <v>193.11</v>
      </c>
      <c r="D104" s="5">
        <v>209.24</v>
      </c>
      <c r="E104" s="5">
        <v>212.4</v>
      </c>
      <c r="F104" s="5">
        <v>230.3</v>
      </c>
      <c r="G104" s="5">
        <v>210.12</v>
      </c>
      <c r="H104" s="5">
        <v>208.28</v>
      </c>
      <c r="I104" s="5">
        <v>193.24</v>
      </c>
      <c r="J104" s="5">
        <v>210.47</v>
      </c>
    </row>
    <row r="105" spans="1:10" x14ac:dyDescent="0.35">
      <c r="A105" s="3">
        <v>3140852</v>
      </c>
      <c r="B105" s="4" t="s">
        <v>113</v>
      </c>
      <c r="C105" s="5">
        <v>191.51</v>
      </c>
      <c r="D105" s="5">
        <v>193.33</v>
      </c>
      <c r="E105" s="5">
        <v>191.88</v>
      </c>
      <c r="F105" s="5">
        <v>192.93</v>
      </c>
      <c r="G105" s="5">
        <v>168.73</v>
      </c>
      <c r="H105" s="5">
        <v>178.09</v>
      </c>
      <c r="I105" s="5">
        <v>173.82</v>
      </c>
      <c r="J105" s="5">
        <v>188.11</v>
      </c>
    </row>
    <row r="106" spans="1:10" x14ac:dyDescent="0.35">
      <c r="A106" s="3">
        <v>3141009</v>
      </c>
      <c r="B106" s="4" t="s">
        <v>114</v>
      </c>
      <c r="C106" s="5">
        <v>216.65</v>
      </c>
      <c r="D106" s="5">
        <v>220.79</v>
      </c>
      <c r="E106" s="5">
        <v>190.71</v>
      </c>
      <c r="F106" s="5">
        <v>202.70000000000002</v>
      </c>
      <c r="G106" s="5">
        <v>208.53</v>
      </c>
      <c r="H106" s="5">
        <v>213.29</v>
      </c>
      <c r="I106" s="5">
        <v>199.15</v>
      </c>
      <c r="J106" s="5">
        <v>217.54</v>
      </c>
    </row>
    <row r="107" spans="1:10" x14ac:dyDescent="0.35">
      <c r="A107" s="3">
        <v>3141405</v>
      </c>
      <c r="B107" s="4" t="s">
        <v>115</v>
      </c>
      <c r="C107" s="5">
        <v>208.83</v>
      </c>
      <c r="D107" s="5">
        <v>217.04</v>
      </c>
      <c r="E107" s="5">
        <v>192.18</v>
      </c>
      <c r="F107" s="5">
        <v>210.12</v>
      </c>
      <c r="G107" s="5">
        <v>184.38</v>
      </c>
      <c r="H107" s="5">
        <v>197.44</v>
      </c>
      <c r="I107" s="5">
        <v>201</v>
      </c>
      <c r="J107" s="5">
        <v>212.71</v>
      </c>
    </row>
    <row r="108" spans="1:10" x14ac:dyDescent="0.35">
      <c r="A108" s="3">
        <v>3141504</v>
      </c>
      <c r="B108" s="4" t="s">
        <v>116</v>
      </c>
      <c r="C108" s="5">
        <v>211.55</v>
      </c>
      <c r="D108" s="5">
        <v>218.09</v>
      </c>
      <c r="E108" s="5">
        <v>215.75</v>
      </c>
      <c r="F108" s="5">
        <v>227.72</v>
      </c>
      <c r="G108" s="5">
        <v>213.56</v>
      </c>
      <c r="H108" s="5">
        <v>207.63</v>
      </c>
      <c r="I108" s="5">
        <v>214.29</v>
      </c>
      <c r="J108" s="5">
        <v>233.36</v>
      </c>
    </row>
    <row r="109" spans="1:10" x14ac:dyDescent="0.35">
      <c r="A109" s="3">
        <v>3141801</v>
      </c>
      <c r="B109" s="4" t="s">
        <v>117</v>
      </c>
      <c r="C109" s="5">
        <v>217.68</v>
      </c>
      <c r="D109" s="5">
        <v>225.83</v>
      </c>
      <c r="E109" s="5">
        <v>218.97</v>
      </c>
      <c r="F109" s="5">
        <v>235.95000000000002</v>
      </c>
      <c r="G109" s="5">
        <v>216.97</v>
      </c>
      <c r="H109" s="5">
        <v>215.51</v>
      </c>
      <c r="I109" s="5">
        <v>224.37</v>
      </c>
      <c r="J109" s="5">
        <v>236.17000000000002</v>
      </c>
    </row>
    <row r="110" spans="1:10" x14ac:dyDescent="0.35">
      <c r="A110" s="3">
        <v>3142007</v>
      </c>
      <c r="B110" s="4" t="s">
        <v>118</v>
      </c>
      <c r="C110" s="5">
        <v>202.74</v>
      </c>
      <c r="D110" s="5">
        <v>203.64000000000001</v>
      </c>
      <c r="E110" s="5">
        <v>205.20000000000002</v>
      </c>
      <c r="F110" s="5">
        <v>215.88</v>
      </c>
      <c r="G110" s="5">
        <v>183.63</v>
      </c>
      <c r="H110" s="5">
        <v>189.18</v>
      </c>
      <c r="I110" s="5">
        <v>201.03</v>
      </c>
      <c r="J110" s="5">
        <v>207.9</v>
      </c>
    </row>
    <row r="111" spans="1:10" x14ac:dyDescent="0.35">
      <c r="A111" s="3">
        <v>3142254</v>
      </c>
      <c r="B111" s="4" t="s">
        <v>119</v>
      </c>
      <c r="C111" s="5">
        <v>197.9</v>
      </c>
      <c r="D111" s="5">
        <v>226.83</v>
      </c>
      <c r="E111" s="5">
        <v>174.5</v>
      </c>
      <c r="F111" s="5">
        <v>185.59</v>
      </c>
      <c r="G111" s="5">
        <v>155</v>
      </c>
      <c r="H111" s="5">
        <v>163.82</v>
      </c>
      <c r="I111" s="5">
        <v>181.07</v>
      </c>
      <c r="J111" s="5">
        <v>191</v>
      </c>
    </row>
    <row r="112" spans="1:10" x14ac:dyDescent="0.35">
      <c r="A112" s="3">
        <v>3142502</v>
      </c>
      <c r="B112" s="4" t="s">
        <v>120</v>
      </c>
      <c r="C112" s="5">
        <v>215.20000000000002</v>
      </c>
      <c r="D112" s="5">
        <v>232.69</v>
      </c>
      <c r="E112" s="5">
        <v>222.87</v>
      </c>
      <c r="F112" s="5">
        <v>229.58</v>
      </c>
      <c r="G112" s="5">
        <v>217.26</v>
      </c>
      <c r="H112" s="5">
        <v>241.57</v>
      </c>
      <c r="I112" s="5">
        <v>229.21</v>
      </c>
      <c r="J112" s="5">
        <v>249.09</v>
      </c>
    </row>
    <row r="113" spans="1:10" x14ac:dyDescent="0.35">
      <c r="A113" s="3">
        <v>3142700</v>
      </c>
      <c r="B113" s="4" t="s">
        <v>121</v>
      </c>
      <c r="C113" s="5">
        <v>200.98000000000002</v>
      </c>
      <c r="D113" s="5">
        <v>208.66</v>
      </c>
      <c r="E113" s="5">
        <v>211.45000000000002</v>
      </c>
      <c r="F113" s="5">
        <v>220.83</v>
      </c>
      <c r="G113" s="5">
        <v>176.56</v>
      </c>
      <c r="H113" s="5">
        <v>191.38</v>
      </c>
      <c r="I113" s="5">
        <v>195.32</v>
      </c>
      <c r="J113" s="5">
        <v>204.58</v>
      </c>
    </row>
    <row r="114" spans="1:10" x14ac:dyDescent="0.35">
      <c r="A114" s="3">
        <v>3143153</v>
      </c>
      <c r="B114" s="4" t="s">
        <v>122</v>
      </c>
      <c r="C114" s="5">
        <v>209.54</v>
      </c>
      <c r="D114" s="5">
        <v>215.74</v>
      </c>
      <c r="E114" s="5">
        <v>190.71</v>
      </c>
      <c r="F114" s="5">
        <v>206.77</v>
      </c>
      <c r="G114" s="5">
        <v>203.36</v>
      </c>
      <c r="H114" s="5">
        <v>214.56</v>
      </c>
      <c r="I114" s="5">
        <v>212.71</v>
      </c>
      <c r="J114" s="5">
        <v>226.85</v>
      </c>
    </row>
    <row r="115" spans="1:10" x14ac:dyDescent="0.35">
      <c r="A115" s="3">
        <v>3143302</v>
      </c>
      <c r="B115" s="4" t="s">
        <v>123</v>
      </c>
      <c r="C115" s="5">
        <v>218.21</v>
      </c>
      <c r="D115" s="5">
        <v>231.18</v>
      </c>
      <c r="E115" s="5">
        <v>216.92000000000002</v>
      </c>
      <c r="F115" s="5">
        <v>235.33</v>
      </c>
      <c r="G115" s="5">
        <v>215.73000000000002</v>
      </c>
      <c r="H115" s="5">
        <v>226.42000000000002</v>
      </c>
      <c r="I115" s="5">
        <v>222.99</v>
      </c>
      <c r="J115" s="5">
        <v>236.94</v>
      </c>
    </row>
    <row r="116" spans="1:10" x14ac:dyDescent="0.35">
      <c r="A116" s="3">
        <v>3143450</v>
      </c>
      <c r="B116" s="4" t="s">
        <v>124</v>
      </c>
      <c r="C116" s="5">
        <v>202.18</v>
      </c>
      <c r="D116" s="5">
        <v>207.98000000000002</v>
      </c>
      <c r="E116" s="5">
        <v>210.53</v>
      </c>
      <c r="F116" s="5">
        <v>211.8</v>
      </c>
      <c r="G116" s="5">
        <v>222.13</v>
      </c>
      <c r="H116" s="5">
        <v>215.01</v>
      </c>
      <c r="I116" s="5">
        <v>217.09</v>
      </c>
      <c r="J116" s="5">
        <v>232.08</v>
      </c>
    </row>
    <row r="117" spans="1:10" x14ac:dyDescent="0.35">
      <c r="A117" s="3">
        <v>3143609</v>
      </c>
      <c r="B117" s="4" t="s">
        <v>125</v>
      </c>
      <c r="C117" s="5">
        <v>220.24</v>
      </c>
      <c r="D117" s="5">
        <v>232.39000000000001</v>
      </c>
      <c r="E117" s="5">
        <v>215.74</v>
      </c>
      <c r="F117" s="5">
        <v>231.52</v>
      </c>
      <c r="G117" s="5">
        <v>185.15</v>
      </c>
      <c r="H117" s="5">
        <v>189.89000000000001</v>
      </c>
      <c r="I117" s="5">
        <v>200.67000000000002</v>
      </c>
      <c r="J117" s="5">
        <v>214.32</v>
      </c>
    </row>
    <row r="118" spans="1:10" x14ac:dyDescent="0.35">
      <c r="A118" s="3">
        <v>3144003</v>
      </c>
      <c r="B118" s="4" t="s">
        <v>126</v>
      </c>
      <c r="C118" s="5">
        <v>229.28</v>
      </c>
      <c r="D118" s="5">
        <v>230.61</v>
      </c>
      <c r="E118" s="5">
        <v>231.11</v>
      </c>
      <c r="F118" s="5">
        <v>236.59</v>
      </c>
      <c r="G118" s="5">
        <v>202.79</v>
      </c>
      <c r="H118" s="5">
        <v>211.64000000000001</v>
      </c>
      <c r="I118" s="5">
        <v>227.43</v>
      </c>
      <c r="J118" s="5">
        <v>244.97</v>
      </c>
    </row>
    <row r="119" spans="1:10" x14ac:dyDescent="0.35">
      <c r="A119" s="3">
        <v>3144201</v>
      </c>
      <c r="B119" s="4" t="s">
        <v>127</v>
      </c>
      <c r="C119" s="5">
        <v>205.27</v>
      </c>
      <c r="D119" s="5">
        <v>221.49</v>
      </c>
      <c r="E119" s="5">
        <v>165.65</v>
      </c>
      <c r="F119" s="5">
        <v>188.88</v>
      </c>
      <c r="G119" s="5">
        <v>207.28</v>
      </c>
      <c r="H119" s="5">
        <v>214.67000000000002</v>
      </c>
      <c r="I119" s="5">
        <v>210.03</v>
      </c>
      <c r="J119" s="5">
        <v>231.83</v>
      </c>
    </row>
    <row r="120" spans="1:10" x14ac:dyDescent="0.35">
      <c r="A120" s="3">
        <v>3144300</v>
      </c>
      <c r="B120" s="4" t="s">
        <v>128</v>
      </c>
      <c r="C120" s="5">
        <v>192.85</v>
      </c>
      <c r="D120" s="5">
        <v>196.28</v>
      </c>
      <c r="E120" s="5">
        <v>183.12</v>
      </c>
      <c r="F120" s="5">
        <v>191.56</v>
      </c>
      <c r="G120" s="5">
        <v>179.58</v>
      </c>
      <c r="H120" s="5">
        <v>178.98</v>
      </c>
      <c r="I120" s="5">
        <v>176.83</v>
      </c>
      <c r="J120" s="5">
        <v>183.86</v>
      </c>
    </row>
    <row r="121" spans="1:10" x14ac:dyDescent="0.35">
      <c r="A121" s="3">
        <v>3144359</v>
      </c>
      <c r="B121" s="4" t="s">
        <v>129</v>
      </c>
      <c r="C121" s="5">
        <v>202.82</v>
      </c>
      <c r="D121" s="5">
        <v>208.85</v>
      </c>
      <c r="E121" s="5">
        <v>207.33</v>
      </c>
      <c r="F121" s="5">
        <v>220.09</v>
      </c>
      <c r="G121" s="5">
        <v>203.69</v>
      </c>
      <c r="H121" s="5">
        <v>198.88</v>
      </c>
      <c r="I121" s="5">
        <v>199.53</v>
      </c>
      <c r="J121" s="5">
        <v>207.62</v>
      </c>
    </row>
    <row r="122" spans="1:10" x14ac:dyDescent="0.35">
      <c r="A122" s="3">
        <v>3144375</v>
      </c>
      <c r="B122" s="4" t="s">
        <v>130</v>
      </c>
      <c r="C122" s="5">
        <v>213.3</v>
      </c>
      <c r="D122" s="5">
        <v>224.62</v>
      </c>
      <c r="E122" s="5">
        <v>205.06</v>
      </c>
      <c r="F122" s="5">
        <v>217.42000000000002</v>
      </c>
      <c r="G122" s="5">
        <v>199.89000000000001</v>
      </c>
      <c r="H122" s="5">
        <v>210.53</v>
      </c>
      <c r="I122" s="5">
        <v>204.77</v>
      </c>
      <c r="J122" s="5">
        <v>218.05</v>
      </c>
    </row>
    <row r="123" spans="1:10" x14ac:dyDescent="0.35">
      <c r="A123" s="3">
        <v>3144656</v>
      </c>
      <c r="B123" s="4" t="s">
        <v>131</v>
      </c>
      <c r="C123" s="5">
        <v>194.93</v>
      </c>
      <c r="D123" s="5">
        <v>203.35</v>
      </c>
      <c r="E123" s="5">
        <v>199.26</v>
      </c>
      <c r="F123" s="5">
        <v>208.37</v>
      </c>
      <c r="G123" s="5">
        <v>211.15</v>
      </c>
      <c r="H123" s="5">
        <v>214.23000000000002</v>
      </c>
      <c r="I123" s="5">
        <v>199.44</v>
      </c>
      <c r="J123" s="5">
        <v>207.56</v>
      </c>
    </row>
    <row r="124" spans="1:10" x14ac:dyDescent="0.35">
      <c r="A124" s="3">
        <v>3144672</v>
      </c>
      <c r="B124" s="4" t="s">
        <v>132</v>
      </c>
      <c r="C124" s="5">
        <v>194.28</v>
      </c>
      <c r="D124" s="5">
        <v>220.96</v>
      </c>
      <c r="E124" s="5">
        <v>201.81</v>
      </c>
      <c r="F124" s="5">
        <v>222.55</v>
      </c>
      <c r="G124" s="5">
        <v>182.95000000000002</v>
      </c>
      <c r="H124" s="5">
        <v>195.21</v>
      </c>
      <c r="I124" s="5">
        <v>199.35</v>
      </c>
      <c r="J124" s="5">
        <v>206.91</v>
      </c>
    </row>
    <row r="125" spans="1:10" x14ac:dyDescent="0.35">
      <c r="A125" s="3">
        <v>3145059</v>
      </c>
      <c r="B125" s="4" t="s">
        <v>133</v>
      </c>
      <c r="C125" s="5">
        <v>205.93</v>
      </c>
      <c r="D125" s="5">
        <v>207.83</v>
      </c>
      <c r="E125" s="5">
        <v>203.82</v>
      </c>
      <c r="F125" s="5">
        <v>219.31</v>
      </c>
      <c r="G125" s="5">
        <v>190.84</v>
      </c>
      <c r="H125" s="5">
        <v>195.78</v>
      </c>
      <c r="I125" s="5">
        <v>188.98</v>
      </c>
      <c r="J125" s="5">
        <v>189.17000000000002</v>
      </c>
    </row>
    <row r="126" spans="1:10" x14ac:dyDescent="0.35">
      <c r="A126" s="3">
        <v>3145356</v>
      </c>
      <c r="B126" s="4" t="s">
        <v>134</v>
      </c>
      <c r="C126" s="5">
        <v>197.14000000000001</v>
      </c>
      <c r="D126" s="5">
        <v>202.12</v>
      </c>
      <c r="E126" s="5">
        <v>203.8</v>
      </c>
      <c r="F126" s="5">
        <v>205.6</v>
      </c>
      <c r="G126" s="5">
        <v>182.15</v>
      </c>
      <c r="H126" s="5">
        <v>186.37</v>
      </c>
      <c r="I126" s="5">
        <v>184.17000000000002</v>
      </c>
      <c r="J126" s="5">
        <v>186.49</v>
      </c>
    </row>
    <row r="127" spans="1:10" x14ac:dyDescent="0.35">
      <c r="A127" s="3">
        <v>3145372</v>
      </c>
      <c r="B127" s="4" t="s">
        <v>135</v>
      </c>
      <c r="C127" s="5">
        <v>222.33</v>
      </c>
      <c r="D127" s="5">
        <v>231.97</v>
      </c>
      <c r="E127" s="5">
        <v>208.16</v>
      </c>
      <c r="F127" s="5">
        <v>221.09</v>
      </c>
      <c r="G127" s="5">
        <v>208.96</v>
      </c>
      <c r="H127" s="5">
        <v>227.63</v>
      </c>
      <c r="I127" s="5">
        <v>221.66</v>
      </c>
      <c r="J127" s="5">
        <v>235.28</v>
      </c>
    </row>
    <row r="128" spans="1:10" x14ac:dyDescent="0.35">
      <c r="A128" s="3">
        <v>3145455</v>
      </c>
      <c r="B128" s="4" t="s">
        <v>136</v>
      </c>
      <c r="C128" s="5">
        <v>210.68</v>
      </c>
      <c r="D128" s="5">
        <v>221.24</v>
      </c>
      <c r="E128" s="5">
        <v>193.87</v>
      </c>
      <c r="F128" s="5">
        <v>208.54</v>
      </c>
      <c r="G128" s="5">
        <v>193.74</v>
      </c>
      <c r="H128" s="5">
        <v>204.51</v>
      </c>
      <c r="I128" s="5">
        <v>184.27</v>
      </c>
      <c r="J128" s="5">
        <v>194.67000000000002</v>
      </c>
    </row>
    <row r="129" spans="1:10" x14ac:dyDescent="0.35">
      <c r="A129" s="3">
        <v>3146305</v>
      </c>
      <c r="B129" s="4" t="s">
        <v>137</v>
      </c>
      <c r="C129" s="5">
        <v>193.77</v>
      </c>
      <c r="D129" s="5">
        <v>207.12</v>
      </c>
      <c r="E129" s="5">
        <v>204.62</v>
      </c>
      <c r="F129" s="5">
        <v>212.6</v>
      </c>
      <c r="G129" s="5">
        <v>194.31</v>
      </c>
      <c r="H129" s="5">
        <v>206.44</v>
      </c>
      <c r="I129" s="5">
        <v>191.61</v>
      </c>
      <c r="J129" s="5">
        <v>199.56</v>
      </c>
    </row>
    <row r="130" spans="1:10" x14ac:dyDescent="0.35">
      <c r="A130" s="3">
        <v>3146552</v>
      </c>
      <c r="B130" s="4" t="s">
        <v>138</v>
      </c>
      <c r="C130" s="5">
        <v>205.25</v>
      </c>
      <c r="D130" s="5">
        <v>213.98000000000002</v>
      </c>
      <c r="E130" s="5">
        <v>214.70000000000002</v>
      </c>
      <c r="F130" s="5">
        <v>222.23000000000002</v>
      </c>
      <c r="G130" s="5">
        <v>198.77</v>
      </c>
      <c r="H130" s="5">
        <v>207.33</v>
      </c>
      <c r="I130" s="5">
        <v>217.5</v>
      </c>
      <c r="J130" s="5">
        <v>226.4</v>
      </c>
    </row>
    <row r="131" spans="1:10" x14ac:dyDescent="0.35">
      <c r="A131" s="3">
        <v>3146750</v>
      </c>
      <c r="B131" s="4" t="s">
        <v>139</v>
      </c>
      <c r="C131" s="5">
        <v>194.42000000000002</v>
      </c>
      <c r="D131" s="5">
        <v>200.45000000000002</v>
      </c>
      <c r="E131" s="5">
        <v>209.93</v>
      </c>
      <c r="F131" s="5">
        <v>211.56</v>
      </c>
      <c r="G131" s="5">
        <v>189.27</v>
      </c>
      <c r="H131" s="5">
        <v>201.25</v>
      </c>
      <c r="I131" s="5">
        <v>200.6</v>
      </c>
      <c r="J131" s="5">
        <v>212.35</v>
      </c>
    </row>
    <row r="132" spans="1:10" x14ac:dyDescent="0.35">
      <c r="A132" s="3">
        <v>3147956</v>
      </c>
      <c r="B132" s="4" t="s">
        <v>140</v>
      </c>
      <c r="C132" s="5">
        <v>202.17000000000002</v>
      </c>
      <c r="D132" s="5">
        <v>215.8</v>
      </c>
      <c r="E132" s="5">
        <v>207.33</v>
      </c>
      <c r="F132" s="5">
        <v>215.69</v>
      </c>
      <c r="G132" s="5">
        <v>196.07</v>
      </c>
      <c r="H132" s="5">
        <v>206.97</v>
      </c>
      <c r="I132" s="5">
        <v>210.84</v>
      </c>
      <c r="J132" s="5">
        <v>218.09</v>
      </c>
    </row>
    <row r="133" spans="1:10" x14ac:dyDescent="0.35">
      <c r="A133" s="3">
        <v>3148608</v>
      </c>
      <c r="B133" s="4" t="s">
        <v>141</v>
      </c>
      <c r="C133" s="5">
        <v>204.9</v>
      </c>
      <c r="D133" s="5">
        <v>212.99</v>
      </c>
      <c r="E133" s="5">
        <v>190.44</v>
      </c>
      <c r="F133" s="5">
        <v>204.51</v>
      </c>
      <c r="G133" s="5">
        <v>175.98</v>
      </c>
      <c r="H133" s="5">
        <v>187.66</v>
      </c>
      <c r="I133" s="5">
        <v>171.76</v>
      </c>
      <c r="J133" s="5">
        <v>176.34</v>
      </c>
    </row>
    <row r="134" spans="1:10" x14ac:dyDescent="0.35">
      <c r="A134" s="3">
        <v>3148707</v>
      </c>
      <c r="B134" s="4" t="s">
        <v>142</v>
      </c>
      <c r="C134" s="5">
        <v>197.88</v>
      </c>
      <c r="D134" s="5">
        <v>202.67000000000002</v>
      </c>
      <c r="E134" s="5">
        <v>193.75</v>
      </c>
      <c r="F134" s="5">
        <v>206.28</v>
      </c>
      <c r="G134" s="5">
        <v>187.93</v>
      </c>
      <c r="H134" s="5">
        <v>196.06</v>
      </c>
      <c r="I134" s="5">
        <v>201.12</v>
      </c>
      <c r="J134" s="5">
        <v>213.32</v>
      </c>
    </row>
    <row r="135" spans="1:10" x14ac:dyDescent="0.35">
      <c r="A135" s="3">
        <v>3149952</v>
      </c>
      <c r="B135" s="4" t="s">
        <v>143</v>
      </c>
      <c r="C135" s="5">
        <v>205.20000000000002</v>
      </c>
      <c r="D135" s="5">
        <v>209.65</v>
      </c>
      <c r="E135" s="5">
        <v>200.76</v>
      </c>
      <c r="F135" s="5">
        <v>214.22</v>
      </c>
      <c r="G135" s="5">
        <v>177.66</v>
      </c>
      <c r="H135" s="5">
        <v>191.07</v>
      </c>
      <c r="I135" s="5">
        <v>198.72</v>
      </c>
      <c r="J135" s="5">
        <v>204.97</v>
      </c>
    </row>
    <row r="136" spans="1:10" x14ac:dyDescent="0.35">
      <c r="A136" s="3">
        <v>3150158</v>
      </c>
      <c r="B136" s="4" t="s">
        <v>144</v>
      </c>
      <c r="C136" s="5">
        <v>214.07</v>
      </c>
      <c r="D136" s="5">
        <v>220.23000000000002</v>
      </c>
      <c r="E136" s="5">
        <v>213.69</v>
      </c>
      <c r="F136" s="5">
        <v>222.82</v>
      </c>
      <c r="G136" s="5">
        <v>196.59</v>
      </c>
      <c r="H136" s="5">
        <v>204.1</v>
      </c>
      <c r="I136" s="5">
        <v>202.35</v>
      </c>
      <c r="J136" s="5">
        <v>218.08</v>
      </c>
    </row>
    <row r="137" spans="1:10" x14ac:dyDescent="0.35">
      <c r="A137" s="3">
        <v>3150570</v>
      </c>
      <c r="B137" s="4" t="s">
        <v>145</v>
      </c>
      <c r="C137" s="5">
        <v>202.33</v>
      </c>
      <c r="D137" s="5">
        <v>206.75</v>
      </c>
      <c r="E137" s="5">
        <v>201.9</v>
      </c>
      <c r="F137" s="5">
        <v>215.46</v>
      </c>
      <c r="G137" s="5">
        <v>185.55</v>
      </c>
      <c r="H137" s="5">
        <v>198.74</v>
      </c>
      <c r="I137" s="5">
        <v>185.29</v>
      </c>
      <c r="J137" s="5">
        <v>203.18</v>
      </c>
    </row>
    <row r="138" spans="1:10" x14ac:dyDescent="0.35">
      <c r="A138" s="3">
        <v>3151206</v>
      </c>
      <c r="B138" s="4" t="s">
        <v>146</v>
      </c>
      <c r="C138" s="5">
        <v>209.56</v>
      </c>
      <c r="D138" s="5">
        <v>213.97</v>
      </c>
      <c r="E138" s="5">
        <v>204.70000000000002</v>
      </c>
      <c r="F138" s="5">
        <v>216.25</v>
      </c>
      <c r="G138" s="5">
        <v>187.62</v>
      </c>
      <c r="H138" s="5">
        <v>196.94</v>
      </c>
      <c r="I138" s="5">
        <v>189.18</v>
      </c>
      <c r="J138" s="5">
        <v>202.73000000000002</v>
      </c>
    </row>
    <row r="139" spans="1:10" x14ac:dyDescent="0.35">
      <c r="A139" s="3">
        <v>3152170</v>
      </c>
      <c r="B139" s="4" t="s">
        <v>147</v>
      </c>
      <c r="C139" s="5">
        <v>201.22</v>
      </c>
      <c r="D139" s="5">
        <v>209.55</v>
      </c>
      <c r="E139" s="5">
        <v>192.03</v>
      </c>
      <c r="F139" s="5">
        <v>202.33</v>
      </c>
      <c r="G139" s="5">
        <v>183.1</v>
      </c>
      <c r="H139" s="5">
        <v>198.55</v>
      </c>
      <c r="I139" s="5">
        <v>198.38</v>
      </c>
      <c r="J139" s="5">
        <v>209.48000000000002</v>
      </c>
    </row>
    <row r="140" spans="1:10" x14ac:dyDescent="0.35">
      <c r="A140" s="3">
        <v>3152402</v>
      </c>
      <c r="B140" s="4" t="s">
        <v>148</v>
      </c>
      <c r="C140" s="5">
        <v>194.71</v>
      </c>
      <c r="D140" s="5">
        <v>204.20000000000002</v>
      </c>
      <c r="E140" s="5">
        <v>192.54</v>
      </c>
      <c r="F140" s="5">
        <v>202.38</v>
      </c>
      <c r="G140" s="5">
        <v>181.96</v>
      </c>
      <c r="H140" s="5">
        <v>187.19</v>
      </c>
      <c r="I140" s="5">
        <v>196.45000000000002</v>
      </c>
      <c r="J140" s="5">
        <v>201.72</v>
      </c>
    </row>
    <row r="141" spans="1:10" x14ac:dyDescent="0.35">
      <c r="A141" s="3">
        <v>3153301</v>
      </c>
      <c r="B141" s="4" t="s">
        <v>149</v>
      </c>
      <c r="C141" s="5">
        <v>206.54</v>
      </c>
      <c r="D141" s="5">
        <v>217.08</v>
      </c>
      <c r="E141" s="5">
        <v>222.76</v>
      </c>
      <c r="F141" s="5">
        <v>235.64000000000001</v>
      </c>
      <c r="G141" s="5">
        <v>207.42000000000002</v>
      </c>
      <c r="H141" s="5">
        <v>220.11</v>
      </c>
      <c r="I141" s="5">
        <v>201.36</v>
      </c>
      <c r="J141" s="5">
        <v>228.69</v>
      </c>
    </row>
    <row r="142" spans="1:10" x14ac:dyDescent="0.35">
      <c r="A142" s="3">
        <v>3154309</v>
      </c>
      <c r="B142" s="4" t="s">
        <v>150</v>
      </c>
      <c r="C142" s="5">
        <v>226.29</v>
      </c>
      <c r="D142" s="5">
        <v>228.49</v>
      </c>
      <c r="E142" s="5">
        <v>215.47</v>
      </c>
      <c r="F142" s="5">
        <v>226.78</v>
      </c>
      <c r="G142" s="5">
        <v>213.75</v>
      </c>
      <c r="H142" s="5">
        <v>214.61</v>
      </c>
      <c r="I142" s="5">
        <v>205.66</v>
      </c>
      <c r="J142" s="5">
        <v>217.01</v>
      </c>
    </row>
    <row r="143" spans="1:10" x14ac:dyDescent="0.35">
      <c r="A143" s="3">
        <v>3155108</v>
      </c>
      <c r="B143" s="4" t="s">
        <v>151</v>
      </c>
      <c r="C143" s="5">
        <v>197.02</v>
      </c>
      <c r="D143" s="5">
        <v>217.04</v>
      </c>
      <c r="E143" s="5">
        <v>189.92000000000002</v>
      </c>
      <c r="F143" s="5">
        <v>205.67000000000002</v>
      </c>
      <c r="G143" s="5">
        <v>206.73000000000002</v>
      </c>
      <c r="H143" s="5">
        <v>221.92000000000002</v>
      </c>
      <c r="I143" s="5">
        <v>200.05</v>
      </c>
      <c r="J143" s="5">
        <v>195.19</v>
      </c>
    </row>
    <row r="144" spans="1:10" x14ac:dyDescent="0.35">
      <c r="A144" s="3">
        <v>3155603</v>
      </c>
      <c r="B144" s="4" t="s">
        <v>152</v>
      </c>
      <c r="C144" s="5">
        <v>216.82</v>
      </c>
      <c r="D144" s="5">
        <v>222.06</v>
      </c>
      <c r="E144" s="5">
        <v>216.31</v>
      </c>
      <c r="F144" s="5">
        <v>230.48000000000002</v>
      </c>
      <c r="G144" s="5">
        <v>204.54</v>
      </c>
      <c r="H144" s="5">
        <v>210.82</v>
      </c>
      <c r="I144" s="5">
        <v>205.36</v>
      </c>
      <c r="J144" s="5">
        <v>219.33</v>
      </c>
    </row>
    <row r="145" spans="1:10" x14ac:dyDescent="0.35">
      <c r="A145" s="3">
        <v>3156502</v>
      </c>
      <c r="B145" s="4" t="s">
        <v>153</v>
      </c>
      <c r="C145" s="5">
        <v>202.11</v>
      </c>
      <c r="D145" s="5">
        <v>213.11</v>
      </c>
      <c r="E145" s="5">
        <v>192.05</v>
      </c>
      <c r="F145" s="5">
        <v>207.37</v>
      </c>
      <c r="G145" s="5">
        <v>192.15</v>
      </c>
      <c r="H145" s="5">
        <v>207.52</v>
      </c>
      <c r="I145" s="5">
        <v>199.84</v>
      </c>
      <c r="J145" s="5">
        <v>213.29</v>
      </c>
    </row>
    <row r="146" spans="1:10" x14ac:dyDescent="0.35">
      <c r="A146" s="3">
        <v>3156601</v>
      </c>
      <c r="B146" s="4" t="s">
        <v>154</v>
      </c>
      <c r="C146" s="5">
        <v>213.11</v>
      </c>
      <c r="D146" s="5">
        <v>218.68</v>
      </c>
      <c r="E146" s="5">
        <v>188.78</v>
      </c>
      <c r="F146" s="5">
        <v>212.86</v>
      </c>
      <c r="G146" s="5">
        <v>193.26</v>
      </c>
      <c r="H146" s="5">
        <v>202.85</v>
      </c>
      <c r="I146" s="5">
        <v>185.13</v>
      </c>
      <c r="J146" s="5">
        <v>205.43</v>
      </c>
    </row>
    <row r="147" spans="1:10" x14ac:dyDescent="0.35">
      <c r="A147" s="3">
        <v>3156809</v>
      </c>
      <c r="B147" s="4" t="s">
        <v>155</v>
      </c>
      <c r="C147" s="5">
        <v>197.17000000000002</v>
      </c>
      <c r="D147" s="5">
        <v>213.23000000000002</v>
      </c>
      <c r="E147" s="5">
        <v>199.18</v>
      </c>
      <c r="F147" s="5">
        <v>202.27</v>
      </c>
      <c r="G147" s="5">
        <v>176.85</v>
      </c>
      <c r="H147" s="5">
        <v>186.47</v>
      </c>
      <c r="I147" s="5">
        <v>184.54</v>
      </c>
      <c r="J147" s="5">
        <v>184.85</v>
      </c>
    </row>
    <row r="148" spans="1:10" x14ac:dyDescent="0.35">
      <c r="A148" s="3">
        <v>3157005</v>
      </c>
      <c r="B148" s="4" t="s">
        <v>156</v>
      </c>
      <c r="C148" s="5">
        <v>207.57</v>
      </c>
      <c r="D148" s="5">
        <v>216.76</v>
      </c>
      <c r="E148" s="5">
        <v>217.56</v>
      </c>
      <c r="F148" s="5">
        <v>228.56</v>
      </c>
      <c r="G148" s="5">
        <v>200.26</v>
      </c>
      <c r="H148" s="5">
        <v>209.12</v>
      </c>
      <c r="I148" s="5">
        <v>209.28</v>
      </c>
      <c r="J148" s="5">
        <v>221.44</v>
      </c>
    </row>
    <row r="149" spans="1:10" x14ac:dyDescent="0.35">
      <c r="A149" s="3">
        <v>3157104</v>
      </c>
      <c r="B149" s="4" t="s">
        <v>157</v>
      </c>
      <c r="C149" s="5">
        <v>186.8</v>
      </c>
      <c r="D149" s="5">
        <v>198.78</v>
      </c>
      <c r="E149" s="5">
        <v>195.44</v>
      </c>
      <c r="F149" s="5">
        <v>216.01</v>
      </c>
      <c r="G149" s="5">
        <v>181.08</v>
      </c>
      <c r="H149" s="5">
        <v>184.91</v>
      </c>
      <c r="I149" s="5">
        <v>181.04</v>
      </c>
      <c r="J149" s="5">
        <v>191.95000000000002</v>
      </c>
    </row>
    <row r="150" spans="1:10" x14ac:dyDescent="0.35">
      <c r="A150" s="3">
        <v>3157252</v>
      </c>
      <c r="B150" s="4" t="s">
        <v>158</v>
      </c>
      <c r="C150" s="5">
        <v>207.55</v>
      </c>
      <c r="D150" s="5">
        <v>217.61</v>
      </c>
      <c r="E150" s="5">
        <v>196.49</v>
      </c>
      <c r="F150" s="5">
        <v>208.76</v>
      </c>
      <c r="G150" s="5">
        <v>168.71</v>
      </c>
      <c r="H150" s="5">
        <v>185.66</v>
      </c>
      <c r="I150" s="5">
        <v>214.87</v>
      </c>
      <c r="J150" s="5">
        <v>221.48000000000002</v>
      </c>
    </row>
    <row r="151" spans="1:10" x14ac:dyDescent="0.35">
      <c r="A151" s="3">
        <v>3157377</v>
      </c>
      <c r="B151" s="4" t="s">
        <v>159</v>
      </c>
      <c r="C151" s="5">
        <v>198.94</v>
      </c>
      <c r="D151" s="5">
        <v>208.63</v>
      </c>
      <c r="E151" s="5">
        <v>198.44</v>
      </c>
      <c r="F151" s="5">
        <v>222.49</v>
      </c>
      <c r="G151" s="5">
        <v>193.75</v>
      </c>
      <c r="H151" s="5">
        <v>203.70000000000002</v>
      </c>
      <c r="I151" s="5">
        <v>203.32</v>
      </c>
      <c r="J151" s="5">
        <v>203.72</v>
      </c>
    </row>
    <row r="152" spans="1:10" x14ac:dyDescent="0.35">
      <c r="A152" s="3">
        <v>3157500</v>
      </c>
      <c r="B152" s="4" t="s">
        <v>160</v>
      </c>
      <c r="C152" s="5">
        <v>204</v>
      </c>
      <c r="D152" s="5">
        <v>221.07</v>
      </c>
      <c r="E152" s="5">
        <v>206.96</v>
      </c>
      <c r="F152" s="5">
        <v>219.08</v>
      </c>
      <c r="G152" s="5">
        <v>210.01</v>
      </c>
      <c r="H152" s="5">
        <v>223.23000000000002</v>
      </c>
      <c r="I152" s="5">
        <v>189.28</v>
      </c>
      <c r="J152" s="5">
        <v>201.85</v>
      </c>
    </row>
    <row r="153" spans="1:10" x14ac:dyDescent="0.35">
      <c r="A153" s="3">
        <v>3157658</v>
      </c>
      <c r="B153" s="4" t="s">
        <v>161</v>
      </c>
      <c r="C153" s="5">
        <v>206.66</v>
      </c>
      <c r="D153" s="5">
        <v>212.5</v>
      </c>
      <c r="E153" s="5">
        <v>207.20000000000002</v>
      </c>
      <c r="F153" s="5">
        <v>225.24</v>
      </c>
      <c r="G153" s="5">
        <v>217.99</v>
      </c>
      <c r="H153" s="5">
        <v>219.42000000000002</v>
      </c>
      <c r="I153" s="5">
        <v>225.15</v>
      </c>
      <c r="J153" s="5">
        <v>234.6</v>
      </c>
    </row>
    <row r="154" spans="1:10" x14ac:dyDescent="0.35">
      <c r="A154" s="3">
        <v>3158201</v>
      </c>
      <c r="B154" s="4" t="s">
        <v>162</v>
      </c>
      <c r="C154" s="5">
        <v>195.35</v>
      </c>
      <c r="D154" s="5">
        <v>201.53</v>
      </c>
      <c r="E154" s="5">
        <v>194.85</v>
      </c>
      <c r="F154" s="5">
        <v>214.52</v>
      </c>
      <c r="G154" s="5">
        <v>188.79</v>
      </c>
      <c r="H154" s="5">
        <v>198.52</v>
      </c>
      <c r="I154" s="5">
        <v>194.96</v>
      </c>
      <c r="J154" s="5">
        <v>213.38</v>
      </c>
    </row>
    <row r="155" spans="1:10" x14ac:dyDescent="0.35">
      <c r="A155" s="3">
        <v>3159357</v>
      </c>
      <c r="B155" s="4" t="s">
        <v>163</v>
      </c>
      <c r="C155" s="5">
        <v>217.02</v>
      </c>
      <c r="D155" s="5">
        <v>229.43</v>
      </c>
      <c r="E155" s="5">
        <v>209.44</v>
      </c>
      <c r="F155" s="5">
        <v>228.73000000000002</v>
      </c>
      <c r="G155" s="5">
        <v>188.65</v>
      </c>
      <c r="H155" s="5">
        <v>205.72</v>
      </c>
      <c r="I155" s="5">
        <v>215.39000000000001</v>
      </c>
      <c r="J155" s="5">
        <v>226.75</v>
      </c>
    </row>
    <row r="156" spans="1:10" x14ac:dyDescent="0.35">
      <c r="A156" s="3">
        <v>3159506</v>
      </c>
      <c r="B156" s="4" t="s">
        <v>164</v>
      </c>
      <c r="C156" s="5">
        <v>228.43</v>
      </c>
      <c r="D156" s="5">
        <v>234.38</v>
      </c>
      <c r="E156" s="5">
        <v>226.48000000000002</v>
      </c>
      <c r="F156" s="5">
        <v>245.32</v>
      </c>
      <c r="G156" s="5">
        <v>211.21</v>
      </c>
      <c r="H156" s="5">
        <v>238.52</v>
      </c>
      <c r="I156" s="5">
        <v>217.11</v>
      </c>
      <c r="J156" s="5">
        <v>229.25</v>
      </c>
    </row>
    <row r="157" spans="1:10" x14ac:dyDescent="0.35">
      <c r="A157" s="3">
        <v>3160454</v>
      </c>
      <c r="B157" s="4" t="s">
        <v>165</v>
      </c>
      <c r="C157" s="5">
        <v>206.20000000000002</v>
      </c>
      <c r="D157" s="5">
        <v>219.63</v>
      </c>
      <c r="E157" s="5">
        <v>182.24</v>
      </c>
      <c r="F157" s="5">
        <v>194.76</v>
      </c>
      <c r="G157" s="5">
        <v>184.96</v>
      </c>
      <c r="H157" s="5">
        <v>191.03</v>
      </c>
      <c r="I157" s="5">
        <v>194.64000000000001</v>
      </c>
      <c r="J157" s="5">
        <v>209.88</v>
      </c>
    </row>
    <row r="158" spans="1:10" x14ac:dyDescent="0.35">
      <c r="A158" s="3">
        <v>3160603</v>
      </c>
      <c r="B158" s="4" t="s">
        <v>166</v>
      </c>
      <c r="C158" s="5">
        <v>222.22</v>
      </c>
      <c r="D158" s="5">
        <v>233.83</v>
      </c>
      <c r="E158" s="5">
        <v>214.93</v>
      </c>
      <c r="F158" s="5">
        <v>229.52</v>
      </c>
      <c r="G158" s="5">
        <v>200.41</v>
      </c>
      <c r="H158" s="5">
        <v>203.47</v>
      </c>
      <c r="I158" s="5">
        <v>201.92000000000002</v>
      </c>
      <c r="J158" s="5">
        <v>220.02</v>
      </c>
    </row>
    <row r="159" spans="1:10" x14ac:dyDescent="0.35">
      <c r="A159" s="3">
        <v>3160959</v>
      </c>
      <c r="B159" s="4" t="s">
        <v>167</v>
      </c>
      <c r="C159" s="5">
        <v>236.57</v>
      </c>
      <c r="D159" s="5">
        <v>248.09</v>
      </c>
      <c r="E159" s="5">
        <v>241.08</v>
      </c>
      <c r="F159" s="5">
        <v>248.36</v>
      </c>
      <c r="G159" s="5">
        <v>222.19</v>
      </c>
      <c r="H159" s="5">
        <v>245.28</v>
      </c>
      <c r="I159" s="5">
        <v>240.21</v>
      </c>
      <c r="J159" s="5">
        <v>257.77</v>
      </c>
    </row>
    <row r="160" spans="1:10" x14ac:dyDescent="0.35">
      <c r="A160" s="3">
        <v>3161601</v>
      </c>
      <c r="B160" s="4" t="s">
        <v>168</v>
      </c>
      <c r="C160" s="5">
        <v>220.16</v>
      </c>
      <c r="D160" s="5">
        <v>231.56</v>
      </c>
      <c r="E160" s="5">
        <v>205.64000000000001</v>
      </c>
      <c r="F160" s="5">
        <v>229.22</v>
      </c>
      <c r="G160" s="5">
        <v>207.22</v>
      </c>
      <c r="H160" s="5">
        <v>228.37</v>
      </c>
      <c r="I160" s="5">
        <v>213.3</v>
      </c>
      <c r="J160" s="5">
        <v>232.82</v>
      </c>
    </row>
    <row r="161" spans="1:10" x14ac:dyDescent="0.35">
      <c r="A161" s="3">
        <v>3125507</v>
      </c>
      <c r="B161" s="4" t="s">
        <v>169</v>
      </c>
      <c r="C161" s="5">
        <v>228.5</v>
      </c>
      <c r="D161" s="5">
        <v>252.59</v>
      </c>
      <c r="E161" s="5">
        <v>222.41</v>
      </c>
      <c r="F161" s="5">
        <v>241.42000000000002</v>
      </c>
      <c r="G161" s="5">
        <v>203.56</v>
      </c>
      <c r="H161" s="5">
        <v>213.69</v>
      </c>
      <c r="I161" s="5">
        <v>241.94</v>
      </c>
      <c r="J161" s="5">
        <v>254.48000000000002</v>
      </c>
    </row>
    <row r="162" spans="1:10" x14ac:dyDescent="0.35">
      <c r="A162" s="3">
        <v>3162252</v>
      </c>
      <c r="B162" s="4" t="s">
        <v>170</v>
      </c>
      <c r="C162" s="5">
        <v>227.29</v>
      </c>
      <c r="D162" s="5">
        <v>235.54</v>
      </c>
      <c r="E162" s="5">
        <v>216.5</v>
      </c>
      <c r="F162" s="5">
        <v>231.47</v>
      </c>
      <c r="G162" s="5">
        <v>198.08</v>
      </c>
      <c r="H162" s="5">
        <v>197.03</v>
      </c>
      <c r="I162" s="5">
        <v>210.78</v>
      </c>
      <c r="J162" s="5">
        <v>214.34</v>
      </c>
    </row>
    <row r="163" spans="1:10" x14ac:dyDescent="0.35">
      <c r="A163" s="3">
        <v>3162401</v>
      </c>
      <c r="B163" s="4" t="s">
        <v>171</v>
      </c>
      <c r="C163" s="5">
        <v>196.87</v>
      </c>
      <c r="D163" s="5">
        <v>207.15</v>
      </c>
      <c r="E163" s="5">
        <v>210.22</v>
      </c>
      <c r="F163" s="5">
        <v>226.78</v>
      </c>
      <c r="G163" s="5">
        <v>202.02</v>
      </c>
      <c r="H163" s="5">
        <v>212.9</v>
      </c>
      <c r="I163" s="5">
        <v>216.92000000000002</v>
      </c>
      <c r="J163" s="5">
        <v>225.08</v>
      </c>
    </row>
    <row r="164" spans="1:10" x14ac:dyDescent="0.35">
      <c r="A164" s="3">
        <v>3162575</v>
      </c>
      <c r="B164" s="4" t="s">
        <v>172</v>
      </c>
      <c r="C164" s="5">
        <v>245.4</v>
      </c>
      <c r="D164" s="5">
        <v>251.78</v>
      </c>
      <c r="E164" s="5">
        <v>230.11</v>
      </c>
      <c r="F164" s="5">
        <v>246.73000000000002</v>
      </c>
      <c r="G164" s="5">
        <v>226.29</v>
      </c>
      <c r="H164" s="5">
        <v>236.96</v>
      </c>
      <c r="I164" s="5">
        <v>192.25</v>
      </c>
      <c r="J164" s="5">
        <v>212.69</v>
      </c>
    </row>
    <row r="165" spans="1:10" x14ac:dyDescent="0.35">
      <c r="A165" s="3">
        <v>3162807</v>
      </c>
      <c r="B165" s="4" t="s">
        <v>173</v>
      </c>
      <c r="C165" s="5">
        <v>212.81</v>
      </c>
      <c r="D165" s="5">
        <v>222.02</v>
      </c>
      <c r="E165" s="5">
        <v>215.47</v>
      </c>
      <c r="F165" s="5">
        <v>232.57</v>
      </c>
      <c r="G165" s="5">
        <v>201.91</v>
      </c>
      <c r="H165" s="5">
        <v>211.56</v>
      </c>
      <c r="I165" s="5">
        <v>204</v>
      </c>
      <c r="J165" s="5">
        <v>215.05</v>
      </c>
    </row>
    <row r="166" spans="1:10" x14ac:dyDescent="0.35">
      <c r="A166" s="3">
        <v>3163508</v>
      </c>
      <c r="B166" s="4" t="s">
        <v>174</v>
      </c>
      <c r="C166" s="5">
        <v>200.45000000000002</v>
      </c>
      <c r="D166" s="5">
        <v>219.69</v>
      </c>
      <c r="E166" s="5">
        <v>244.54</v>
      </c>
      <c r="F166" s="5">
        <v>253.78</v>
      </c>
      <c r="G166" s="5">
        <v>180.29</v>
      </c>
      <c r="H166" s="5">
        <v>188.56</v>
      </c>
      <c r="I166" s="5">
        <v>210.81</v>
      </c>
      <c r="J166" s="5">
        <v>217.58</v>
      </c>
    </row>
    <row r="167" spans="1:10" x14ac:dyDescent="0.35">
      <c r="A167" s="3">
        <v>3164100</v>
      </c>
      <c r="B167" s="4" t="s">
        <v>175</v>
      </c>
      <c r="C167" s="5">
        <v>215.61</v>
      </c>
      <c r="D167" s="5">
        <v>236.51</v>
      </c>
      <c r="E167" s="5">
        <v>222.46</v>
      </c>
      <c r="F167" s="5">
        <v>236.23000000000002</v>
      </c>
      <c r="G167" s="5">
        <v>192.86</v>
      </c>
      <c r="H167" s="5">
        <v>196.42000000000002</v>
      </c>
      <c r="I167" s="5">
        <v>213.79</v>
      </c>
      <c r="J167" s="5">
        <v>230.59</v>
      </c>
    </row>
    <row r="168" spans="1:10" x14ac:dyDescent="0.35">
      <c r="A168" s="3">
        <v>3164472</v>
      </c>
      <c r="B168" s="4" t="s">
        <v>176</v>
      </c>
      <c r="C168" s="5">
        <v>215.81</v>
      </c>
      <c r="D168" s="5">
        <v>232.4</v>
      </c>
      <c r="E168" s="5">
        <v>224.74</v>
      </c>
      <c r="F168" s="5">
        <v>238.35</v>
      </c>
      <c r="G168" s="5">
        <v>201.65</v>
      </c>
      <c r="H168" s="5">
        <v>211.34</v>
      </c>
      <c r="I168" s="5">
        <v>205.67000000000002</v>
      </c>
      <c r="J168" s="5">
        <v>221.86</v>
      </c>
    </row>
    <row r="169" spans="1:10" x14ac:dyDescent="0.35">
      <c r="A169" s="3">
        <v>3165503</v>
      </c>
      <c r="B169" s="4" t="s">
        <v>177</v>
      </c>
      <c r="C169" s="5">
        <v>222.04</v>
      </c>
      <c r="D169" s="5">
        <v>224.35</v>
      </c>
      <c r="E169" s="5">
        <v>212.49</v>
      </c>
      <c r="F169" s="5">
        <v>225.88</v>
      </c>
      <c r="G169" s="5">
        <v>196.17000000000002</v>
      </c>
      <c r="H169" s="5">
        <v>199.17000000000002</v>
      </c>
      <c r="I169" s="5">
        <v>222.58</v>
      </c>
      <c r="J169" s="5">
        <v>236.92000000000002</v>
      </c>
    </row>
    <row r="170" spans="1:10" x14ac:dyDescent="0.35">
      <c r="A170" s="3">
        <v>3165909</v>
      </c>
      <c r="B170" s="4" t="s">
        <v>178</v>
      </c>
      <c r="C170" s="5">
        <v>231.99</v>
      </c>
      <c r="D170" s="5">
        <v>250.5</v>
      </c>
      <c r="E170" s="5">
        <v>213.19</v>
      </c>
      <c r="F170" s="5">
        <v>229.33</v>
      </c>
      <c r="G170" s="5">
        <v>225.61</v>
      </c>
      <c r="H170" s="5">
        <v>223.86</v>
      </c>
      <c r="I170" s="5">
        <v>212.59</v>
      </c>
      <c r="J170" s="5">
        <v>221.66</v>
      </c>
    </row>
    <row r="171" spans="1:10" x14ac:dyDescent="0.35">
      <c r="A171" s="3">
        <v>3166105</v>
      </c>
      <c r="B171" s="4" t="s">
        <v>179</v>
      </c>
      <c r="C171" s="5">
        <v>194.04</v>
      </c>
      <c r="D171" s="5">
        <v>209.45000000000002</v>
      </c>
      <c r="E171" s="5">
        <v>179.84</v>
      </c>
      <c r="F171" s="5">
        <v>203.05</v>
      </c>
      <c r="G171" s="5">
        <v>194.37</v>
      </c>
      <c r="H171" s="5">
        <v>207.51</v>
      </c>
      <c r="I171" s="5">
        <v>205.09</v>
      </c>
      <c r="J171" s="5">
        <v>204.91</v>
      </c>
    </row>
    <row r="172" spans="1:10" x14ac:dyDescent="0.35">
      <c r="A172" s="3">
        <v>3166709</v>
      </c>
      <c r="B172" s="4" t="s">
        <v>180</v>
      </c>
      <c r="C172" s="5">
        <v>207.27</v>
      </c>
      <c r="D172" s="5">
        <v>214.28</v>
      </c>
      <c r="E172" s="5">
        <v>203.22</v>
      </c>
      <c r="F172" s="5">
        <v>206.58</v>
      </c>
      <c r="G172" s="5">
        <v>195.78</v>
      </c>
      <c r="H172" s="5">
        <v>205.3</v>
      </c>
      <c r="I172" s="5">
        <v>210.88</v>
      </c>
      <c r="J172" s="5">
        <v>215.56</v>
      </c>
    </row>
    <row r="173" spans="1:10" x14ac:dyDescent="0.35">
      <c r="A173" s="3">
        <v>3166956</v>
      </c>
      <c r="B173" s="4" t="s">
        <v>181</v>
      </c>
      <c r="C173" s="5">
        <v>162.6</v>
      </c>
      <c r="D173" s="5">
        <v>187.43</v>
      </c>
      <c r="E173" s="5">
        <v>203.84</v>
      </c>
      <c r="F173" s="5">
        <v>202.1</v>
      </c>
      <c r="G173" s="5">
        <v>182.73</v>
      </c>
      <c r="H173" s="5">
        <v>199.84</v>
      </c>
      <c r="I173" s="5">
        <v>212.35</v>
      </c>
      <c r="J173" s="5">
        <v>216.8</v>
      </c>
    </row>
    <row r="174" spans="1:10" x14ac:dyDescent="0.35">
      <c r="A174" s="3">
        <v>3168002</v>
      </c>
      <c r="B174" s="4" t="s">
        <v>182</v>
      </c>
      <c r="C174" s="5">
        <v>228.15</v>
      </c>
      <c r="D174" s="5">
        <v>236.01</v>
      </c>
      <c r="E174" s="5">
        <v>228.21</v>
      </c>
      <c r="F174" s="5">
        <v>240.39000000000001</v>
      </c>
      <c r="G174" s="5">
        <v>219.45000000000002</v>
      </c>
      <c r="H174" s="5">
        <v>223.87</v>
      </c>
      <c r="I174" s="5">
        <v>218.44</v>
      </c>
      <c r="J174" s="5">
        <v>233.36</v>
      </c>
    </row>
    <row r="175" spans="1:10" x14ac:dyDescent="0.35">
      <c r="A175" s="3">
        <v>3168051</v>
      </c>
      <c r="B175" s="4" t="s">
        <v>183</v>
      </c>
      <c r="C175" s="5">
        <v>228.62</v>
      </c>
      <c r="D175" s="5">
        <v>243.15</v>
      </c>
      <c r="E175" s="5">
        <v>210.49</v>
      </c>
      <c r="F175" s="5">
        <v>229.8</v>
      </c>
      <c r="G175" s="5">
        <v>216.22</v>
      </c>
      <c r="H175" s="5">
        <v>225.35</v>
      </c>
      <c r="I175" s="5">
        <v>229.98000000000002</v>
      </c>
      <c r="J175" s="5">
        <v>241.33</v>
      </c>
    </row>
    <row r="176" spans="1:10" x14ac:dyDescent="0.35">
      <c r="A176" s="3">
        <v>3168408</v>
      </c>
      <c r="B176" s="4" t="s">
        <v>184</v>
      </c>
      <c r="C176" s="5">
        <v>210.13</v>
      </c>
      <c r="D176" s="5">
        <v>216.3</v>
      </c>
      <c r="E176" s="5">
        <v>207.43</v>
      </c>
      <c r="F176" s="5">
        <v>225.44</v>
      </c>
      <c r="G176" s="5">
        <v>194.59</v>
      </c>
      <c r="H176" s="5">
        <v>199.51</v>
      </c>
      <c r="I176" s="5">
        <v>229.83</v>
      </c>
      <c r="J176" s="5">
        <v>254.67000000000002</v>
      </c>
    </row>
    <row r="177" spans="1:10" x14ac:dyDescent="0.35">
      <c r="A177" s="3">
        <v>3168606</v>
      </c>
      <c r="B177" s="4" t="s">
        <v>185</v>
      </c>
      <c r="C177" s="5">
        <v>216.59</v>
      </c>
      <c r="D177" s="5">
        <v>221.6</v>
      </c>
      <c r="E177" s="5">
        <v>212.72</v>
      </c>
      <c r="F177" s="5">
        <v>222.84</v>
      </c>
      <c r="G177" s="5">
        <v>204.27</v>
      </c>
      <c r="H177" s="5">
        <v>211.81</v>
      </c>
      <c r="I177" s="5">
        <v>211.92000000000002</v>
      </c>
      <c r="J177" s="5">
        <v>220.20000000000002</v>
      </c>
    </row>
    <row r="178" spans="1:10" x14ac:dyDescent="0.35">
      <c r="A178" s="3">
        <v>3169505</v>
      </c>
      <c r="B178" s="4" t="s">
        <v>186</v>
      </c>
      <c r="C178" s="5">
        <v>197.17000000000002</v>
      </c>
      <c r="D178" s="5">
        <v>217.59</v>
      </c>
      <c r="E178" s="5">
        <v>191.45000000000002</v>
      </c>
      <c r="F178" s="5">
        <v>216.75</v>
      </c>
      <c r="G178" s="5">
        <v>193.04</v>
      </c>
      <c r="H178" s="5">
        <v>201.66</v>
      </c>
      <c r="I178" s="5">
        <v>201.31</v>
      </c>
      <c r="J178" s="5">
        <v>209.34</v>
      </c>
    </row>
    <row r="179" spans="1:10" x14ac:dyDescent="0.35">
      <c r="A179" s="3">
        <v>3169703</v>
      </c>
      <c r="B179" s="4" t="s">
        <v>187</v>
      </c>
      <c r="C179" s="5">
        <v>217.47</v>
      </c>
      <c r="D179" s="5">
        <v>237.9</v>
      </c>
      <c r="E179" s="5">
        <v>217.87</v>
      </c>
      <c r="F179" s="5">
        <v>242.25</v>
      </c>
      <c r="G179" s="5">
        <v>196.44</v>
      </c>
      <c r="H179" s="5">
        <v>208.64000000000001</v>
      </c>
      <c r="I179" s="5">
        <v>209.56</v>
      </c>
      <c r="J179" s="5">
        <v>215.98000000000002</v>
      </c>
    </row>
    <row r="180" spans="1:10" x14ac:dyDescent="0.35">
      <c r="A180" s="3">
        <v>3170057</v>
      </c>
      <c r="B180" s="4" t="s">
        <v>188</v>
      </c>
      <c r="C180" s="5">
        <v>225</v>
      </c>
      <c r="D180" s="5">
        <v>221.27</v>
      </c>
      <c r="E180" s="5">
        <v>211.6</v>
      </c>
      <c r="F180" s="5">
        <v>223.93</v>
      </c>
      <c r="G180" s="5">
        <v>207.81</v>
      </c>
      <c r="H180" s="5">
        <v>209.31</v>
      </c>
      <c r="I180" s="5">
        <v>222.14000000000001</v>
      </c>
      <c r="J180" s="5">
        <v>231.1</v>
      </c>
    </row>
    <row r="181" spans="1:10" x14ac:dyDescent="0.35">
      <c r="A181" s="3">
        <v>3170305</v>
      </c>
      <c r="B181" s="4" t="s">
        <v>189</v>
      </c>
      <c r="C181" s="5">
        <v>198.11</v>
      </c>
      <c r="D181" s="5">
        <v>210.37</v>
      </c>
      <c r="E181" s="5">
        <v>189.07</v>
      </c>
      <c r="F181" s="5">
        <v>201.52</v>
      </c>
      <c r="G181" s="5">
        <v>177.97</v>
      </c>
      <c r="H181" s="5">
        <v>180.5</v>
      </c>
      <c r="I181" s="5">
        <v>185</v>
      </c>
      <c r="J181" s="5">
        <v>191.13</v>
      </c>
    </row>
    <row r="182" spans="1:10" x14ac:dyDescent="0.35">
      <c r="A182" s="3">
        <v>3170479</v>
      </c>
      <c r="B182" s="4" t="s">
        <v>190</v>
      </c>
      <c r="C182" s="5">
        <v>215.13</v>
      </c>
      <c r="D182" s="5">
        <v>224.70000000000002</v>
      </c>
      <c r="E182" s="5">
        <v>212.32</v>
      </c>
      <c r="F182" s="5">
        <v>227.84</v>
      </c>
      <c r="G182" s="5">
        <v>194.71</v>
      </c>
      <c r="H182" s="5">
        <v>195.28</v>
      </c>
      <c r="I182" s="5">
        <v>206.37</v>
      </c>
      <c r="J182" s="5">
        <v>223.19</v>
      </c>
    </row>
    <row r="183" spans="1:10" x14ac:dyDescent="0.35">
      <c r="A183" s="3">
        <v>3170529</v>
      </c>
      <c r="B183" s="4" t="s">
        <v>191</v>
      </c>
      <c r="C183" s="5">
        <v>192.08</v>
      </c>
      <c r="D183" s="5">
        <v>200.01</v>
      </c>
      <c r="E183" s="5">
        <v>191.88</v>
      </c>
      <c r="F183" s="5">
        <v>203.09</v>
      </c>
      <c r="G183" s="5">
        <v>184.78</v>
      </c>
      <c r="H183" s="5">
        <v>195.78</v>
      </c>
      <c r="I183" s="5">
        <v>191.74</v>
      </c>
      <c r="J183" s="5">
        <v>206.35</v>
      </c>
    </row>
    <row r="184" spans="1:10" x14ac:dyDescent="0.35">
      <c r="A184" s="3">
        <v>3170651</v>
      </c>
      <c r="B184" s="4" t="s">
        <v>192</v>
      </c>
      <c r="C184" s="5">
        <v>231.51</v>
      </c>
      <c r="D184" s="5">
        <v>248.13</v>
      </c>
      <c r="E184" s="5">
        <v>228.43</v>
      </c>
      <c r="F184" s="5">
        <v>248.12</v>
      </c>
      <c r="G184" s="5">
        <v>210.55</v>
      </c>
      <c r="H184" s="5">
        <v>229.78</v>
      </c>
      <c r="I184" s="5">
        <v>230.5</v>
      </c>
      <c r="J184" s="5">
        <v>254.39000000000001</v>
      </c>
    </row>
    <row r="185" spans="1:10" x14ac:dyDescent="0.35">
      <c r="A185" s="3">
        <v>3170800</v>
      </c>
      <c r="B185" s="4" t="s">
        <v>193</v>
      </c>
      <c r="C185" s="5">
        <v>208.77</v>
      </c>
      <c r="D185" s="5">
        <v>220.34</v>
      </c>
      <c r="E185" s="5">
        <v>205.04</v>
      </c>
      <c r="F185" s="5">
        <v>216.81</v>
      </c>
      <c r="G185" s="5">
        <v>195.42000000000002</v>
      </c>
      <c r="H185" s="5">
        <v>202.67000000000002</v>
      </c>
      <c r="I185" s="5">
        <v>200.85</v>
      </c>
      <c r="J185" s="5">
        <v>212.99</v>
      </c>
    </row>
    <row r="186" spans="1:10" x14ac:dyDescent="0.35">
      <c r="A186" s="3">
        <v>3171071</v>
      </c>
      <c r="B186" s="4" t="s">
        <v>194</v>
      </c>
      <c r="C186" s="5">
        <v>242.77</v>
      </c>
      <c r="D186" s="5">
        <v>264.69</v>
      </c>
      <c r="E186" s="5">
        <v>229.18</v>
      </c>
      <c r="F186" s="5">
        <v>255.22</v>
      </c>
      <c r="G186" s="5">
        <v>207.01</v>
      </c>
      <c r="H186" s="5">
        <v>217.18</v>
      </c>
      <c r="I186" s="5">
        <v>228.18</v>
      </c>
      <c r="J186" s="5">
        <v>238.02</v>
      </c>
    </row>
    <row r="187" spans="1:10" x14ac:dyDescent="0.35">
      <c r="A187" s="3">
        <v>3171600</v>
      </c>
      <c r="B187" s="4" t="s">
        <v>195</v>
      </c>
      <c r="C187" s="5">
        <v>211.63</v>
      </c>
      <c r="D187" s="5">
        <v>203.54</v>
      </c>
      <c r="E187" s="5">
        <v>203.92000000000002</v>
      </c>
      <c r="F187" s="5">
        <v>211.81</v>
      </c>
      <c r="G187" s="5">
        <v>188.42000000000002</v>
      </c>
      <c r="H187" s="5">
        <v>201.74</v>
      </c>
      <c r="I187" s="5">
        <v>216.24</v>
      </c>
      <c r="J187" s="5">
        <v>231.04</v>
      </c>
    </row>
    <row r="188" spans="1:10" x14ac:dyDescent="0.35">
      <c r="A188" s="3">
        <v>3171808</v>
      </c>
      <c r="B188" s="4" t="s">
        <v>196</v>
      </c>
      <c r="C188" s="5">
        <v>229.67000000000002</v>
      </c>
      <c r="D188" s="5">
        <v>243.18</v>
      </c>
      <c r="E188" s="5">
        <v>225.38</v>
      </c>
      <c r="F188" s="5">
        <v>237.97</v>
      </c>
      <c r="G188" s="5">
        <v>195.85</v>
      </c>
      <c r="H188" s="5">
        <v>202.53</v>
      </c>
      <c r="I188" s="5">
        <v>217.85</v>
      </c>
      <c r="J188" s="5">
        <v>232.6</v>
      </c>
    </row>
    <row r="189" spans="1:10" x14ac:dyDescent="0.35">
      <c r="A189" s="3">
        <v>3171907</v>
      </c>
      <c r="B189" s="4" t="s">
        <v>197</v>
      </c>
      <c r="C189" s="5">
        <v>221</v>
      </c>
      <c r="D189" s="5">
        <v>233.34</v>
      </c>
      <c r="E189" s="5">
        <v>200.75</v>
      </c>
      <c r="F189" s="5">
        <v>214.49</v>
      </c>
      <c r="G189" s="5">
        <v>196.58</v>
      </c>
      <c r="H189" s="5">
        <v>198.09</v>
      </c>
      <c r="I189" s="5">
        <v>222.66</v>
      </c>
      <c r="J189" s="5">
        <v>224.88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6BC0-34A8-401C-AD62-D62B3455B613}">
  <dimension ref="A1:H1881"/>
  <sheetViews>
    <sheetView tabSelected="1" workbookViewId="0">
      <selection activeCell="C6" sqref="C6"/>
    </sheetView>
  </sheetViews>
  <sheetFormatPr defaultRowHeight="14.5" x14ac:dyDescent="0.35"/>
  <cols>
    <col min="1" max="1" width="9.6328125" bestFit="1" customWidth="1"/>
    <col min="2" max="2" width="9.36328125" bestFit="1" customWidth="1"/>
    <col min="3" max="3" width="25.453125" bestFit="1" customWidth="1"/>
    <col min="4" max="4" width="9.26953125" bestFit="1" customWidth="1"/>
    <col min="5" max="5" width="10.6328125" bestFit="1" customWidth="1"/>
    <col min="6" max="6" width="11.54296875" bestFit="1" customWidth="1"/>
    <col min="7" max="7" width="12.6328125" bestFit="1" customWidth="1"/>
    <col min="8" max="8" width="13.6328125" bestFit="1" customWidth="1"/>
  </cols>
  <sheetData>
    <row r="1" spans="1:8" x14ac:dyDescent="0.35">
      <c r="A1" s="6" t="s">
        <v>198</v>
      </c>
      <c r="B1" s="6" t="s">
        <v>0</v>
      </c>
      <c r="C1" s="6" t="s">
        <v>1</v>
      </c>
      <c r="D1" s="6" t="s">
        <v>223</v>
      </c>
      <c r="E1" s="6" t="s">
        <v>199</v>
      </c>
      <c r="F1" s="6" t="s">
        <v>200</v>
      </c>
      <c r="G1" s="6" t="s">
        <v>201</v>
      </c>
      <c r="H1" s="6" t="s">
        <v>202</v>
      </c>
    </row>
    <row r="2" spans="1:8" x14ac:dyDescent="0.35">
      <c r="A2">
        <v>310100</v>
      </c>
      <c r="B2">
        <v>3101003</v>
      </c>
      <c r="C2" t="s">
        <v>10</v>
      </c>
      <c r="D2">
        <v>2015</v>
      </c>
      <c r="E2" s="7">
        <v>7437.25</v>
      </c>
      <c r="F2" s="8">
        <v>11211.350184279696</v>
      </c>
      <c r="G2" s="7">
        <v>6309.96</v>
      </c>
      <c r="H2" s="7">
        <v>9512.0124673999617</v>
      </c>
    </row>
    <row r="3" spans="1:8" x14ac:dyDescent="0.35">
      <c r="A3">
        <v>310100</v>
      </c>
      <c r="B3">
        <v>3101003</v>
      </c>
      <c r="C3" t="s">
        <v>10</v>
      </c>
      <c r="D3">
        <v>2016</v>
      </c>
      <c r="E3" s="7">
        <v>7762.69</v>
      </c>
      <c r="F3" s="8">
        <v>11009.652050233473</v>
      </c>
      <c r="G3" s="7">
        <v>9434.2900000000009</v>
      </c>
      <c r="H3" s="7">
        <v>13380.443039714635</v>
      </c>
    </row>
    <row r="4" spans="1:8" x14ac:dyDescent="0.35">
      <c r="A4">
        <v>310100</v>
      </c>
      <c r="B4">
        <v>3101003</v>
      </c>
      <c r="C4" t="s">
        <v>10</v>
      </c>
      <c r="D4">
        <v>2017</v>
      </c>
      <c r="E4" s="7">
        <v>7678.3</v>
      </c>
      <c r="F4" s="8">
        <v>10578.18004031356</v>
      </c>
      <c r="G4" s="7">
        <v>9783.25</v>
      </c>
      <c r="H4" s="7">
        <v>13478.113449074024</v>
      </c>
    </row>
    <row r="5" spans="1:8" x14ac:dyDescent="0.35">
      <c r="A5">
        <v>310100</v>
      </c>
      <c r="B5">
        <v>3101003</v>
      </c>
      <c r="C5" t="s">
        <v>10</v>
      </c>
      <c r="D5">
        <v>2018</v>
      </c>
      <c r="E5" s="7">
        <v>9331.74</v>
      </c>
      <c r="F5" s="8">
        <v>12391.928532038326</v>
      </c>
      <c r="G5" s="7">
        <v>10470.370000000001</v>
      </c>
      <c r="H5" s="7">
        <v>13903.947559499406</v>
      </c>
    </row>
    <row r="6" spans="1:8" x14ac:dyDescent="0.35">
      <c r="A6">
        <v>310100</v>
      </c>
      <c r="B6">
        <v>3101003</v>
      </c>
      <c r="C6" t="s">
        <v>10</v>
      </c>
      <c r="D6">
        <v>2019</v>
      </c>
      <c r="E6" s="7">
        <v>8769.9500000000007</v>
      </c>
      <c r="F6" s="8">
        <v>11165.121796250178</v>
      </c>
      <c r="G6" s="7">
        <v>12178.48</v>
      </c>
      <c r="H6" s="7">
        <v>15504.562178278728</v>
      </c>
    </row>
    <row r="7" spans="1:8" x14ac:dyDescent="0.35">
      <c r="A7">
        <v>310100</v>
      </c>
      <c r="B7">
        <v>3101003</v>
      </c>
      <c r="C7" t="s">
        <v>10</v>
      </c>
      <c r="D7">
        <v>2020</v>
      </c>
      <c r="E7" s="7">
        <v>9709.9599999999991</v>
      </c>
      <c r="F7" s="8">
        <v>11827.55440865088</v>
      </c>
      <c r="G7" s="7">
        <v>8622.01</v>
      </c>
      <c r="H7" s="7">
        <v>10502.338358438157</v>
      </c>
    </row>
    <row r="8" spans="1:8" x14ac:dyDescent="0.35">
      <c r="A8">
        <v>310100</v>
      </c>
      <c r="B8">
        <v>3101003</v>
      </c>
      <c r="C8" t="s">
        <v>10</v>
      </c>
      <c r="D8">
        <v>2021</v>
      </c>
      <c r="E8" s="7">
        <v>9960.77</v>
      </c>
      <c r="F8" s="8">
        <v>11023.945042499723</v>
      </c>
      <c r="G8" s="7">
        <v>7249.96</v>
      </c>
      <c r="H8" s="7">
        <v>8023.7950841970969</v>
      </c>
    </row>
    <row r="9" spans="1:8" x14ac:dyDescent="0.35">
      <c r="A9">
        <v>310100</v>
      </c>
      <c r="B9">
        <v>3101003</v>
      </c>
      <c r="C9" t="s">
        <v>10</v>
      </c>
      <c r="D9">
        <v>2022</v>
      </c>
      <c r="E9" s="7">
        <v>12979.18</v>
      </c>
      <c r="F9" s="8">
        <v>13578.972568901578</v>
      </c>
      <c r="G9" s="7">
        <v>14113.27</v>
      </c>
      <c r="H9" s="7">
        <v>14765.470831551584</v>
      </c>
    </row>
    <row r="10" spans="1:8" x14ac:dyDescent="0.35">
      <c r="A10">
        <v>310100</v>
      </c>
      <c r="B10">
        <v>3101003</v>
      </c>
      <c r="C10" t="s">
        <v>10</v>
      </c>
      <c r="D10">
        <v>2023</v>
      </c>
      <c r="E10" s="7">
        <v>14605.44</v>
      </c>
      <c r="F10" s="8">
        <v>14605.44</v>
      </c>
      <c r="G10" s="7">
        <v>19737.560000000001</v>
      </c>
      <c r="H10" s="7">
        <v>19737.564201041649</v>
      </c>
    </row>
    <row r="11" spans="1:8" x14ac:dyDescent="0.35">
      <c r="A11">
        <v>310100</v>
      </c>
      <c r="B11">
        <v>3101003</v>
      </c>
      <c r="C11" t="s">
        <v>10</v>
      </c>
      <c r="D11">
        <v>2024</v>
      </c>
      <c r="E11" s="7">
        <v>12322.2</v>
      </c>
      <c r="F11" s="8">
        <v>11754.32541285825</v>
      </c>
      <c r="G11" s="7">
        <v>13900.33</v>
      </c>
      <c r="H11" s="7">
        <v>13259.722067365676</v>
      </c>
    </row>
    <row r="12" spans="1:8" x14ac:dyDescent="0.35">
      <c r="A12">
        <v>310110</v>
      </c>
      <c r="B12">
        <v>3101102</v>
      </c>
      <c r="C12" t="s">
        <v>11</v>
      </c>
      <c r="D12">
        <v>2015</v>
      </c>
      <c r="E12" s="7">
        <v>5163.57</v>
      </c>
      <c r="F12" s="8">
        <v>7783.8705799914087</v>
      </c>
      <c r="G12" s="7">
        <v>5042.91</v>
      </c>
      <c r="H12" s="7">
        <v>7601.9834561195939</v>
      </c>
    </row>
    <row r="13" spans="1:8" x14ac:dyDescent="0.35">
      <c r="A13">
        <v>310110</v>
      </c>
      <c r="B13">
        <v>3101102</v>
      </c>
      <c r="C13" t="s">
        <v>11</v>
      </c>
      <c r="D13">
        <v>2016</v>
      </c>
      <c r="E13" s="7">
        <v>6444.05</v>
      </c>
      <c r="F13" s="8">
        <v>9139.4540158510808</v>
      </c>
      <c r="G13" s="7">
        <v>6853.61</v>
      </c>
      <c r="H13" s="7">
        <v>9720.3218930573275</v>
      </c>
    </row>
    <row r="14" spans="1:8" x14ac:dyDescent="0.35">
      <c r="A14">
        <v>310110</v>
      </c>
      <c r="B14">
        <v>3101102</v>
      </c>
      <c r="C14" t="s">
        <v>11</v>
      </c>
      <c r="D14">
        <v>2017</v>
      </c>
      <c r="E14" s="7">
        <v>7158.5</v>
      </c>
      <c r="F14" s="8">
        <v>9862.0660587089096</v>
      </c>
      <c r="G14" s="7">
        <v>7518.75</v>
      </c>
      <c r="H14" s="7">
        <v>10358.374452857768</v>
      </c>
    </row>
    <row r="15" spans="1:8" x14ac:dyDescent="0.35">
      <c r="A15">
        <v>310110</v>
      </c>
      <c r="B15">
        <v>3101102</v>
      </c>
      <c r="C15" t="s">
        <v>11</v>
      </c>
      <c r="D15">
        <v>2018</v>
      </c>
      <c r="E15" s="7">
        <v>7368.92</v>
      </c>
      <c r="F15" s="8">
        <v>9785.4344418412711</v>
      </c>
      <c r="G15" s="7">
        <v>7814.16</v>
      </c>
      <c r="H15" s="7">
        <v>10376.682898919866</v>
      </c>
    </row>
    <row r="16" spans="1:8" x14ac:dyDescent="0.35">
      <c r="A16">
        <v>310110</v>
      </c>
      <c r="B16">
        <v>3101102</v>
      </c>
      <c r="C16" t="s">
        <v>11</v>
      </c>
      <c r="D16">
        <v>2019</v>
      </c>
      <c r="E16" s="7">
        <v>9249.4500000000007</v>
      </c>
      <c r="F16" s="8">
        <v>11775.578629105776</v>
      </c>
      <c r="G16" s="7">
        <v>8076.91</v>
      </c>
      <c r="H16" s="7">
        <v>10282.79961414611</v>
      </c>
    </row>
    <row r="17" spans="1:8" x14ac:dyDescent="0.35">
      <c r="A17">
        <v>310110</v>
      </c>
      <c r="B17">
        <v>3101102</v>
      </c>
      <c r="C17" t="s">
        <v>11</v>
      </c>
      <c r="D17">
        <v>2020</v>
      </c>
      <c r="E17" s="7">
        <v>9348.2900000000009</v>
      </c>
      <c r="F17" s="8">
        <v>11387.009689313545</v>
      </c>
      <c r="G17" s="7">
        <v>6445.55</v>
      </c>
      <c r="H17" s="7">
        <v>7851.2285876070428</v>
      </c>
    </row>
    <row r="18" spans="1:8" x14ac:dyDescent="0.35">
      <c r="A18">
        <v>310110</v>
      </c>
      <c r="B18">
        <v>3101102</v>
      </c>
      <c r="C18" t="s">
        <v>11</v>
      </c>
      <c r="D18">
        <v>2021</v>
      </c>
      <c r="E18" s="7">
        <v>9778.4</v>
      </c>
      <c r="F18" s="8">
        <v>10822.109556146692</v>
      </c>
      <c r="G18" s="7">
        <v>8046.84</v>
      </c>
      <c r="H18" s="7">
        <v>8905.7306022158609</v>
      </c>
    </row>
    <row r="19" spans="1:8" x14ac:dyDescent="0.35">
      <c r="A19">
        <v>310110</v>
      </c>
      <c r="B19">
        <v>3101102</v>
      </c>
      <c r="C19" t="s">
        <v>11</v>
      </c>
      <c r="D19">
        <v>2022</v>
      </c>
      <c r="E19" s="7">
        <v>18199.689999999999</v>
      </c>
      <c r="F19" s="8">
        <v>19040.732255235871</v>
      </c>
      <c r="G19" s="7">
        <v>17126.349999999999</v>
      </c>
      <c r="H19" s="7">
        <v>17917.786783808413</v>
      </c>
    </row>
    <row r="20" spans="1:8" x14ac:dyDescent="0.35">
      <c r="A20">
        <v>310110</v>
      </c>
      <c r="B20">
        <v>3101102</v>
      </c>
      <c r="C20" t="s">
        <v>11</v>
      </c>
      <c r="D20">
        <v>2023</v>
      </c>
      <c r="E20" s="7">
        <v>14846.13</v>
      </c>
      <c r="F20" s="8">
        <v>14846.13</v>
      </c>
      <c r="G20" s="7">
        <v>19422.259999999998</v>
      </c>
      <c r="H20" s="7">
        <v>19422.255034747792</v>
      </c>
    </row>
    <row r="21" spans="1:8" x14ac:dyDescent="0.35">
      <c r="A21">
        <v>310110</v>
      </c>
      <c r="B21">
        <v>3101102</v>
      </c>
      <c r="C21" t="s">
        <v>11</v>
      </c>
      <c r="D21">
        <v>2024</v>
      </c>
      <c r="E21" s="7">
        <v>18820.61</v>
      </c>
      <c r="F21" s="8">
        <v>17953.253023688474</v>
      </c>
      <c r="G21" s="7">
        <v>25297.47</v>
      </c>
      <c r="H21" s="7">
        <v>24131.619542765005</v>
      </c>
    </row>
    <row r="22" spans="1:8" x14ac:dyDescent="0.35">
      <c r="A22">
        <v>310170</v>
      </c>
      <c r="B22">
        <v>3101706</v>
      </c>
      <c r="C22" t="s">
        <v>12</v>
      </c>
      <c r="D22">
        <v>2015</v>
      </c>
      <c r="E22" s="7">
        <v>3548.61</v>
      </c>
      <c r="F22" s="8">
        <v>5349.384433417832</v>
      </c>
      <c r="G22" s="7">
        <v>3590.51</v>
      </c>
      <c r="H22" s="7">
        <v>5412.554431201791</v>
      </c>
    </row>
    <row r="23" spans="1:8" x14ac:dyDescent="0.35">
      <c r="A23">
        <v>310170</v>
      </c>
      <c r="B23">
        <v>3101706</v>
      </c>
      <c r="C23" t="s">
        <v>12</v>
      </c>
      <c r="D23">
        <v>2016</v>
      </c>
      <c r="E23" s="7">
        <v>4622.9399999999996</v>
      </c>
      <c r="F23" s="8">
        <v>6556.6138605440037</v>
      </c>
      <c r="G23" s="7">
        <v>4717.76</v>
      </c>
      <c r="H23" s="7">
        <v>6691.0951126255814</v>
      </c>
    </row>
    <row r="24" spans="1:8" x14ac:dyDescent="0.35">
      <c r="A24">
        <v>310170</v>
      </c>
      <c r="B24">
        <v>3101706</v>
      </c>
      <c r="C24" t="s">
        <v>12</v>
      </c>
      <c r="D24">
        <v>2017</v>
      </c>
      <c r="E24" s="7">
        <v>5251.43</v>
      </c>
      <c r="F24" s="8">
        <v>7234.7488388189886</v>
      </c>
      <c r="G24" s="7">
        <v>4892.87</v>
      </c>
      <c r="H24" s="7">
        <v>6740.7657371208415</v>
      </c>
    </row>
    <row r="25" spans="1:8" x14ac:dyDescent="0.35">
      <c r="A25">
        <v>310170</v>
      </c>
      <c r="B25">
        <v>3101706</v>
      </c>
      <c r="C25" t="s">
        <v>12</v>
      </c>
      <c r="D25">
        <v>2018</v>
      </c>
      <c r="E25" s="7">
        <v>4516.53</v>
      </c>
      <c r="F25" s="8">
        <v>5997.6507031707979</v>
      </c>
      <c r="G25" s="7">
        <v>4501.9399999999996</v>
      </c>
      <c r="H25" s="7">
        <v>5978.2707911423731</v>
      </c>
    </row>
    <row r="26" spans="1:8" x14ac:dyDescent="0.35">
      <c r="A26">
        <v>310170</v>
      </c>
      <c r="B26">
        <v>3101706</v>
      </c>
      <c r="C26" t="s">
        <v>12</v>
      </c>
      <c r="D26">
        <v>2019</v>
      </c>
      <c r="E26" s="7">
        <v>6179.62</v>
      </c>
      <c r="F26" s="8">
        <v>7867.3435942671867</v>
      </c>
      <c r="G26" s="7">
        <v>5586.57</v>
      </c>
      <c r="H26" s="7">
        <v>7112.3263569671444</v>
      </c>
    </row>
    <row r="27" spans="1:8" x14ac:dyDescent="0.35">
      <c r="A27">
        <v>310170</v>
      </c>
      <c r="B27">
        <v>3101706</v>
      </c>
      <c r="C27" t="s">
        <v>12</v>
      </c>
      <c r="D27">
        <v>2020</v>
      </c>
      <c r="E27" s="7">
        <v>5536.82</v>
      </c>
      <c r="F27" s="8">
        <v>6744.3161249795439</v>
      </c>
      <c r="G27" s="7">
        <v>5558.04</v>
      </c>
      <c r="H27" s="7">
        <v>6770.1622120864722</v>
      </c>
    </row>
    <row r="28" spans="1:8" x14ac:dyDescent="0.35">
      <c r="A28">
        <v>310170</v>
      </c>
      <c r="B28">
        <v>3101706</v>
      </c>
      <c r="C28" t="s">
        <v>12</v>
      </c>
      <c r="D28">
        <v>2021</v>
      </c>
      <c r="E28" s="7">
        <v>7157.9</v>
      </c>
      <c r="F28" s="8">
        <v>7921.9072641682078</v>
      </c>
      <c r="G28" s="7">
        <v>6926.27</v>
      </c>
      <c r="H28" s="7">
        <v>7665.5512153668005</v>
      </c>
    </row>
    <row r="29" spans="1:8" x14ac:dyDescent="0.35">
      <c r="A29">
        <v>310170</v>
      </c>
      <c r="B29">
        <v>3101706</v>
      </c>
      <c r="C29" t="s">
        <v>12</v>
      </c>
      <c r="D29">
        <v>2022</v>
      </c>
      <c r="E29" s="7">
        <v>9113.5499999999993</v>
      </c>
      <c r="F29" s="8">
        <v>9534.7044617081319</v>
      </c>
      <c r="G29" s="7">
        <v>8170.55</v>
      </c>
      <c r="H29" s="7">
        <v>8548.1264807836851</v>
      </c>
    </row>
    <row r="30" spans="1:8" x14ac:dyDescent="0.35">
      <c r="A30">
        <v>310170</v>
      </c>
      <c r="B30">
        <v>3101706</v>
      </c>
      <c r="C30" t="s">
        <v>12</v>
      </c>
      <c r="D30">
        <v>2023</v>
      </c>
      <c r="E30" s="7">
        <v>9546.5300000000007</v>
      </c>
      <c r="F30" s="8">
        <v>9546.5300000000007</v>
      </c>
      <c r="G30" s="7">
        <v>9189.1</v>
      </c>
      <c r="H30" s="7">
        <v>9189.1047537679442</v>
      </c>
    </row>
    <row r="31" spans="1:8" x14ac:dyDescent="0.35">
      <c r="A31">
        <v>310170</v>
      </c>
      <c r="B31">
        <v>3101706</v>
      </c>
      <c r="C31" t="s">
        <v>12</v>
      </c>
      <c r="D31">
        <v>2024</v>
      </c>
      <c r="E31" s="7">
        <v>11290.76</v>
      </c>
      <c r="F31" s="8">
        <v>10770.419827505106</v>
      </c>
      <c r="G31" s="7">
        <v>11635.22</v>
      </c>
      <c r="H31" s="7">
        <v>11099.009965152942</v>
      </c>
    </row>
    <row r="32" spans="1:8" x14ac:dyDescent="0.35">
      <c r="A32">
        <v>310180</v>
      </c>
      <c r="B32">
        <v>3101805</v>
      </c>
      <c r="C32" t="s">
        <v>13</v>
      </c>
      <c r="D32">
        <v>2015</v>
      </c>
      <c r="E32" s="7">
        <v>4474.8</v>
      </c>
      <c r="F32" s="8">
        <v>6745.5779763507726</v>
      </c>
      <c r="G32" s="7">
        <v>5336.34</v>
      </c>
      <c r="H32" s="7">
        <v>8044.3124362285753</v>
      </c>
    </row>
    <row r="33" spans="1:8" x14ac:dyDescent="0.35">
      <c r="A33">
        <v>310180</v>
      </c>
      <c r="B33">
        <v>3101805</v>
      </c>
      <c r="C33" t="s">
        <v>13</v>
      </c>
      <c r="D33">
        <v>2016</v>
      </c>
      <c r="E33" s="7">
        <v>4999.47</v>
      </c>
      <c r="F33" s="8">
        <v>7090.6380565990339</v>
      </c>
      <c r="G33" s="7">
        <v>5960.16</v>
      </c>
      <c r="H33" s="7">
        <v>8453.1682945681987</v>
      </c>
    </row>
    <row r="34" spans="1:8" x14ac:dyDescent="0.35">
      <c r="A34">
        <v>310180</v>
      </c>
      <c r="B34">
        <v>3101805</v>
      </c>
      <c r="C34" t="s">
        <v>13</v>
      </c>
      <c r="D34">
        <v>2017</v>
      </c>
      <c r="E34" s="7">
        <v>6338.37</v>
      </c>
      <c r="F34" s="8">
        <v>8732.1958014302982</v>
      </c>
      <c r="G34" s="7">
        <v>6391.85</v>
      </c>
      <c r="H34" s="7">
        <v>8805.8739364641151</v>
      </c>
    </row>
    <row r="35" spans="1:8" x14ac:dyDescent="0.35">
      <c r="A35">
        <v>310180</v>
      </c>
      <c r="B35">
        <v>3101805</v>
      </c>
      <c r="C35" t="s">
        <v>13</v>
      </c>
      <c r="D35">
        <v>2018</v>
      </c>
      <c r="E35" s="7">
        <v>6105.49</v>
      </c>
      <c r="F35" s="8">
        <v>8107.6836402508725</v>
      </c>
      <c r="G35" s="7">
        <v>6429.63</v>
      </c>
      <c r="H35" s="7">
        <v>8538.1185765474966</v>
      </c>
    </row>
    <row r="36" spans="1:8" x14ac:dyDescent="0.35">
      <c r="A36">
        <v>310180</v>
      </c>
      <c r="B36">
        <v>3101805</v>
      </c>
      <c r="C36" t="s">
        <v>13</v>
      </c>
      <c r="D36">
        <v>2019</v>
      </c>
      <c r="E36" s="7">
        <v>6295.29</v>
      </c>
      <c r="F36" s="8">
        <v>8014.6043697758569</v>
      </c>
      <c r="G36" s="7">
        <v>6349.36</v>
      </c>
      <c r="H36" s="7">
        <v>8083.4433778752573</v>
      </c>
    </row>
    <row r="37" spans="1:8" x14ac:dyDescent="0.35">
      <c r="A37">
        <v>310180</v>
      </c>
      <c r="B37">
        <v>3101805</v>
      </c>
      <c r="C37" t="s">
        <v>13</v>
      </c>
      <c r="D37">
        <v>2020</v>
      </c>
      <c r="E37" s="7">
        <v>6585.66</v>
      </c>
      <c r="F37" s="8">
        <v>8021.8921568035048</v>
      </c>
      <c r="G37" s="7">
        <v>7388.94</v>
      </c>
      <c r="H37" s="7">
        <v>9000.3524920708369</v>
      </c>
    </row>
    <row r="38" spans="1:8" x14ac:dyDescent="0.35">
      <c r="A38">
        <v>310180</v>
      </c>
      <c r="B38">
        <v>3101805</v>
      </c>
      <c r="C38" t="s">
        <v>13</v>
      </c>
      <c r="D38">
        <v>2021</v>
      </c>
      <c r="E38" s="7">
        <v>9494.6299999999992</v>
      </c>
      <c r="F38" s="8">
        <v>10508.051016022771</v>
      </c>
      <c r="G38" s="7">
        <v>9904.4500000000007</v>
      </c>
      <c r="H38" s="7">
        <v>10961.610058982174</v>
      </c>
    </row>
    <row r="39" spans="1:8" x14ac:dyDescent="0.35">
      <c r="A39">
        <v>310180</v>
      </c>
      <c r="B39">
        <v>3101805</v>
      </c>
      <c r="C39" t="s">
        <v>13</v>
      </c>
      <c r="D39">
        <v>2022</v>
      </c>
      <c r="E39" s="7">
        <v>12913.64</v>
      </c>
      <c r="F39" s="8">
        <v>13510.403840972245</v>
      </c>
      <c r="G39" s="7">
        <v>13096.98</v>
      </c>
      <c r="H39" s="7">
        <v>13702.212202650284</v>
      </c>
    </row>
    <row r="40" spans="1:8" x14ac:dyDescent="0.35">
      <c r="A40">
        <v>310180</v>
      </c>
      <c r="B40">
        <v>3101805</v>
      </c>
      <c r="C40" t="s">
        <v>13</v>
      </c>
      <c r="D40">
        <v>2023</v>
      </c>
      <c r="E40" s="7">
        <v>9333.77</v>
      </c>
      <c r="F40" s="8">
        <v>9333.77</v>
      </c>
      <c r="G40" s="7">
        <v>15323.58</v>
      </c>
      <c r="H40" s="7">
        <v>15323.581120923431</v>
      </c>
    </row>
    <row r="41" spans="1:8" x14ac:dyDescent="0.35">
      <c r="A41">
        <v>310180</v>
      </c>
      <c r="B41">
        <v>3101805</v>
      </c>
      <c r="C41" t="s">
        <v>13</v>
      </c>
      <c r="D41">
        <v>2024</v>
      </c>
      <c r="E41" s="7">
        <v>8708.98</v>
      </c>
      <c r="F41" s="8">
        <v>8307.6224159707072</v>
      </c>
      <c r="G41" s="7">
        <v>13822.63</v>
      </c>
      <c r="H41" s="7">
        <v>13185.607222584065</v>
      </c>
    </row>
    <row r="42" spans="1:8" x14ac:dyDescent="0.35">
      <c r="A42">
        <v>310270</v>
      </c>
      <c r="B42">
        <v>3102704</v>
      </c>
      <c r="C42" t="s">
        <v>26</v>
      </c>
      <c r="D42">
        <v>2015</v>
      </c>
      <c r="E42" s="7">
        <v>4948.0600000000004</v>
      </c>
      <c r="F42" s="8">
        <v>7458.9980695589093</v>
      </c>
      <c r="G42" s="7">
        <v>5270.31</v>
      </c>
      <c r="H42" s="7">
        <v>7944.7764676156057</v>
      </c>
    </row>
    <row r="43" spans="1:8" x14ac:dyDescent="0.35">
      <c r="A43">
        <v>310270</v>
      </c>
      <c r="B43">
        <v>3102704</v>
      </c>
      <c r="C43" t="s">
        <v>26</v>
      </c>
      <c r="D43">
        <v>2016</v>
      </c>
      <c r="E43" s="7">
        <v>5396.74</v>
      </c>
      <c r="F43" s="8">
        <v>7654.0773373118082</v>
      </c>
      <c r="G43" s="7">
        <v>6977.13</v>
      </c>
      <c r="H43" s="7">
        <v>9895.5062638175241</v>
      </c>
    </row>
    <row r="44" spans="1:8" x14ac:dyDescent="0.35">
      <c r="A44">
        <v>310270</v>
      </c>
      <c r="B44">
        <v>3102704</v>
      </c>
      <c r="C44" t="s">
        <v>26</v>
      </c>
      <c r="D44">
        <v>2017</v>
      </c>
      <c r="E44" s="7">
        <v>5669.48</v>
      </c>
      <c r="F44" s="8">
        <v>7810.6846795458514</v>
      </c>
      <c r="G44" s="7">
        <v>7340.41</v>
      </c>
      <c r="H44" s="7">
        <v>10112.68028579848</v>
      </c>
    </row>
    <row r="45" spans="1:8" x14ac:dyDescent="0.35">
      <c r="A45">
        <v>310270</v>
      </c>
      <c r="B45">
        <v>3102704</v>
      </c>
      <c r="C45" t="s">
        <v>26</v>
      </c>
      <c r="D45">
        <v>2018</v>
      </c>
      <c r="E45" s="7">
        <v>5904.31</v>
      </c>
      <c r="F45" s="8">
        <v>7840.5300138022722</v>
      </c>
      <c r="G45" s="7">
        <v>7413.25</v>
      </c>
      <c r="H45" s="7">
        <v>9844.2971645801827</v>
      </c>
    </row>
    <row r="46" spans="1:8" x14ac:dyDescent="0.35">
      <c r="A46">
        <v>310270</v>
      </c>
      <c r="B46">
        <v>3102704</v>
      </c>
      <c r="C46" t="s">
        <v>26</v>
      </c>
      <c r="D46">
        <v>2019</v>
      </c>
      <c r="E46" s="7">
        <v>6061.5</v>
      </c>
      <c r="F46" s="8">
        <v>7716.9636962548757</v>
      </c>
      <c r="G46" s="7">
        <v>8116.37</v>
      </c>
      <c r="H46" s="7">
        <v>10333.040960809658</v>
      </c>
    </row>
    <row r="47" spans="1:8" x14ac:dyDescent="0.35">
      <c r="A47">
        <v>310270</v>
      </c>
      <c r="B47">
        <v>3102704</v>
      </c>
      <c r="C47" t="s">
        <v>26</v>
      </c>
      <c r="D47">
        <v>2020</v>
      </c>
      <c r="E47" s="7">
        <v>7887.15</v>
      </c>
      <c r="F47" s="8">
        <v>9607.217306167151</v>
      </c>
      <c r="G47" s="7">
        <v>9349.9699999999993</v>
      </c>
      <c r="H47" s="7">
        <v>11389.055861538267</v>
      </c>
    </row>
    <row r="48" spans="1:8" x14ac:dyDescent="0.35">
      <c r="A48">
        <v>310270</v>
      </c>
      <c r="B48">
        <v>3102704</v>
      </c>
      <c r="C48" t="s">
        <v>26</v>
      </c>
      <c r="D48">
        <v>2021</v>
      </c>
      <c r="E48" s="7">
        <v>9379.44</v>
      </c>
      <c r="F48" s="8">
        <v>10380.566069633533</v>
      </c>
      <c r="G48" s="7">
        <v>10064.74</v>
      </c>
      <c r="H48" s="7">
        <v>11139.016642716235</v>
      </c>
    </row>
    <row r="49" spans="1:8" x14ac:dyDescent="0.35">
      <c r="A49">
        <v>310270</v>
      </c>
      <c r="B49">
        <v>3102704</v>
      </c>
      <c r="C49" t="s">
        <v>26</v>
      </c>
      <c r="D49">
        <v>2022</v>
      </c>
      <c r="E49" s="7">
        <v>11804.5</v>
      </c>
      <c r="F49" s="8">
        <v>12350.008374149882</v>
      </c>
      <c r="G49" s="7">
        <v>15714.25</v>
      </c>
      <c r="H49" s="7">
        <v>16440.433873419741</v>
      </c>
    </row>
    <row r="50" spans="1:8" x14ac:dyDescent="0.35">
      <c r="A50">
        <v>310270</v>
      </c>
      <c r="B50">
        <v>3102704</v>
      </c>
      <c r="C50" t="s">
        <v>26</v>
      </c>
      <c r="D50">
        <v>2023</v>
      </c>
      <c r="E50" s="7">
        <v>12626.67</v>
      </c>
      <c r="F50" s="8">
        <v>12626.67</v>
      </c>
      <c r="G50" s="7">
        <v>16062.5</v>
      </c>
      <c r="H50" s="7">
        <v>16062.495163337588</v>
      </c>
    </row>
    <row r="51" spans="1:8" x14ac:dyDescent="0.35">
      <c r="A51">
        <v>310270</v>
      </c>
      <c r="B51">
        <v>3102704</v>
      </c>
      <c r="C51" t="s">
        <v>26</v>
      </c>
      <c r="D51">
        <v>2024</v>
      </c>
      <c r="E51" s="7">
        <v>12914.24</v>
      </c>
      <c r="F51" s="8">
        <v>12319.080961171749</v>
      </c>
      <c r="G51" s="7">
        <v>16877.77</v>
      </c>
      <c r="H51" s="7">
        <v>16099.951787842723</v>
      </c>
    </row>
    <row r="52" spans="1:8" x14ac:dyDescent="0.35">
      <c r="A52">
        <v>310285</v>
      </c>
      <c r="B52">
        <v>3102852</v>
      </c>
      <c r="C52" t="s">
        <v>14</v>
      </c>
      <c r="D52">
        <v>2015</v>
      </c>
      <c r="E52" s="7">
        <v>7141.54</v>
      </c>
      <c r="F52" s="8">
        <v>10765.579454104785</v>
      </c>
      <c r="G52" s="7">
        <v>7862.22</v>
      </c>
      <c r="H52" s="7">
        <v>11851.980492475708</v>
      </c>
    </row>
    <row r="53" spans="1:8" x14ac:dyDescent="0.35">
      <c r="A53">
        <v>310285</v>
      </c>
      <c r="B53">
        <v>3102852</v>
      </c>
      <c r="C53" t="s">
        <v>14</v>
      </c>
      <c r="D53">
        <v>2016</v>
      </c>
      <c r="E53" s="7">
        <v>7208.09</v>
      </c>
      <c r="F53" s="8">
        <v>10223.075099838768</v>
      </c>
      <c r="G53" s="7">
        <v>9568.0400000000009</v>
      </c>
      <c r="H53" s="7">
        <v>13570.134054289992</v>
      </c>
    </row>
    <row r="54" spans="1:8" x14ac:dyDescent="0.35">
      <c r="A54">
        <v>310285</v>
      </c>
      <c r="B54">
        <v>3102852</v>
      </c>
      <c r="C54" t="s">
        <v>14</v>
      </c>
      <c r="D54">
        <v>2017</v>
      </c>
      <c r="E54" s="7">
        <v>7627.72</v>
      </c>
      <c r="F54" s="8">
        <v>10508.497383157801</v>
      </c>
      <c r="G54" s="7">
        <v>9825.9</v>
      </c>
      <c r="H54" s="7">
        <v>13536.874262333271</v>
      </c>
    </row>
    <row r="55" spans="1:8" x14ac:dyDescent="0.35">
      <c r="A55">
        <v>310285</v>
      </c>
      <c r="B55">
        <v>3102852</v>
      </c>
      <c r="C55" t="s">
        <v>14</v>
      </c>
      <c r="D55">
        <v>2018</v>
      </c>
      <c r="E55" s="7">
        <v>6560.74</v>
      </c>
      <c r="F55" s="8">
        <v>8712.2252867402149</v>
      </c>
      <c r="G55" s="7">
        <v>9252.7199999999993</v>
      </c>
      <c r="H55" s="7">
        <v>12286.993225569417</v>
      </c>
    </row>
    <row r="56" spans="1:8" x14ac:dyDescent="0.35">
      <c r="A56">
        <v>310285</v>
      </c>
      <c r="B56">
        <v>3102852</v>
      </c>
      <c r="C56" t="s">
        <v>14</v>
      </c>
      <c r="D56">
        <v>2019</v>
      </c>
      <c r="E56" s="7">
        <v>7079.24</v>
      </c>
      <c r="F56" s="8">
        <v>9012.6599153799161</v>
      </c>
      <c r="G56" s="7">
        <v>10130.200000000001</v>
      </c>
      <c r="H56" s="7">
        <v>12896.868156678913</v>
      </c>
    </row>
    <row r="57" spans="1:8" x14ac:dyDescent="0.35">
      <c r="A57">
        <v>310285</v>
      </c>
      <c r="B57">
        <v>3102852</v>
      </c>
      <c r="C57" t="s">
        <v>14</v>
      </c>
      <c r="D57">
        <v>2020</v>
      </c>
      <c r="E57" s="7">
        <v>7475.25</v>
      </c>
      <c r="F57" s="8">
        <v>9105.488188753352</v>
      </c>
      <c r="G57" s="7">
        <v>8520.2000000000007</v>
      </c>
      <c r="H57" s="7">
        <v>10378.324869641929</v>
      </c>
    </row>
    <row r="58" spans="1:8" x14ac:dyDescent="0.35">
      <c r="A58">
        <v>310285</v>
      </c>
      <c r="B58">
        <v>3102852</v>
      </c>
      <c r="C58" t="s">
        <v>14</v>
      </c>
      <c r="D58">
        <v>2021</v>
      </c>
      <c r="E58" s="7">
        <v>9976.9</v>
      </c>
      <c r="F58" s="8">
        <v>11041.7966978974</v>
      </c>
      <c r="G58" s="7">
        <v>9446.31</v>
      </c>
      <c r="H58" s="7">
        <v>10454.573484580662</v>
      </c>
    </row>
    <row r="59" spans="1:8" x14ac:dyDescent="0.35">
      <c r="A59">
        <v>310285</v>
      </c>
      <c r="B59">
        <v>3102852</v>
      </c>
      <c r="C59" t="s">
        <v>14</v>
      </c>
      <c r="D59">
        <v>2022</v>
      </c>
      <c r="E59" s="7">
        <v>9955</v>
      </c>
      <c r="F59" s="8">
        <v>10415.039465005893</v>
      </c>
      <c r="G59" s="7">
        <v>15156.75</v>
      </c>
      <c r="H59" s="7">
        <v>15857.172355370176</v>
      </c>
    </row>
    <row r="60" spans="1:8" x14ac:dyDescent="0.35">
      <c r="A60">
        <v>310285</v>
      </c>
      <c r="B60">
        <v>3102852</v>
      </c>
      <c r="C60" t="s">
        <v>14</v>
      </c>
      <c r="D60">
        <v>2023</v>
      </c>
      <c r="E60" s="7">
        <v>10145.64</v>
      </c>
      <c r="F60" s="8">
        <v>10145.64</v>
      </c>
      <c r="G60" s="7">
        <v>16347.47</v>
      </c>
      <c r="H60" s="7">
        <v>16347.47108671342</v>
      </c>
    </row>
    <row r="61" spans="1:8" x14ac:dyDescent="0.35">
      <c r="A61">
        <v>310285</v>
      </c>
      <c r="B61">
        <v>3102852</v>
      </c>
      <c r="C61" t="s">
        <v>14</v>
      </c>
      <c r="D61">
        <v>2024</v>
      </c>
      <c r="E61" s="7">
        <v>14203.63</v>
      </c>
      <c r="F61" s="8">
        <v>13549.048795169354</v>
      </c>
      <c r="G61" s="7">
        <v>21272.639999999999</v>
      </c>
      <c r="H61" s="7">
        <v>20292.284110280692</v>
      </c>
    </row>
    <row r="62" spans="1:8" x14ac:dyDescent="0.35">
      <c r="A62">
        <v>310340</v>
      </c>
      <c r="B62">
        <v>3103405</v>
      </c>
      <c r="C62" t="s">
        <v>15</v>
      </c>
      <c r="D62">
        <v>2015</v>
      </c>
      <c r="E62" s="7">
        <v>5748.93</v>
      </c>
      <c r="F62" s="8">
        <v>8666.2768382010927</v>
      </c>
      <c r="G62" s="7">
        <v>5050.95</v>
      </c>
      <c r="H62" s="7">
        <v>7614.0951083981172</v>
      </c>
    </row>
    <row r="63" spans="1:8" x14ac:dyDescent="0.35">
      <c r="A63">
        <v>310340</v>
      </c>
      <c r="B63">
        <v>3103405</v>
      </c>
      <c r="C63" t="s">
        <v>15</v>
      </c>
      <c r="D63">
        <v>2016</v>
      </c>
      <c r="E63" s="7">
        <v>6378.68</v>
      </c>
      <c r="F63" s="8">
        <v>9046.7411863391771</v>
      </c>
      <c r="G63" s="7">
        <v>7459.9</v>
      </c>
      <c r="H63" s="7">
        <v>10580.214044577644</v>
      </c>
    </row>
    <row r="64" spans="1:8" x14ac:dyDescent="0.35">
      <c r="A64">
        <v>310340</v>
      </c>
      <c r="B64">
        <v>3103405</v>
      </c>
      <c r="C64" t="s">
        <v>15</v>
      </c>
      <c r="D64">
        <v>2017</v>
      </c>
      <c r="E64" s="7">
        <v>5517.16</v>
      </c>
      <c r="F64" s="8">
        <v>7600.8376582337696</v>
      </c>
      <c r="G64" s="7">
        <v>7029.78</v>
      </c>
      <c r="H64" s="7">
        <v>9684.7315382225224</v>
      </c>
    </row>
    <row r="65" spans="1:8" x14ac:dyDescent="0.35">
      <c r="A65">
        <v>310340</v>
      </c>
      <c r="B65">
        <v>3103405</v>
      </c>
      <c r="C65" t="s">
        <v>15</v>
      </c>
      <c r="D65">
        <v>2018</v>
      </c>
      <c r="E65" s="7">
        <v>6694.43</v>
      </c>
      <c r="F65" s="8">
        <v>8889.7566930425983</v>
      </c>
      <c r="G65" s="7">
        <v>7807.94</v>
      </c>
      <c r="H65" s="7">
        <v>10368.418766200439</v>
      </c>
    </row>
    <row r="66" spans="1:8" x14ac:dyDescent="0.35">
      <c r="A66">
        <v>310340</v>
      </c>
      <c r="B66">
        <v>3103405</v>
      </c>
      <c r="C66" t="s">
        <v>15</v>
      </c>
      <c r="D66">
        <v>2019</v>
      </c>
      <c r="E66" s="7">
        <v>7276.34</v>
      </c>
      <c r="F66" s="8">
        <v>9263.5901380198302</v>
      </c>
      <c r="G66" s="7">
        <v>9423.9</v>
      </c>
      <c r="H66" s="7">
        <v>11997.669357230165</v>
      </c>
    </row>
    <row r="67" spans="1:8" x14ac:dyDescent="0.35">
      <c r="A67">
        <v>310340</v>
      </c>
      <c r="B67">
        <v>3103405</v>
      </c>
      <c r="C67" t="s">
        <v>15</v>
      </c>
      <c r="D67">
        <v>2020</v>
      </c>
      <c r="E67" s="7">
        <v>6989.87</v>
      </c>
      <c r="F67" s="8">
        <v>8514.2542023238548</v>
      </c>
      <c r="G67" s="7">
        <v>7487.36</v>
      </c>
      <c r="H67" s="7">
        <v>9120.233849783599</v>
      </c>
    </row>
    <row r="68" spans="1:8" x14ac:dyDescent="0.35">
      <c r="A68">
        <v>310340</v>
      </c>
      <c r="B68">
        <v>3103405</v>
      </c>
      <c r="C68" t="s">
        <v>15</v>
      </c>
      <c r="D68">
        <v>2021</v>
      </c>
      <c r="E68" s="7">
        <v>11751.99</v>
      </c>
      <c r="F68" s="8">
        <v>13006.353113263965</v>
      </c>
      <c r="G68" s="7">
        <v>11590.52</v>
      </c>
      <c r="H68" s="7">
        <v>12827.648872635573</v>
      </c>
    </row>
    <row r="69" spans="1:8" x14ac:dyDescent="0.35">
      <c r="A69">
        <v>310340</v>
      </c>
      <c r="B69">
        <v>3103405</v>
      </c>
      <c r="C69" t="s">
        <v>15</v>
      </c>
      <c r="D69">
        <v>2022</v>
      </c>
      <c r="E69" s="7">
        <v>14933.46</v>
      </c>
      <c r="F69" s="8">
        <v>15623.563560932889</v>
      </c>
      <c r="G69" s="7">
        <v>19873.060000000001</v>
      </c>
      <c r="H69" s="7">
        <v>20791.430387389453</v>
      </c>
    </row>
    <row r="70" spans="1:8" x14ac:dyDescent="0.35">
      <c r="A70">
        <v>310340</v>
      </c>
      <c r="B70">
        <v>3103405</v>
      </c>
      <c r="C70" t="s">
        <v>15</v>
      </c>
      <c r="D70">
        <v>2023</v>
      </c>
      <c r="E70" s="7">
        <v>14154.83</v>
      </c>
      <c r="F70" s="8">
        <v>14154.83</v>
      </c>
      <c r="G70" s="7">
        <v>19009.759999999998</v>
      </c>
      <c r="H70" s="7">
        <v>19009.760101580134</v>
      </c>
    </row>
    <row r="71" spans="1:8" x14ac:dyDescent="0.35">
      <c r="A71">
        <v>310340</v>
      </c>
      <c r="B71">
        <v>3103405</v>
      </c>
      <c r="C71" t="s">
        <v>15</v>
      </c>
      <c r="D71">
        <v>2024</v>
      </c>
      <c r="E71" s="7">
        <v>19667.580000000002</v>
      </c>
      <c r="F71" s="8">
        <v>18761.189998816986</v>
      </c>
      <c r="G71" s="7">
        <v>22708</v>
      </c>
      <c r="H71" s="7">
        <v>21661.492753514001</v>
      </c>
    </row>
    <row r="72" spans="1:8" x14ac:dyDescent="0.35">
      <c r="A72">
        <v>310445</v>
      </c>
      <c r="B72">
        <v>3104452</v>
      </c>
      <c r="C72" t="s">
        <v>16</v>
      </c>
      <c r="D72">
        <v>2015</v>
      </c>
      <c r="E72" s="7">
        <v>7736.1</v>
      </c>
      <c r="F72" s="8">
        <v>11661.854336025568</v>
      </c>
      <c r="G72" s="7">
        <v>8920.01</v>
      </c>
      <c r="H72" s="7">
        <v>13446.545176816904</v>
      </c>
    </row>
    <row r="73" spans="1:8" x14ac:dyDescent="0.35">
      <c r="A73">
        <v>310445</v>
      </c>
      <c r="B73">
        <v>3104452</v>
      </c>
      <c r="C73" t="s">
        <v>16</v>
      </c>
      <c r="D73">
        <v>2016</v>
      </c>
      <c r="E73" s="7">
        <v>6592.5</v>
      </c>
      <c r="F73" s="8">
        <v>9349.9973773478232</v>
      </c>
      <c r="G73" s="7">
        <v>8975.2800000000007</v>
      </c>
      <c r="H73" s="7">
        <v>12729.442016468791</v>
      </c>
    </row>
    <row r="74" spans="1:8" x14ac:dyDescent="0.35">
      <c r="A74">
        <v>310445</v>
      </c>
      <c r="B74">
        <v>3104452</v>
      </c>
      <c r="C74" t="s">
        <v>16</v>
      </c>
      <c r="D74">
        <v>2017</v>
      </c>
      <c r="E74" s="7">
        <v>7801.63</v>
      </c>
      <c r="F74" s="8">
        <v>10748.088346106751</v>
      </c>
      <c r="G74" s="7">
        <v>10738.96</v>
      </c>
      <c r="H74" s="7">
        <v>14794.761998770562</v>
      </c>
    </row>
    <row r="75" spans="1:8" x14ac:dyDescent="0.35">
      <c r="A75">
        <v>310445</v>
      </c>
      <c r="B75">
        <v>3104452</v>
      </c>
      <c r="C75" t="s">
        <v>16</v>
      </c>
      <c r="D75">
        <v>2018</v>
      </c>
      <c r="E75" s="7">
        <v>7922.86</v>
      </c>
      <c r="F75" s="8">
        <v>10521.029828236231</v>
      </c>
      <c r="G75" s="7">
        <v>10790.45</v>
      </c>
      <c r="H75" s="7">
        <v>14328.999927410834</v>
      </c>
    </row>
    <row r="76" spans="1:8" x14ac:dyDescent="0.35">
      <c r="A76">
        <v>310445</v>
      </c>
      <c r="B76">
        <v>3104452</v>
      </c>
      <c r="C76" t="s">
        <v>16</v>
      </c>
      <c r="D76">
        <v>2019</v>
      </c>
      <c r="E76" s="7">
        <v>10219.84</v>
      </c>
      <c r="F76" s="8">
        <v>13010.993031680842</v>
      </c>
      <c r="G76" s="7">
        <v>14516.78</v>
      </c>
      <c r="H76" s="7">
        <v>18481.478541409349</v>
      </c>
    </row>
    <row r="77" spans="1:8" x14ac:dyDescent="0.35">
      <c r="A77">
        <v>310445</v>
      </c>
      <c r="B77">
        <v>3104452</v>
      </c>
      <c r="C77" t="s">
        <v>16</v>
      </c>
      <c r="D77">
        <v>2020</v>
      </c>
      <c r="E77" s="7">
        <v>8811.34</v>
      </c>
      <c r="F77" s="8">
        <v>10732.959071213667</v>
      </c>
      <c r="G77" s="7">
        <v>11351.35</v>
      </c>
      <c r="H77" s="7">
        <v>13826.909119727196</v>
      </c>
    </row>
    <row r="78" spans="1:8" x14ac:dyDescent="0.35">
      <c r="A78">
        <v>310445</v>
      </c>
      <c r="B78">
        <v>3104452</v>
      </c>
      <c r="C78" t="s">
        <v>16</v>
      </c>
      <c r="D78">
        <v>2021</v>
      </c>
      <c r="E78" s="7">
        <v>14964.23</v>
      </c>
      <c r="F78" s="8">
        <v>16561.45550226796</v>
      </c>
      <c r="G78" s="7">
        <v>16919.79</v>
      </c>
      <c r="H78" s="7">
        <v>18725.748942359194</v>
      </c>
    </row>
    <row r="79" spans="1:8" x14ac:dyDescent="0.35">
      <c r="A79">
        <v>310445</v>
      </c>
      <c r="B79">
        <v>3104452</v>
      </c>
      <c r="C79" t="s">
        <v>16</v>
      </c>
      <c r="D79">
        <v>2022</v>
      </c>
      <c r="E79" s="7">
        <v>18617.93</v>
      </c>
      <c r="F79" s="8">
        <v>19478.299920313129</v>
      </c>
      <c r="G79" s="7">
        <v>23694.18</v>
      </c>
      <c r="H79" s="7">
        <v>24789.135986696667</v>
      </c>
    </row>
    <row r="80" spans="1:8" x14ac:dyDescent="0.35">
      <c r="A80">
        <v>310445</v>
      </c>
      <c r="B80">
        <v>3104452</v>
      </c>
      <c r="C80" t="s">
        <v>16</v>
      </c>
      <c r="D80">
        <v>2023</v>
      </c>
      <c r="E80" s="7">
        <v>17594.54</v>
      </c>
      <c r="F80" s="8">
        <v>17594.54</v>
      </c>
      <c r="G80" s="7">
        <v>29332.94</v>
      </c>
      <c r="H80" s="7">
        <v>29332.938084112149</v>
      </c>
    </row>
    <row r="81" spans="1:8" x14ac:dyDescent="0.35">
      <c r="A81">
        <v>310445</v>
      </c>
      <c r="B81">
        <v>3104452</v>
      </c>
      <c r="C81" t="s">
        <v>16</v>
      </c>
      <c r="D81">
        <v>2024</v>
      </c>
      <c r="E81" s="7">
        <v>8620.08</v>
      </c>
      <c r="F81" s="8">
        <v>8222.8194157594535</v>
      </c>
      <c r="G81" s="7">
        <v>25750.240000000002</v>
      </c>
      <c r="H81" s="7">
        <v>24563.525799568186</v>
      </c>
    </row>
    <row r="82" spans="1:8" x14ac:dyDescent="0.35">
      <c r="A82">
        <v>310450</v>
      </c>
      <c r="B82">
        <v>3104502</v>
      </c>
      <c r="C82" t="s">
        <v>17</v>
      </c>
      <c r="D82">
        <v>2015</v>
      </c>
      <c r="E82" s="7">
        <v>7131.45</v>
      </c>
      <c r="F82" s="8">
        <v>10750.369191795548</v>
      </c>
      <c r="G82" s="7">
        <v>9334.25</v>
      </c>
      <c r="H82" s="7">
        <v>14070.99316474803</v>
      </c>
    </row>
    <row r="83" spans="1:8" x14ac:dyDescent="0.35">
      <c r="A83">
        <v>310450</v>
      </c>
      <c r="B83">
        <v>3104502</v>
      </c>
      <c r="C83" t="s">
        <v>17</v>
      </c>
      <c r="D83">
        <v>2016</v>
      </c>
      <c r="E83" s="7">
        <v>8461.36</v>
      </c>
      <c r="F83" s="8">
        <v>12000.560304709259</v>
      </c>
      <c r="G83" s="7">
        <v>10149.56</v>
      </c>
      <c r="H83" s="7">
        <v>14394.90075347621</v>
      </c>
    </row>
    <row r="84" spans="1:8" x14ac:dyDescent="0.35">
      <c r="A84">
        <v>310450</v>
      </c>
      <c r="B84">
        <v>3104502</v>
      </c>
      <c r="C84" t="s">
        <v>17</v>
      </c>
      <c r="D84">
        <v>2017</v>
      </c>
      <c r="E84" s="7">
        <v>8862.81</v>
      </c>
      <c r="F84" s="8">
        <v>12210.04647423146</v>
      </c>
      <c r="G84" s="7">
        <v>10656.03</v>
      </c>
      <c r="H84" s="7">
        <v>14680.516915390659</v>
      </c>
    </row>
    <row r="85" spans="1:8" x14ac:dyDescent="0.35">
      <c r="A85">
        <v>310450</v>
      </c>
      <c r="B85">
        <v>3104502</v>
      </c>
      <c r="C85" t="s">
        <v>17</v>
      </c>
      <c r="D85">
        <v>2018</v>
      </c>
      <c r="E85" s="7">
        <v>8624.51</v>
      </c>
      <c r="F85" s="8">
        <v>11452.774246158795</v>
      </c>
      <c r="G85" s="7">
        <v>11784.99</v>
      </c>
      <c r="H85" s="7">
        <v>15649.682180444268</v>
      </c>
    </row>
    <row r="86" spans="1:8" x14ac:dyDescent="0.35">
      <c r="A86">
        <v>310450</v>
      </c>
      <c r="B86">
        <v>3104502</v>
      </c>
      <c r="C86" t="s">
        <v>17</v>
      </c>
      <c r="D86">
        <v>2019</v>
      </c>
      <c r="E86" s="7">
        <v>9062.51</v>
      </c>
      <c r="F86" s="8">
        <v>11537.58321652178</v>
      </c>
      <c r="G86" s="7">
        <v>12062.53</v>
      </c>
      <c r="H86" s="7">
        <v>15356.947619201159</v>
      </c>
    </row>
    <row r="87" spans="1:8" x14ac:dyDescent="0.35">
      <c r="A87">
        <v>310450</v>
      </c>
      <c r="B87">
        <v>3104502</v>
      </c>
      <c r="C87" t="s">
        <v>17</v>
      </c>
      <c r="D87">
        <v>2020</v>
      </c>
      <c r="E87" s="7">
        <v>9198.74</v>
      </c>
      <c r="F87" s="8">
        <v>11204.845111723756</v>
      </c>
      <c r="G87" s="7">
        <v>10173.75</v>
      </c>
      <c r="H87" s="7">
        <v>12392.492306189393</v>
      </c>
    </row>
    <row r="88" spans="1:8" x14ac:dyDescent="0.35">
      <c r="A88">
        <v>310450</v>
      </c>
      <c r="B88">
        <v>3104502</v>
      </c>
      <c r="C88" t="s">
        <v>17</v>
      </c>
      <c r="D88">
        <v>2021</v>
      </c>
      <c r="E88" s="7">
        <v>9804.4599999999991</v>
      </c>
      <c r="F88" s="8">
        <v>10850.951102313056</v>
      </c>
      <c r="G88" s="7">
        <v>8963.67</v>
      </c>
      <c r="H88" s="7">
        <v>9920.4179658240464</v>
      </c>
    </row>
    <row r="89" spans="1:8" x14ac:dyDescent="0.35">
      <c r="A89">
        <v>310450</v>
      </c>
      <c r="B89">
        <v>3104502</v>
      </c>
      <c r="C89" s="9" t="s">
        <v>17</v>
      </c>
      <c r="D89">
        <v>2022</v>
      </c>
      <c r="E89" s="7">
        <v>16453.150000000001</v>
      </c>
      <c r="F89" s="8">
        <v>17213.481323321121</v>
      </c>
      <c r="G89" s="7">
        <v>18273.531695724025</v>
      </c>
      <c r="H89" s="7">
        <v>19117.986316022281</v>
      </c>
    </row>
    <row r="90" spans="1:8" x14ac:dyDescent="0.35">
      <c r="A90">
        <v>310450</v>
      </c>
      <c r="B90">
        <v>3104502</v>
      </c>
      <c r="C90" t="s">
        <v>17</v>
      </c>
      <c r="D90">
        <v>2023</v>
      </c>
      <c r="E90" s="7">
        <v>18313.72</v>
      </c>
      <c r="F90" s="8">
        <v>18313.72</v>
      </c>
      <c r="G90" s="7">
        <v>23443.17</v>
      </c>
      <c r="H90" s="7">
        <v>23443.172967130035</v>
      </c>
    </row>
    <row r="91" spans="1:8" x14ac:dyDescent="0.35">
      <c r="A91">
        <v>310450</v>
      </c>
      <c r="B91">
        <v>3104502</v>
      </c>
      <c r="C91" t="s">
        <v>17</v>
      </c>
      <c r="D91">
        <v>2024</v>
      </c>
      <c r="E91" s="7">
        <v>19718.54</v>
      </c>
      <c r="F91" s="8">
        <v>18809.80148240265</v>
      </c>
      <c r="G91" s="7">
        <v>24937.439999999999</v>
      </c>
      <c r="H91" s="7">
        <v>23788.182377090772</v>
      </c>
    </row>
    <row r="92" spans="1:8" x14ac:dyDescent="0.35">
      <c r="A92">
        <v>310470</v>
      </c>
      <c r="B92">
        <v>3104700</v>
      </c>
      <c r="C92" t="s">
        <v>18</v>
      </c>
      <c r="D92">
        <v>2015</v>
      </c>
      <c r="E92" s="7">
        <v>7240.53</v>
      </c>
      <c r="F92" s="8">
        <v>10914.802830318016</v>
      </c>
      <c r="G92" s="7">
        <v>9064.4699999999993</v>
      </c>
      <c r="H92" s="7">
        <v>13664.318767442403</v>
      </c>
    </row>
    <row r="93" spans="1:8" x14ac:dyDescent="0.35">
      <c r="A93">
        <v>310470</v>
      </c>
      <c r="B93">
        <v>3104700</v>
      </c>
      <c r="C93" t="s">
        <v>18</v>
      </c>
      <c r="D93">
        <v>2016</v>
      </c>
      <c r="E93" s="7">
        <v>10166.299999999999</v>
      </c>
      <c r="F93" s="8">
        <v>14418.639110706285</v>
      </c>
      <c r="G93" s="7">
        <v>12353.36</v>
      </c>
      <c r="H93" s="7">
        <v>17520.503474529531</v>
      </c>
    </row>
    <row r="94" spans="1:8" x14ac:dyDescent="0.35">
      <c r="A94">
        <v>310470</v>
      </c>
      <c r="B94">
        <v>3104700</v>
      </c>
      <c r="C94" t="s">
        <v>18</v>
      </c>
      <c r="D94">
        <v>2017</v>
      </c>
      <c r="E94" s="7">
        <v>9947.9599999999991</v>
      </c>
      <c r="F94" s="8">
        <v>13705.027403701037</v>
      </c>
      <c r="G94" s="7">
        <v>12845.73</v>
      </c>
      <c r="H94" s="7">
        <v>17697.199441239249</v>
      </c>
    </row>
    <row r="95" spans="1:8" x14ac:dyDescent="0.35">
      <c r="A95">
        <v>310470</v>
      </c>
      <c r="B95">
        <v>3104700</v>
      </c>
      <c r="C95" t="s">
        <v>18</v>
      </c>
      <c r="D95">
        <v>2018</v>
      </c>
      <c r="E95" s="7">
        <v>12567.65</v>
      </c>
      <c r="F95" s="8">
        <v>16689.001259751287</v>
      </c>
      <c r="G95" s="7">
        <v>11754.39</v>
      </c>
      <c r="H95" s="7">
        <v>15609.048842528939</v>
      </c>
    </row>
    <row r="96" spans="1:8" x14ac:dyDescent="0.35">
      <c r="A96">
        <v>310470</v>
      </c>
      <c r="B96">
        <v>3104700</v>
      </c>
      <c r="C96" t="s">
        <v>18</v>
      </c>
      <c r="D96">
        <v>2019</v>
      </c>
      <c r="E96" s="7">
        <v>10714.64</v>
      </c>
      <c r="F96" s="8">
        <v>13640.928466293877</v>
      </c>
      <c r="G96" s="7">
        <v>12441.86</v>
      </c>
      <c r="H96" s="7">
        <v>15839.867707823125</v>
      </c>
    </row>
    <row r="97" spans="1:8" x14ac:dyDescent="0.35">
      <c r="A97">
        <v>310470</v>
      </c>
      <c r="B97">
        <v>3104700</v>
      </c>
      <c r="C97" t="s">
        <v>18</v>
      </c>
      <c r="D97">
        <v>2020</v>
      </c>
      <c r="E97" s="7">
        <v>12851.98</v>
      </c>
      <c r="F97" s="8">
        <v>15654.801122650655</v>
      </c>
      <c r="G97" s="7">
        <v>11106.47</v>
      </c>
      <c r="H97" s="7">
        <v>13528.617819101206</v>
      </c>
    </row>
    <row r="98" spans="1:8" x14ac:dyDescent="0.35">
      <c r="A98">
        <v>310470</v>
      </c>
      <c r="B98">
        <v>3104700</v>
      </c>
      <c r="C98" t="s">
        <v>18</v>
      </c>
      <c r="D98">
        <v>2021</v>
      </c>
      <c r="E98" s="7">
        <v>10120.36</v>
      </c>
      <c r="F98" s="8">
        <v>11200.56907752237</v>
      </c>
      <c r="G98" s="7">
        <v>8862.68</v>
      </c>
      <c r="H98" s="7">
        <v>9808.6502624287004</v>
      </c>
    </row>
    <row r="99" spans="1:8" x14ac:dyDescent="0.35">
      <c r="A99">
        <v>310470</v>
      </c>
      <c r="B99">
        <v>3104700</v>
      </c>
      <c r="C99" t="s">
        <v>18</v>
      </c>
      <c r="D99">
        <v>2022</v>
      </c>
      <c r="E99" s="7">
        <v>12792.76</v>
      </c>
      <c r="F99" s="8">
        <v>13383.937746494104</v>
      </c>
      <c r="G99" s="7">
        <v>14370.42</v>
      </c>
      <c r="H99" s="7">
        <v>15034.504163240746</v>
      </c>
    </row>
    <row r="100" spans="1:8" x14ac:dyDescent="0.35">
      <c r="A100">
        <v>310470</v>
      </c>
      <c r="B100">
        <v>3104700</v>
      </c>
      <c r="C100" t="s">
        <v>18</v>
      </c>
      <c r="D100">
        <v>2023</v>
      </c>
      <c r="E100" s="7">
        <v>14593.83</v>
      </c>
      <c r="F100" s="8">
        <v>14593.83</v>
      </c>
      <c r="G100" s="7">
        <v>17720.62</v>
      </c>
      <c r="H100" s="7">
        <v>17720.616618473414</v>
      </c>
    </row>
    <row r="101" spans="1:8" x14ac:dyDescent="0.35">
      <c r="A101">
        <v>310470</v>
      </c>
      <c r="B101">
        <v>3104700</v>
      </c>
      <c r="C101" t="s">
        <v>18</v>
      </c>
      <c r="D101">
        <v>2024</v>
      </c>
      <c r="E101" s="7">
        <v>15763.11</v>
      </c>
      <c r="F101" s="8">
        <v>15036.659400000002</v>
      </c>
      <c r="G101" s="7">
        <v>22675.38</v>
      </c>
      <c r="H101" s="7">
        <v>21630.374604272616</v>
      </c>
    </row>
    <row r="102" spans="1:8" x14ac:dyDescent="0.35">
      <c r="A102">
        <v>310520</v>
      </c>
      <c r="B102">
        <v>3105202</v>
      </c>
      <c r="C102" t="s">
        <v>19</v>
      </c>
      <c r="D102">
        <v>2015</v>
      </c>
      <c r="E102" s="7">
        <v>6875.38</v>
      </c>
      <c r="F102" s="8">
        <v>10364.354140306288</v>
      </c>
      <c r="G102" s="7">
        <v>6079.36</v>
      </c>
      <c r="H102" s="7">
        <v>9164.3912700340479</v>
      </c>
    </row>
    <row r="103" spans="1:8" x14ac:dyDescent="0.35">
      <c r="A103">
        <v>310520</v>
      </c>
      <c r="B103">
        <v>3105202</v>
      </c>
      <c r="C103" t="s">
        <v>19</v>
      </c>
      <c r="D103">
        <v>2016</v>
      </c>
      <c r="E103" s="7">
        <v>5975.19</v>
      </c>
      <c r="F103" s="8">
        <v>8474.4802167849739</v>
      </c>
      <c r="G103" s="7">
        <v>7214.44</v>
      </c>
      <c r="H103" s="7">
        <v>10232.078237655116</v>
      </c>
    </row>
    <row r="104" spans="1:8" x14ac:dyDescent="0.35">
      <c r="A104">
        <v>310520</v>
      </c>
      <c r="B104">
        <v>3105202</v>
      </c>
      <c r="C104" t="s">
        <v>19</v>
      </c>
      <c r="D104">
        <v>2017</v>
      </c>
      <c r="E104" s="7">
        <v>6198.15</v>
      </c>
      <c r="F104" s="8">
        <v>8539.0186130874645</v>
      </c>
      <c r="G104" s="7">
        <v>7260.08</v>
      </c>
      <c r="H104" s="7">
        <v>10002.006459051088</v>
      </c>
    </row>
    <row r="105" spans="1:8" x14ac:dyDescent="0.35">
      <c r="A105">
        <v>310520</v>
      </c>
      <c r="B105">
        <v>3105202</v>
      </c>
      <c r="C105" t="s">
        <v>19</v>
      </c>
      <c r="D105">
        <v>2018</v>
      </c>
      <c r="E105" s="7">
        <v>5713.88</v>
      </c>
      <c r="F105" s="8">
        <v>7587.6516706041048</v>
      </c>
      <c r="G105" s="7">
        <v>7381.01</v>
      </c>
      <c r="H105" s="7">
        <v>9801.4851964745358</v>
      </c>
    </row>
    <row r="106" spans="1:8" x14ac:dyDescent="0.35">
      <c r="A106">
        <v>310520</v>
      </c>
      <c r="B106">
        <v>3105202</v>
      </c>
      <c r="C106" t="s">
        <v>19</v>
      </c>
      <c r="D106">
        <v>2019</v>
      </c>
      <c r="E106" s="7">
        <v>6361.65</v>
      </c>
      <c r="F106" s="8">
        <v>8099.0880307316384</v>
      </c>
      <c r="G106" s="7">
        <v>9976.4699999999993</v>
      </c>
      <c r="H106" s="7">
        <v>12701.158110430646</v>
      </c>
    </row>
    <row r="107" spans="1:8" x14ac:dyDescent="0.35">
      <c r="A107">
        <v>310520</v>
      </c>
      <c r="B107">
        <v>3105202</v>
      </c>
      <c r="C107" t="s">
        <v>19</v>
      </c>
      <c r="D107">
        <v>2020</v>
      </c>
      <c r="E107" s="7">
        <v>10067.35</v>
      </c>
      <c r="F107" s="8">
        <v>12262.885725165856</v>
      </c>
      <c r="G107" s="7">
        <v>9437.59</v>
      </c>
      <c r="H107" s="7">
        <v>11495.780066636991</v>
      </c>
    </row>
    <row r="108" spans="1:8" x14ac:dyDescent="0.35">
      <c r="A108">
        <v>310520</v>
      </c>
      <c r="B108">
        <v>3105202</v>
      </c>
      <c r="C108" t="s">
        <v>19</v>
      </c>
      <c r="D108">
        <v>2021</v>
      </c>
      <c r="E108" s="7">
        <v>12757.97</v>
      </c>
      <c r="F108" s="8">
        <v>14119.707626404403</v>
      </c>
      <c r="G108" s="7">
        <v>11141.76</v>
      </c>
      <c r="H108" s="7">
        <v>12330.989737734253</v>
      </c>
    </row>
    <row r="109" spans="1:8" x14ac:dyDescent="0.35">
      <c r="A109">
        <v>310520</v>
      </c>
      <c r="B109">
        <v>3105202</v>
      </c>
      <c r="C109" t="s">
        <v>19</v>
      </c>
      <c r="D109">
        <v>2022</v>
      </c>
      <c r="E109" s="7">
        <v>14813.54</v>
      </c>
      <c r="F109" s="8">
        <v>15498.101829878797</v>
      </c>
      <c r="G109" s="7">
        <v>20400.66</v>
      </c>
      <c r="H109" s="7">
        <v>21343.412661738537</v>
      </c>
    </row>
    <row r="110" spans="1:8" x14ac:dyDescent="0.35">
      <c r="A110">
        <v>310520</v>
      </c>
      <c r="B110">
        <v>3105202</v>
      </c>
      <c r="C110" t="s">
        <v>19</v>
      </c>
      <c r="D110">
        <v>2023</v>
      </c>
      <c r="E110" s="7">
        <v>17658.97</v>
      </c>
      <c r="F110" s="8">
        <v>17658.97</v>
      </c>
      <c r="G110" s="7">
        <v>27353.040000000001</v>
      </c>
      <c r="H110" s="7">
        <v>27353.035264538787</v>
      </c>
    </row>
    <row r="111" spans="1:8" x14ac:dyDescent="0.35">
      <c r="A111">
        <v>310520</v>
      </c>
      <c r="B111">
        <v>3105202</v>
      </c>
      <c r="C111" t="s">
        <v>19</v>
      </c>
      <c r="D111">
        <v>2024</v>
      </c>
      <c r="E111" s="7">
        <v>20594.43</v>
      </c>
      <c r="F111" s="8">
        <v>19645.325665248929</v>
      </c>
      <c r="G111" s="7">
        <v>25600.29</v>
      </c>
      <c r="H111" s="7">
        <v>24420.491508308573</v>
      </c>
    </row>
    <row r="112" spans="1:8" x14ac:dyDescent="0.35">
      <c r="A112">
        <v>310665</v>
      </c>
      <c r="B112">
        <v>3106655</v>
      </c>
      <c r="C112" t="s">
        <v>20</v>
      </c>
      <c r="D112">
        <v>2015</v>
      </c>
      <c r="E112" s="7">
        <v>7808.29</v>
      </c>
      <c r="F112" s="8">
        <v>11770.677808384726</v>
      </c>
      <c r="G112" s="7">
        <v>8202.92</v>
      </c>
      <c r="H112" s="7">
        <v>12365.56433208033</v>
      </c>
    </row>
    <row r="113" spans="1:8" x14ac:dyDescent="0.35">
      <c r="A113">
        <v>310665</v>
      </c>
      <c r="B113">
        <v>3106655</v>
      </c>
      <c r="C113" t="s">
        <v>20</v>
      </c>
      <c r="D113">
        <v>2016</v>
      </c>
      <c r="E113" s="7">
        <v>6868.96</v>
      </c>
      <c r="F113" s="8">
        <v>9742.0944990682001</v>
      </c>
      <c r="G113" s="7">
        <v>8305.0400000000009</v>
      </c>
      <c r="H113" s="7">
        <v>11778.848836384055</v>
      </c>
    </row>
    <row r="114" spans="1:8" x14ac:dyDescent="0.35">
      <c r="A114">
        <v>310665</v>
      </c>
      <c r="B114">
        <v>3106655</v>
      </c>
      <c r="C114" t="s">
        <v>20</v>
      </c>
      <c r="D114">
        <v>2017</v>
      </c>
      <c r="E114" s="7">
        <v>6323.38</v>
      </c>
      <c r="F114" s="8">
        <v>8711.5444959584747</v>
      </c>
      <c r="G114" s="7">
        <v>8137.54</v>
      </c>
      <c r="H114" s="7">
        <v>11210.867193723514</v>
      </c>
    </row>
    <row r="115" spans="1:8" x14ac:dyDescent="0.35">
      <c r="A115">
        <v>310665</v>
      </c>
      <c r="B115">
        <v>3106655</v>
      </c>
      <c r="C115" t="s">
        <v>20</v>
      </c>
      <c r="D115">
        <v>2018</v>
      </c>
      <c r="E115" s="7">
        <v>7486.89</v>
      </c>
      <c r="F115" s="8">
        <v>9942.0907362648795</v>
      </c>
      <c r="G115" s="7">
        <v>8847.7999999999993</v>
      </c>
      <c r="H115" s="7">
        <v>11749.286783202862</v>
      </c>
    </row>
    <row r="116" spans="1:8" x14ac:dyDescent="0.35">
      <c r="A116">
        <v>310665</v>
      </c>
      <c r="B116">
        <v>3106655</v>
      </c>
      <c r="C116" t="s">
        <v>20</v>
      </c>
      <c r="D116">
        <v>2019</v>
      </c>
      <c r="E116" s="7">
        <v>8607.99</v>
      </c>
      <c r="F116" s="8">
        <v>10958.928702091067</v>
      </c>
      <c r="G116" s="7">
        <v>9783.89</v>
      </c>
      <c r="H116" s="7">
        <v>12455.979517016951</v>
      </c>
    </row>
    <row r="117" spans="1:8" x14ac:dyDescent="0.35">
      <c r="A117">
        <v>310665</v>
      </c>
      <c r="B117">
        <v>3106655</v>
      </c>
      <c r="C117" t="s">
        <v>20</v>
      </c>
      <c r="D117">
        <v>2020</v>
      </c>
      <c r="E117" s="7">
        <v>7685.54</v>
      </c>
      <c r="F117" s="8">
        <v>9361.6392353689098</v>
      </c>
      <c r="G117" s="7">
        <v>9917.1299999999992</v>
      </c>
      <c r="H117" s="7">
        <v>12079.907491280344</v>
      </c>
    </row>
    <row r="118" spans="1:8" x14ac:dyDescent="0.35">
      <c r="A118">
        <v>310665</v>
      </c>
      <c r="B118">
        <v>3106655</v>
      </c>
      <c r="C118" t="s">
        <v>20</v>
      </c>
      <c r="D118">
        <v>2021</v>
      </c>
      <c r="E118" s="7">
        <v>12539.25</v>
      </c>
      <c r="F118" s="8">
        <v>13877.642278073346</v>
      </c>
      <c r="G118" s="7">
        <v>13168.39</v>
      </c>
      <c r="H118" s="7">
        <v>14573.935205890677</v>
      </c>
    </row>
    <row r="119" spans="1:8" x14ac:dyDescent="0.35">
      <c r="A119">
        <v>310665</v>
      </c>
      <c r="B119">
        <v>3106655</v>
      </c>
      <c r="C119" t="s">
        <v>20</v>
      </c>
      <c r="D119">
        <v>2022</v>
      </c>
      <c r="E119" s="7">
        <v>14932.56</v>
      </c>
      <c r="F119" s="8">
        <v>15622.621970222845</v>
      </c>
      <c r="G119" s="7">
        <v>18614.82</v>
      </c>
      <c r="H119" s="7">
        <v>19475.047494254643</v>
      </c>
    </row>
    <row r="120" spans="1:8" x14ac:dyDescent="0.35">
      <c r="A120">
        <v>310665</v>
      </c>
      <c r="B120">
        <v>3106655</v>
      </c>
      <c r="C120" t="s">
        <v>20</v>
      </c>
      <c r="D120">
        <v>2023</v>
      </c>
      <c r="E120" s="7">
        <v>17738.8</v>
      </c>
      <c r="F120" s="8">
        <v>17738.8</v>
      </c>
      <c r="G120" s="7">
        <v>22053.87</v>
      </c>
      <c r="H120" s="7">
        <v>22053.869445790482</v>
      </c>
    </row>
    <row r="121" spans="1:8" x14ac:dyDescent="0.35">
      <c r="A121">
        <v>310665</v>
      </c>
      <c r="B121">
        <v>3106655</v>
      </c>
      <c r="C121" t="s">
        <v>20</v>
      </c>
      <c r="D121">
        <v>2024</v>
      </c>
      <c r="E121" s="7">
        <v>19636.73</v>
      </c>
      <c r="F121" s="8">
        <v>18731.761736089007</v>
      </c>
      <c r="G121" s="7">
        <v>25418.6</v>
      </c>
      <c r="H121" s="7">
        <v>24247.172446613942</v>
      </c>
    </row>
    <row r="122" spans="1:8" x14ac:dyDescent="0.35">
      <c r="A122">
        <v>310730</v>
      </c>
      <c r="B122">
        <v>3107307</v>
      </c>
      <c r="C122" t="s">
        <v>21</v>
      </c>
      <c r="D122">
        <v>2015</v>
      </c>
      <c r="E122" s="7">
        <v>8841.15</v>
      </c>
      <c r="F122" s="8">
        <v>13327.672013411466</v>
      </c>
      <c r="G122" s="7">
        <v>7327.52</v>
      </c>
      <c r="H122" s="7">
        <v>11045.92929577297</v>
      </c>
    </row>
    <row r="123" spans="1:8" x14ac:dyDescent="0.35">
      <c r="A123">
        <v>310730</v>
      </c>
      <c r="B123">
        <v>3107307</v>
      </c>
      <c r="C123" t="s">
        <v>21</v>
      </c>
      <c r="D123">
        <v>2016</v>
      </c>
      <c r="E123" s="7">
        <v>6767.5</v>
      </c>
      <c r="F123" s="8">
        <v>9598.1960183847405</v>
      </c>
      <c r="G123" s="7">
        <v>9345.32</v>
      </c>
      <c r="H123" s="7">
        <v>13254.259728081859</v>
      </c>
    </row>
    <row r="124" spans="1:8" x14ac:dyDescent="0.35">
      <c r="A124">
        <v>310730</v>
      </c>
      <c r="B124">
        <v>3107307</v>
      </c>
      <c r="C124" t="s">
        <v>21</v>
      </c>
      <c r="D124">
        <v>2017</v>
      </c>
      <c r="E124" s="7">
        <v>9834.74</v>
      </c>
      <c r="F124" s="8">
        <v>13549.047363306119</v>
      </c>
      <c r="G124" s="7">
        <v>12701.53</v>
      </c>
      <c r="H124" s="7">
        <v>17498.546534908663</v>
      </c>
    </row>
    <row r="125" spans="1:8" x14ac:dyDescent="0.35">
      <c r="A125">
        <v>310730</v>
      </c>
      <c r="B125">
        <v>3107307</v>
      </c>
      <c r="C125" t="s">
        <v>21</v>
      </c>
      <c r="D125">
        <v>2018</v>
      </c>
      <c r="E125" s="7">
        <v>7064.15</v>
      </c>
      <c r="F125" s="8">
        <v>9380.7202021915036</v>
      </c>
      <c r="G125" s="7">
        <v>11842.57</v>
      </c>
      <c r="H125" s="7">
        <v>15726.146832788692</v>
      </c>
    </row>
    <row r="126" spans="1:8" x14ac:dyDescent="0.35">
      <c r="A126">
        <v>310730</v>
      </c>
      <c r="B126">
        <v>3107307</v>
      </c>
      <c r="C126" t="s">
        <v>21</v>
      </c>
      <c r="D126">
        <v>2019</v>
      </c>
      <c r="E126" s="7">
        <v>6473.83</v>
      </c>
      <c r="F126" s="8">
        <v>8241.9056480616509</v>
      </c>
      <c r="G126" s="7">
        <v>9913.5499999999993</v>
      </c>
      <c r="H126" s="7">
        <v>12621.054277696405</v>
      </c>
    </row>
    <row r="127" spans="1:8" x14ac:dyDescent="0.35">
      <c r="A127">
        <v>310730</v>
      </c>
      <c r="B127">
        <v>3107307</v>
      </c>
      <c r="C127" t="s">
        <v>21</v>
      </c>
      <c r="D127">
        <v>2020</v>
      </c>
      <c r="E127" s="7">
        <v>7605.76</v>
      </c>
      <c r="F127" s="8">
        <v>9264.4604322922569</v>
      </c>
      <c r="G127" s="7">
        <v>10370.879999999999</v>
      </c>
      <c r="H127" s="7">
        <v>12632.608167232282</v>
      </c>
    </row>
    <row r="128" spans="1:8" x14ac:dyDescent="0.35">
      <c r="A128">
        <v>310730</v>
      </c>
      <c r="B128">
        <v>3107307</v>
      </c>
      <c r="C128" t="s">
        <v>21</v>
      </c>
      <c r="D128">
        <v>2021</v>
      </c>
      <c r="E128" s="7">
        <v>12668.44</v>
      </c>
      <c r="F128" s="8">
        <v>14020.621531689336</v>
      </c>
      <c r="G128" s="7">
        <v>12294.86</v>
      </c>
      <c r="H128" s="7">
        <v>13607.164469555182</v>
      </c>
    </row>
    <row r="129" spans="1:8" x14ac:dyDescent="0.35">
      <c r="A129">
        <v>310730</v>
      </c>
      <c r="B129">
        <v>3107307</v>
      </c>
      <c r="C129" t="s">
        <v>21</v>
      </c>
      <c r="D129">
        <v>2022</v>
      </c>
      <c r="E129" s="7">
        <v>16188.69</v>
      </c>
      <c r="F129" s="8">
        <v>16936.80012423368</v>
      </c>
      <c r="G129" s="7">
        <v>21168.9</v>
      </c>
      <c r="H129" s="7">
        <v>22147.152635945553</v>
      </c>
    </row>
    <row r="130" spans="1:8" x14ac:dyDescent="0.35">
      <c r="A130">
        <v>310730</v>
      </c>
      <c r="B130">
        <v>3107307</v>
      </c>
      <c r="C130" t="s">
        <v>21</v>
      </c>
      <c r="D130">
        <v>2023</v>
      </c>
      <c r="E130" s="7">
        <v>16288.88</v>
      </c>
      <c r="F130" s="8">
        <v>16288.88</v>
      </c>
      <c r="G130" s="7">
        <v>21246.42</v>
      </c>
      <c r="H130" s="7">
        <v>21246.418347743966</v>
      </c>
    </row>
    <row r="131" spans="1:8" x14ac:dyDescent="0.35">
      <c r="A131">
        <v>310730</v>
      </c>
      <c r="B131">
        <v>3107307</v>
      </c>
      <c r="C131" t="s">
        <v>21</v>
      </c>
      <c r="D131">
        <v>2024</v>
      </c>
      <c r="E131" s="7">
        <v>20036.099999999999</v>
      </c>
      <c r="F131" s="8">
        <v>19112.726575170764</v>
      </c>
      <c r="G131" s="7">
        <v>26300.43</v>
      </c>
      <c r="H131" s="7">
        <v>25088.361616430961</v>
      </c>
    </row>
    <row r="132" spans="1:8" x14ac:dyDescent="0.35">
      <c r="A132">
        <v>310820</v>
      </c>
      <c r="B132">
        <v>3108206</v>
      </c>
      <c r="C132" t="s">
        <v>22</v>
      </c>
      <c r="D132">
        <v>2015</v>
      </c>
      <c r="E132" s="7">
        <v>5659.25</v>
      </c>
      <c r="F132" s="8">
        <v>8531.0879061998548</v>
      </c>
      <c r="G132" s="7">
        <v>5955.69</v>
      </c>
      <c r="H132" s="7">
        <v>8977.9567875575594</v>
      </c>
    </row>
    <row r="133" spans="1:8" x14ac:dyDescent="0.35">
      <c r="A133">
        <v>310820</v>
      </c>
      <c r="B133">
        <v>3108206</v>
      </c>
      <c r="C133" t="s">
        <v>22</v>
      </c>
      <c r="D133">
        <v>2016</v>
      </c>
      <c r="E133" s="7">
        <v>6228.75</v>
      </c>
      <c r="F133" s="8">
        <v>8834.0987734782339</v>
      </c>
      <c r="G133" s="7">
        <v>6869.02</v>
      </c>
      <c r="H133" s="7">
        <v>9742.1793713358365</v>
      </c>
    </row>
    <row r="134" spans="1:8" x14ac:dyDescent="0.35">
      <c r="A134">
        <v>310820</v>
      </c>
      <c r="B134">
        <v>3108206</v>
      </c>
      <c r="C134" t="s">
        <v>22</v>
      </c>
      <c r="D134">
        <v>2017</v>
      </c>
      <c r="E134" s="7">
        <v>5840.74</v>
      </c>
      <c r="F134" s="8">
        <v>8046.6248113073225</v>
      </c>
      <c r="G134" s="7">
        <v>6667.05</v>
      </c>
      <c r="H134" s="7">
        <v>9185.0053089952235</v>
      </c>
    </row>
    <row r="135" spans="1:8" x14ac:dyDescent="0.35">
      <c r="A135">
        <v>310820</v>
      </c>
      <c r="B135">
        <v>3108206</v>
      </c>
      <c r="C135" t="s">
        <v>22</v>
      </c>
      <c r="D135">
        <v>2018</v>
      </c>
      <c r="E135" s="7">
        <v>6276.49</v>
      </c>
      <c r="F135" s="8">
        <v>8334.7602389322074</v>
      </c>
      <c r="G135" s="7">
        <v>7507.87</v>
      </c>
      <c r="H135" s="7">
        <v>9969.9561619828928</v>
      </c>
    </row>
    <row r="136" spans="1:8" x14ac:dyDescent="0.35">
      <c r="A136">
        <v>310820</v>
      </c>
      <c r="B136">
        <v>3108206</v>
      </c>
      <c r="C136" t="s">
        <v>22</v>
      </c>
      <c r="D136">
        <v>2019</v>
      </c>
      <c r="E136" s="7">
        <v>6882.82</v>
      </c>
      <c r="F136" s="8">
        <v>8762.5954083736669</v>
      </c>
      <c r="G136" s="7">
        <v>8864.91</v>
      </c>
      <c r="H136" s="7">
        <v>11286.01625720208</v>
      </c>
    </row>
    <row r="137" spans="1:8" x14ac:dyDescent="0.35">
      <c r="A137">
        <v>310820</v>
      </c>
      <c r="B137">
        <v>3108206</v>
      </c>
      <c r="C137" t="s">
        <v>22</v>
      </c>
      <c r="D137">
        <v>2020</v>
      </c>
      <c r="E137" s="7">
        <v>7238.14</v>
      </c>
      <c r="F137" s="8">
        <v>8816.6681085640193</v>
      </c>
      <c r="G137" s="7">
        <v>7586.78</v>
      </c>
      <c r="H137" s="7">
        <v>9241.3451087042904</v>
      </c>
    </row>
    <row r="138" spans="1:8" x14ac:dyDescent="0.35">
      <c r="A138">
        <v>310820</v>
      </c>
      <c r="B138">
        <v>3108206</v>
      </c>
      <c r="C138" t="s">
        <v>22</v>
      </c>
      <c r="D138">
        <v>2021</v>
      </c>
      <c r="E138" s="7">
        <v>10138.75</v>
      </c>
      <c r="F138" s="8">
        <v>11220.921956800936</v>
      </c>
      <c r="G138" s="7">
        <v>8282.98</v>
      </c>
      <c r="H138" s="7">
        <v>9167.069725420808</v>
      </c>
    </row>
    <row r="139" spans="1:8" x14ac:dyDescent="0.35">
      <c r="A139">
        <v>310820</v>
      </c>
      <c r="B139">
        <v>3108206</v>
      </c>
      <c r="C139" t="s">
        <v>22</v>
      </c>
      <c r="D139">
        <v>2022</v>
      </c>
      <c r="E139" s="7">
        <v>13002.27</v>
      </c>
      <c r="F139" s="8">
        <v>13603.129601673751</v>
      </c>
      <c r="G139" s="7">
        <v>13178.83</v>
      </c>
      <c r="H139" s="7">
        <v>13787.845055550659</v>
      </c>
    </row>
    <row r="140" spans="1:8" x14ac:dyDescent="0.35">
      <c r="A140">
        <v>310820</v>
      </c>
      <c r="B140">
        <v>3108206</v>
      </c>
      <c r="C140" t="s">
        <v>22</v>
      </c>
      <c r="D140">
        <v>2023</v>
      </c>
      <c r="E140" s="7">
        <v>13242.35</v>
      </c>
      <c r="F140" s="8">
        <v>13242.35</v>
      </c>
      <c r="G140" s="7">
        <v>17338.96</v>
      </c>
      <c r="H140" s="7">
        <v>17338.959556402624</v>
      </c>
    </row>
    <row r="141" spans="1:8" x14ac:dyDescent="0.35">
      <c r="A141">
        <v>310820</v>
      </c>
      <c r="B141">
        <v>3108206</v>
      </c>
      <c r="C141" t="s">
        <v>22</v>
      </c>
      <c r="D141">
        <v>2024</v>
      </c>
      <c r="E141" s="7">
        <v>15907.93</v>
      </c>
      <c r="F141" s="8">
        <v>15174.805299781707</v>
      </c>
      <c r="G141" s="7">
        <v>19408.87</v>
      </c>
      <c r="H141" s="7">
        <v>18514.404299255737</v>
      </c>
    </row>
    <row r="142" spans="1:8" x14ac:dyDescent="0.35">
      <c r="A142">
        <v>310860</v>
      </c>
      <c r="B142">
        <v>3108602</v>
      </c>
      <c r="C142" t="s">
        <v>23</v>
      </c>
      <c r="D142">
        <v>2015</v>
      </c>
      <c r="E142" s="7">
        <v>9768.6200000000008</v>
      </c>
      <c r="F142" s="8">
        <v>14725.79510399117</v>
      </c>
      <c r="G142" s="7">
        <v>7570.81</v>
      </c>
      <c r="H142" s="7">
        <v>11412.683571014773</v>
      </c>
    </row>
    <row r="143" spans="1:8" x14ac:dyDescent="0.35">
      <c r="A143">
        <v>310860</v>
      </c>
      <c r="B143">
        <v>3108602</v>
      </c>
      <c r="C143" t="s">
        <v>23</v>
      </c>
      <c r="D143">
        <v>2016</v>
      </c>
      <c r="E143" s="7">
        <v>8023.8</v>
      </c>
      <c r="F143" s="8">
        <v>11379.978605440041</v>
      </c>
      <c r="G143" s="7">
        <v>9490.4500000000007</v>
      </c>
      <c r="H143" s="7">
        <v>13460.100329891602</v>
      </c>
    </row>
    <row r="144" spans="1:8" x14ac:dyDescent="0.35">
      <c r="A144">
        <v>310860</v>
      </c>
      <c r="B144">
        <v>3108602</v>
      </c>
      <c r="C144" t="s">
        <v>23</v>
      </c>
      <c r="D144">
        <v>2017</v>
      </c>
      <c r="E144" s="7">
        <v>9611.16</v>
      </c>
      <c r="F144" s="8">
        <v>13241.027424854468</v>
      </c>
      <c r="G144" s="7">
        <v>10793.5</v>
      </c>
      <c r="H144" s="7">
        <v>14869.90815774164</v>
      </c>
    </row>
    <row r="145" spans="1:8" x14ac:dyDescent="0.35">
      <c r="A145">
        <v>310860</v>
      </c>
      <c r="B145">
        <v>3108602</v>
      </c>
      <c r="C145" t="s">
        <v>23</v>
      </c>
      <c r="D145">
        <v>2018</v>
      </c>
      <c r="E145" s="7">
        <v>12183.98</v>
      </c>
      <c r="F145" s="8">
        <v>16179.513080709956</v>
      </c>
      <c r="G145" s="7">
        <v>13394.67</v>
      </c>
      <c r="H145" s="7">
        <v>17787.235142943853</v>
      </c>
    </row>
    <row r="146" spans="1:8" x14ac:dyDescent="0.35">
      <c r="A146">
        <v>310860</v>
      </c>
      <c r="B146">
        <v>3108602</v>
      </c>
      <c r="C146" t="s">
        <v>23</v>
      </c>
      <c r="D146">
        <v>2019</v>
      </c>
      <c r="E146" s="7">
        <v>11771.4</v>
      </c>
      <c r="F146" s="8">
        <v>14986.30148545651</v>
      </c>
      <c r="G146" s="7">
        <v>14198.17</v>
      </c>
      <c r="H146" s="7">
        <v>18075.849285093442</v>
      </c>
    </row>
    <row r="147" spans="1:8" x14ac:dyDescent="0.35">
      <c r="A147">
        <v>310860</v>
      </c>
      <c r="B147">
        <v>3108602</v>
      </c>
      <c r="C147" t="s">
        <v>23</v>
      </c>
      <c r="D147">
        <v>2020</v>
      </c>
      <c r="E147" s="7">
        <v>13056.13</v>
      </c>
      <c r="F147" s="8">
        <v>15903.47312876871</v>
      </c>
      <c r="G147" s="7">
        <v>8502.43</v>
      </c>
      <c r="H147" s="7">
        <v>10356.684101258981</v>
      </c>
    </row>
    <row r="148" spans="1:8" x14ac:dyDescent="0.35">
      <c r="A148">
        <v>310860</v>
      </c>
      <c r="B148">
        <v>3108602</v>
      </c>
      <c r="C148" t="s">
        <v>23</v>
      </c>
      <c r="D148">
        <v>2021</v>
      </c>
      <c r="E148" s="7">
        <v>12107.12</v>
      </c>
      <c r="F148" s="8">
        <v>13399.388350795094</v>
      </c>
      <c r="G148" s="7">
        <v>8678.44</v>
      </c>
      <c r="H148" s="7">
        <v>9604.7447312907898</v>
      </c>
    </row>
    <row r="149" spans="1:8" x14ac:dyDescent="0.35">
      <c r="A149">
        <v>310860</v>
      </c>
      <c r="B149">
        <v>3108602</v>
      </c>
      <c r="C149" t="s">
        <v>23</v>
      </c>
      <c r="D149">
        <v>2022</v>
      </c>
      <c r="E149" s="7">
        <v>16547.189999999999</v>
      </c>
      <c r="F149" s="8">
        <v>17311.867090401895</v>
      </c>
      <c r="G149" s="7">
        <v>18786.259999999998</v>
      </c>
      <c r="H149" s="7">
        <v>19654.405165683325</v>
      </c>
    </row>
    <row r="150" spans="1:8" x14ac:dyDescent="0.35">
      <c r="A150">
        <v>310860</v>
      </c>
      <c r="B150">
        <v>3108602</v>
      </c>
      <c r="C150" t="s">
        <v>23</v>
      </c>
      <c r="D150">
        <v>2023</v>
      </c>
      <c r="E150" s="7">
        <v>15800.88</v>
      </c>
      <c r="F150" s="8">
        <v>15800.88</v>
      </c>
      <c r="G150" s="7">
        <v>19510.98</v>
      </c>
      <c r="H150" s="7">
        <v>19510.977275922116</v>
      </c>
    </row>
    <row r="151" spans="1:8" x14ac:dyDescent="0.35">
      <c r="A151">
        <v>310860</v>
      </c>
      <c r="B151">
        <v>3108602</v>
      </c>
      <c r="C151" t="s">
        <v>23</v>
      </c>
      <c r="D151">
        <v>2024</v>
      </c>
      <c r="E151" s="7">
        <v>20407.7</v>
      </c>
      <c r="F151" s="8">
        <v>19467.201208224775</v>
      </c>
      <c r="G151" s="7">
        <v>24909.279999999999</v>
      </c>
      <c r="H151" s="7">
        <v>23761.319501652633</v>
      </c>
    </row>
    <row r="152" spans="1:8" x14ac:dyDescent="0.35">
      <c r="A152">
        <v>310920</v>
      </c>
      <c r="B152">
        <v>3109204</v>
      </c>
      <c r="C152" t="s">
        <v>24</v>
      </c>
      <c r="D152">
        <v>2015</v>
      </c>
      <c r="E152" s="7">
        <v>5771.39</v>
      </c>
      <c r="F152" s="8">
        <v>8700.1343695653632</v>
      </c>
      <c r="G152" s="7">
        <v>5731.74</v>
      </c>
      <c r="H152" s="7">
        <v>8640.3572366824046</v>
      </c>
    </row>
    <row r="153" spans="1:8" x14ac:dyDescent="0.35">
      <c r="A153">
        <v>310920</v>
      </c>
      <c r="B153">
        <v>3109204</v>
      </c>
      <c r="C153" t="s">
        <v>24</v>
      </c>
      <c r="D153">
        <v>2016</v>
      </c>
      <c r="E153" s="7">
        <v>6040.11</v>
      </c>
      <c r="F153" s="8">
        <v>8566.5548212199265</v>
      </c>
      <c r="G153" s="7">
        <v>5933.24</v>
      </c>
      <c r="H153" s="7">
        <v>8414.9776514087316</v>
      </c>
    </row>
    <row r="154" spans="1:8" x14ac:dyDescent="0.35">
      <c r="A154">
        <v>310920</v>
      </c>
      <c r="B154">
        <v>3109204</v>
      </c>
      <c r="C154" t="s">
        <v>24</v>
      </c>
      <c r="D154">
        <v>2017</v>
      </c>
      <c r="E154" s="7">
        <v>6519.79</v>
      </c>
      <c r="F154" s="8">
        <v>8982.1330821973534</v>
      </c>
      <c r="G154" s="7">
        <v>6878.21</v>
      </c>
      <c r="H154" s="7">
        <v>9475.919906387875</v>
      </c>
    </row>
    <row r="155" spans="1:8" x14ac:dyDescent="0.35">
      <c r="A155">
        <v>310920</v>
      </c>
      <c r="B155">
        <v>3109204</v>
      </c>
      <c r="C155" t="s">
        <v>24</v>
      </c>
      <c r="D155">
        <v>2018</v>
      </c>
      <c r="E155" s="7">
        <v>6359.48</v>
      </c>
      <c r="F155" s="8">
        <v>8444.9654256255635</v>
      </c>
      <c r="G155" s="7">
        <v>6999.62</v>
      </c>
      <c r="H155" s="7">
        <v>9295.0299639814039</v>
      </c>
    </row>
    <row r="156" spans="1:8" x14ac:dyDescent="0.35">
      <c r="A156">
        <v>310920</v>
      </c>
      <c r="B156">
        <v>3109204</v>
      </c>
      <c r="C156" t="s">
        <v>24</v>
      </c>
      <c r="D156">
        <v>2019</v>
      </c>
      <c r="E156" s="7">
        <v>7754.33</v>
      </c>
      <c r="F156" s="8">
        <v>9872.1245729242055</v>
      </c>
      <c r="G156" s="7">
        <v>7820.87</v>
      </c>
      <c r="H156" s="7">
        <v>9956.8334095591636</v>
      </c>
    </row>
    <row r="157" spans="1:8" x14ac:dyDescent="0.35">
      <c r="A157">
        <v>310920</v>
      </c>
      <c r="B157">
        <v>3109204</v>
      </c>
      <c r="C157" t="s">
        <v>24</v>
      </c>
      <c r="D157">
        <v>2020</v>
      </c>
      <c r="E157" s="7">
        <v>8775.1299999999992</v>
      </c>
      <c r="F157" s="8">
        <v>10688.852221634754</v>
      </c>
      <c r="G157" s="7">
        <v>6986.37</v>
      </c>
      <c r="H157" s="7">
        <v>8509.9881464596692</v>
      </c>
    </row>
    <row r="158" spans="1:8" x14ac:dyDescent="0.35">
      <c r="A158">
        <v>310920</v>
      </c>
      <c r="B158">
        <v>3109204</v>
      </c>
      <c r="C158" t="s">
        <v>24</v>
      </c>
      <c r="D158">
        <v>2021</v>
      </c>
      <c r="E158" s="7">
        <v>9924.23</v>
      </c>
      <c r="F158" s="8">
        <v>10983.504900637905</v>
      </c>
      <c r="G158" s="7">
        <v>8026.08</v>
      </c>
      <c r="H158" s="7">
        <v>8882.7495825098304</v>
      </c>
    </row>
    <row r="159" spans="1:8" x14ac:dyDescent="0.35">
      <c r="A159">
        <v>310920</v>
      </c>
      <c r="B159">
        <v>3109204</v>
      </c>
      <c r="C159" t="s">
        <v>24</v>
      </c>
      <c r="D159">
        <v>2022</v>
      </c>
      <c r="E159" s="7">
        <v>11782.16</v>
      </c>
      <c r="F159" s="8">
        <v>12326.636000302748</v>
      </c>
      <c r="G159" s="7">
        <v>12907.14</v>
      </c>
      <c r="H159" s="7">
        <v>13503.608621187726</v>
      </c>
    </row>
    <row r="160" spans="1:8" x14ac:dyDescent="0.35">
      <c r="A160">
        <v>310920</v>
      </c>
      <c r="B160">
        <v>3109204</v>
      </c>
      <c r="C160" t="s">
        <v>24</v>
      </c>
      <c r="D160">
        <v>2023</v>
      </c>
      <c r="E160" s="7">
        <v>10850.11</v>
      </c>
      <c r="F160" s="8">
        <v>10850.11</v>
      </c>
      <c r="G160" s="7">
        <v>19919.5</v>
      </c>
      <c r="H160" s="7">
        <v>19919.497512196976</v>
      </c>
    </row>
    <row r="161" spans="1:8" x14ac:dyDescent="0.35">
      <c r="A161">
        <v>310920</v>
      </c>
      <c r="B161">
        <v>3109204</v>
      </c>
      <c r="C161" t="s">
        <v>24</v>
      </c>
      <c r="D161">
        <v>2024</v>
      </c>
      <c r="E161" s="7">
        <v>12897.3</v>
      </c>
      <c r="F161" s="8">
        <v>12302.921649320471</v>
      </c>
      <c r="G161" s="7">
        <v>15994.18</v>
      </c>
      <c r="H161" s="7">
        <v>15257.077396024524</v>
      </c>
    </row>
    <row r="162" spans="1:8" x14ac:dyDescent="0.35">
      <c r="A162">
        <v>310940</v>
      </c>
      <c r="B162">
        <v>3109402</v>
      </c>
      <c r="C162" t="s">
        <v>25</v>
      </c>
      <c r="D162">
        <v>2015</v>
      </c>
      <c r="E162" s="7">
        <v>5938.27</v>
      </c>
      <c r="F162" s="8">
        <v>8951.6991440119127</v>
      </c>
      <c r="G162" s="7">
        <v>6771.31</v>
      </c>
      <c r="H162" s="7">
        <v>10207.475828171839</v>
      </c>
    </row>
    <row r="163" spans="1:8" x14ac:dyDescent="0.35">
      <c r="A163">
        <v>310940</v>
      </c>
      <c r="B163">
        <v>3109402</v>
      </c>
      <c r="C163" t="s">
        <v>25</v>
      </c>
      <c r="D163">
        <v>2016</v>
      </c>
      <c r="E163" s="7">
        <v>7465.15</v>
      </c>
      <c r="F163" s="8">
        <v>10587.657629352765</v>
      </c>
      <c r="G163" s="7">
        <v>7262.85</v>
      </c>
      <c r="H163" s="7">
        <v>10300.744622556987</v>
      </c>
    </row>
    <row r="164" spans="1:8" x14ac:dyDescent="0.35">
      <c r="A164">
        <v>310940</v>
      </c>
      <c r="B164">
        <v>3109402</v>
      </c>
      <c r="C164" s="9" t="s">
        <v>25</v>
      </c>
      <c r="D164">
        <v>2017</v>
      </c>
      <c r="E164" s="7">
        <v>8718.2800000000007</v>
      </c>
      <c r="F164" s="8">
        <v>12010.931518938425</v>
      </c>
      <c r="G164" s="7">
        <v>7295.6102078723525</v>
      </c>
      <c r="H164" s="7">
        <v>10050.95897305695</v>
      </c>
    </row>
    <row r="165" spans="1:8" x14ac:dyDescent="0.35">
      <c r="A165">
        <v>310940</v>
      </c>
      <c r="B165">
        <v>3109402</v>
      </c>
      <c r="C165" t="s">
        <v>25</v>
      </c>
      <c r="D165">
        <v>2018</v>
      </c>
      <c r="E165" s="7">
        <v>8154.36</v>
      </c>
      <c r="F165" s="8">
        <v>10828.446393117687</v>
      </c>
      <c r="G165" s="7">
        <v>8781.7000000000007</v>
      </c>
      <c r="H165" s="7">
        <v>11661.507927790222</v>
      </c>
    </row>
    <row r="166" spans="1:8" x14ac:dyDescent="0.35">
      <c r="A166">
        <v>310940</v>
      </c>
      <c r="B166">
        <v>3109402</v>
      </c>
      <c r="C166" t="s">
        <v>25</v>
      </c>
      <c r="D166">
        <v>2019</v>
      </c>
      <c r="E166" s="7">
        <v>8875.49</v>
      </c>
      <c r="F166" s="8">
        <v>11299.485955039707</v>
      </c>
      <c r="G166" s="7">
        <v>10050.200000000001</v>
      </c>
      <c r="H166" s="7">
        <v>12795.025244634699</v>
      </c>
    </row>
    <row r="167" spans="1:8" x14ac:dyDescent="0.35">
      <c r="A167">
        <v>310940</v>
      </c>
      <c r="B167">
        <v>3109402</v>
      </c>
      <c r="C167" t="s">
        <v>25</v>
      </c>
      <c r="D167">
        <v>2020</v>
      </c>
      <c r="E167" s="7">
        <v>9247.5</v>
      </c>
      <c r="F167" s="8">
        <v>11264.238925185997</v>
      </c>
      <c r="G167" s="7">
        <v>8189.49</v>
      </c>
      <c r="H167" s="7">
        <v>9975.4891266328923</v>
      </c>
    </row>
    <row r="168" spans="1:8" x14ac:dyDescent="0.35">
      <c r="A168">
        <v>310940</v>
      </c>
      <c r="B168">
        <v>3109402</v>
      </c>
      <c r="C168" t="s">
        <v>25</v>
      </c>
      <c r="D168">
        <v>2021</v>
      </c>
      <c r="E168" s="7">
        <v>10661.05</v>
      </c>
      <c r="F168" s="8">
        <v>11798.970289981764</v>
      </c>
      <c r="G168" s="7">
        <v>7540.97</v>
      </c>
      <c r="H168" s="7">
        <v>8345.8662524683768</v>
      </c>
    </row>
    <row r="169" spans="1:8" x14ac:dyDescent="0.35">
      <c r="A169">
        <v>310940</v>
      </c>
      <c r="B169">
        <v>3109402</v>
      </c>
      <c r="C169" t="s">
        <v>25</v>
      </c>
      <c r="D169">
        <v>2022</v>
      </c>
      <c r="E169" s="7">
        <v>12699.53</v>
      </c>
      <c r="F169" s="8">
        <v>13286.399411052367</v>
      </c>
      <c r="G169" s="7">
        <v>15834.81</v>
      </c>
      <c r="H169" s="7">
        <v>16566.567760871876</v>
      </c>
    </row>
    <row r="170" spans="1:8" x14ac:dyDescent="0.35">
      <c r="A170">
        <v>310940</v>
      </c>
      <c r="B170">
        <v>3109402</v>
      </c>
      <c r="C170" t="s">
        <v>25</v>
      </c>
      <c r="D170">
        <v>2023</v>
      </c>
      <c r="E170" s="7">
        <v>18015.259999999998</v>
      </c>
      <c r="F170" s="8">
        <v>18015.259999999998</v>
      </c>
      <c r="G170" s="7">
        <v>16462.46</v>
      </c>
      <c r="H170" s="7">
        <v>16462.461637841807</v>
      </c>
    </row>
    <row r="171" spans="1:8" x14ac:dyDescent="0.35">
      <c r="A171">
        <v>310940</v>
      </c>
      <c r="B171">
        <v>3109402</v>
      </c>
      <c r="C171" t="s">
        <v>25</v>
      </c>
      <c r="D171">
        <v>2024</v>
      </c>
      <c r="E171" s="7">
        <v>14304.75</v>
      </c>
      <c r="F171" s="8">
        <v>13645.508630730232</v>
      </c>
      <c r="G171" s="7">
        <v>16984.099999999999</v>
      </c>
      <c r="H171" s="7">
        <v>16201.382354638328</v>
      </c>
    </row>
    <row r="172" spans="1:8" x14ac:dyDescent="0.35">
      <c r="A172">
        <v>311080</v>
      </c>
      <c r="B172">
        <v>3110806</v>
      </c>
      <c r="C172" t="s">
        <v>27</v>
      </c>
      <c r="D172">
        <v>2015</v>
      </c>
      <c r="E172" s="7">
        <v>7629.87</v>
      </c>
      <c r="F172" s="8">
        <v>11501.716955935342</v>
      </c>
      <c r="G172" s="7">
        <v>7871.63</v>
      </c>
      <c r="H172" s="7">
        <v>11866.155735154614</v>
      </c>
    </row>
    <row r="173" spans="1:8" x14ac:dyDescent="0.35">
      <c r="A173">
        <v>311080</v>
      </c>
      <c r="B173">
        <v>3110806</v>
      </c>
      <c r="C173" t="s">
        <v>27</v>
      </c>
      <c r="D173">
        <v>2016</v>
      </c>
      <c r="E173" s="7">
        <v>8077.46</v>
      </c>
      <c r="F173" s="8">
        <v>11456.083400171703</v>
      </c>
      <c r="G173" s="7">
        <v>11239.95</v>
      </c>
      <c r="H173" s="7">
        <v>15941.368523495863</v>
      </c>
    </row>
    <row r="174" spans="1:8" x14ac:dyDescent="0.35">
      <c r="A174">
        <v>311080</v>
      </c>
      <c r="B174">
        <v>3110806</v>
      </c>
      <c r="C174" t="s">
        <v>27</v>
      </c>
      <c r="D174">
        <v>2017</v>
      </c>
      <c r="E174" s="7">
        <v>8986.24</v>
      </c>
      <c r="F174" s="8">
        <v>12380.092547239274</v>
      </c>
      <c r="G174" s="7">
        <v>9230.98</v>
      </c>
      <c r="H174" s="7">
        <v>12717.262271354903</v>
      </c>
    </row>
    <row r="175" spans="1:8" x14ac:dyDescent="0.35">
      <c r="A175">
        <v>311080</v>
      </c>
      <c r="B175">
        <v>3110806</v>
      </c>
      <c r="C175" t="s">
        <v>27</v>
      </c>
      <c r="D175">
        <v>2018</v>
      </c>
      <c r="E175" s="7">
        <v>9932.4599999999991</v>
      </c>
      <c r="F175" s="8">
        <v>13189.644639405875</v>
      </c>
      <c r="G175" s="7">
        <v>10104.709999999999</v>
      </c>
      <c r="H175" s="7">
        <v>13418.378468823234</v>
      </c>
    </row>
    <row r="176" spans="1:8" x14ac:dyDescent="0.35">
      <c r="A176">
        <v>311080</v>
      </c>
      <c r="B176">
        <v>3110806</v>
      </c>
      <c r="C176" t="s">
        <v>27</v>
      </c>
      <c r="D176">
        <v>2019</v>
      </c>
      <c r="E176" s="7">
        <v>10040.91</v>
      </c>
      <c r="F176" s="8">
        <v>12783.195240016916</v>
      </c>
      <c r="G176" s="7">
        <v>9593.98</v>
      </c>
      <c r="H176" s="7">
        <v>12214.203604444981</v>
      </c>
    </row>
    <row r="177" spans="1:8" x14ac:dyDescent="0.35">
      <c r="A177">
        <v>311080</v>
      </c>
      <c r="B177">
        <v>3110806</v>
      </c>
      <c r="C177" t="s">
        <v>27</v>
      </c>
      <c r="D177">
        <v>2020</v>
      </c>
      <c r="E177" s="7">
        <v>10466.42</v>
      </c>
      <c r="F177" s="8">
        <v>12748.986814960284</v>
      </c>
      <c r="G177" s="7">
        <v>9750.4699999999993</v>
      </c>
      <c r="H177" s="7">
        <v>11876.904298737587</v>
      </c>
    </row>
    <row r="178" spans="1:8" x14ac:dyDescent="0.35">
      <c r="A178">
        <v>311080</v>
      </c>
      <c r="B178">
        <v>3110806</v>
      </c>
      <c r="C178" t="s">
        <v>27</v>
      </c>
      <c r="D178">
        <v>2021</v>
      </c>
      <c r="E178" s="7">
        <v>10783.88</v>
      </c>
      <c r="F178" s="8">
        <v>11934.910701171888</v>
      </c>
      <c r="G178" s="7">
        <v>8929.3700000000008</v>
      </c>
      <c r="H178" s="7">
        <v>9882.457540571786</v>
      </c>
    </row>
    <row r="179" spans="1:8" x14ac:dyDescent="0.35">
      <c r="A179">
        <v>311080</v>
      </c>
      <c r="B179">
        <v>3110806</v>
      </c>
      <c r="C179" t="s">
        <v>27</v>
      </c>
      <c r="D179">
        <v>2022</v>
      </c>
      <c r="E179" s="7">
        <v>13553.09</v>
      </c>
      <c r="F179" s="8">
        <v>14179.404040459742</v>
      </c>
      <c r="G179" s="7">
        <v>15753.9</v>
      </c>
      <c r="H179" s="7">
        <v>16481.92196645516</v>
      </c>
    </row>
    <row r="180" spans="1:8" x14ac:dyDescent="0.35">
      <c r="A180">
        <v>311080</v>
      </c>
      <c r="B180">
        <v>3110806</v>
      </c>
      <c r="C180" t="s">
        <v>27</v>
      </c>
      <c r="D180">
        <v>2023</v>
      </c>
      <c r="E180" s="7">
        <v>13078.85</v>
      </c>
      <c r="F180" s="8">
        <v>13078.85</v>
      </c>
      <c r="G180" s="7">
        <v>19642.669999999998</v>
      </c>
      <c r="H180" s="7">
        <v>19642.670509268472</v>
      </c>
    </row>
    <row r="181" spans="1:8" x14ac:dyDescent="0.35">
      <c r="A181">
        <v>311080</v>
      </c>
      <c r="B181">
        <v>3110806</v>
      </c>
      <c r="C181" t="s">
        <v>27</v>
      </c>
      <c r="D181">
        <v>2024</v>
      </c>
      <c r="E181" s="7">
        <v>19756.62</v>
      </c>
      <c r="F181" s="8">
        <v>18846.126547060067</v>
      </c>
      <c r="G181" s="7">
        <v>21341.09</v>
      </c>
      <c r="H181" s="7">
        <v>20357.570931140068</v>
      </c>
    </row>
    <row r="182" spans="1:8" x14ac:dyDescent="0.35">
      <c r="A182">
        <v>311115</v>
      </c>
      <c r="B182">
        <v>3111150</v>
      </c>
      <c r="C182" t="s">
        <v>28</v>
      </c>
      <c r="D182">
        <v>2015</v>
      </c>
      <c r="E182" s="7">
        <v>6691.49</v>
      </c>
      <c r="F182" s="8">
        <v>10087.147486585194</v>
      </c>
      <c r="G182" s="7">
        <v>6192.22</v>
      </c>
      <c r="H182" s="7">
        <v>9334.5125660304475</v>
      </c>
    </row>
    <row r="183" spans="1:8" x14ac:dyDescent="0.35">
      <c r="A183">
        <v>311115</v>
      </c>
      <c r="B183">
        <v>3111150</v>
      </c>
      <c r="C183" t="s">
        <v>28</v>
      </c>
      <c r="D183">
        <v>2016</v>
      </c>
      <c r="E183" s="7">
        <v>6033.88</v>
      </c>
      <c r="F183" s="8">
        <v>8557.7189495990133</v>
      </c>
      <c r="G183" s="7">
        <v>6807.56</v>
      </c>
      <c r="H183" s="7">
        <v>9655.0092803895604</v>
      </c>
    </row>
    <row r="184" spans="1:8" x14ac:dyDescent="0.35">
      <c r="A184">
        <v>311115</v>
      </c>
      <c r="B184">
        <v>3111150</v>
      </c>
      <c r="C184" t="s">
        <v>28</v>
      </c>
      <c r="D184">
        <v>2017</v>
      </c>
      <c r="E184" s="7">
        <v>7230.29</v>
      </c>
      <c r="F184" s="8">
        <v>9960.9691420859726</v>
      </c>
      <c r="G184" s="7">
        <v>9463.56</v>
      </c>
      <c r="H184" s="7">
        <v>13037.677116461537</v>
      </c>
    </row>
    <row r="185" spans="1:8" x14ac:dyDescent="0.35">
      <c r="A185">
        <v>311115</v>
      </c>
      <c r="B185">
        <v>3111150</v>
      </c>
      <c r="C185" t="s">
        <v>28</v>
      </c>
      <c r="D185">
        <v>2018</v>
      </c>
      <c r="E185" s="7">
        <v>5751.31</v>
      </c>
      <c r="F185" s="8">
        <v>7637.356214982131</v>
      </c>
      <c r="G185" s="7">
        <v>7580.48</v>
      </c>
      <c r="H185" s="7">
        <v>10066.373416278793</v>
      </c>
    </row>
    <row r="186" spans="1:8" x14ac:dyDescent="0.35">
      <c r="A186">
        <v>311115</v>
      </c>
      <c r="B186">
        <v>3111150</v>
      </c>
      <c r="C186" t="s">
        <v>28</v>
      </c>
      <c r="D186">
        <v>2019</v>
      </c>
      <c r="E186" s="7">
        <v>5974.53</v>
      </c>
      <c r="F186" s="8">
        <v>7606.2412129317227</v>
      </c>
      <c r="G186" s="7">
        <v>8345.2999999999993</v>
      </c>
      <c r="H186" s="7">
        <v>10624.496638785873</v>
      </c>
    </row>
    <row r="187" spans="1:8" x14ac:dyDescent="0.35">
      <c r="A187">
        <v>311115</v>
      </c>
      <c r="B187">
        <v>3111150</v>
      </c>
      <c r="C187" t="s">
        <v>28</v>
      </c>
      <c r="D187">
        <v>2020</v>
      </c>
      <c r="E187" s="7">
        <v>7210.7</v>
      </c>
      <c r="F187" s="8">
        <v>8783.2438624318638</v>
      </c>
      <c r="G187" s="7">
        <v>7071.19</v>
      </c>
      <c r="H187" s="7">
        <v>8613.3038272736612</v>
      </c>
    </row>
    <row r="188" spans="1:8" x14ac:dyDescent="0.35">
      <c r="A188">
        <v>311115</v>
      </c>
      <c r="B188">
        <v>3111150</v>
      </c>
      <c r="C188" t="s">
        <v>28</v>
      </c>
      <c r="D188">
        <v>2021</v>
      </c>
      <c r="E188" s="7">
        <v>8902.7800000000007</v>
      </c>
      <c r="F188" s="8">
        <v>9853.0291780119096</v>
      </c>
      <c r="G188" s="7">
        <v>8199.32</v>
      </c>
      <c r="H188" s="7">
        <v>9074.4808736688265</v>
      </c>
    </row>
    <row r="189" spans="1:8" x14ac:dyDescent="0.35">
      <c r="A189">
        <v>311115</v>
      </c>
      <c r="B189">
        <v>3111150</v>
      </c>
      <c r="C189" t="s">
        <v>28</v>
      </c>
      <c r="D189">
        <v>2022</v>
      </c>
      <c r="E189" s="7">
        <v>13249.99</v>
      </c>
      <c r="F189" s="8">
        <v>13862.297213554339</v>
      </c>
      <c r="G189" s="7">
        <v>17390.14</v>
      </c>
      <c r="H189" s="7">
        <v>18193.76681237658</v>
      </c>
    </row>
    <row r="190" spans="1:8" x14ac:dyDescent="0.35">
      <c r="A190">
        <v>311115</v>
      </c>
      <c r="B190">
        <v>3111150</v>
      </c>
      <c r="C190" t="s">
        <v>28</v>
      </c>
      <c r="D190">
        <v>2023</v>
      </c>
      <c r="E190" s="7">
        <v>15674.98</v>
      </c>
      <c r="F190" s="8">
        <v>15674.98</v>
      </c>
      <c r="G190" s="7">
        <v>21232.59</v>
      </c>
      <c r="H190" s="7">
        <v>21232.594689548852</v>
      </c>
    </row>
    <row r="191" spans="1:8" x14ac:dyDescent="0.35">
      <c r="A191">
        <v>311115</v>
      </c>
      <c r="B191">
        <v>3111150</v>
      </c>
      <c r="C191" t="s">
        <v>28</v>
      </c>
      <c r="D191">
        <v>2024</v>
      </c>
      <c r="E191" s="7">
        <v>20000</v>
      </c>
      <c r="F191" s="8">
        <v>19078.290261249207</v>
      </c>
      <c r="G191" s="7">
        <v>28516.91</v>
      </c>
      <c r="H191" s="7">
        <v>27202.695647599554</v>
      </c>
    </row>
    <row r="192" spans="1:8" x14ac:dyDescent="0.35">
      <c r="A192">
        <v>311205</v>
      </c>
      <c r="B192">
        <v>3112059</v>
      </c>
      <c r="C192" t="s">
        <v>29</v>
      </c>
      <c r="D192">
        <v>2015</v>
      </c>
      <c r="E192" s="7">
        <v>5381.37</v>
      </c>
      <c r="F192" s="8">
        <v>8112.1951717606944</v>
      </c>
      <c r="G192" s="7">
        <v>4990.2</v>
      </c>
      <c r="H192" s="7">
        <v>7522.5270913565464</v>
      </c>
    </row>
    <row r="193" spans="1:8" x14ac:dyDescent="0.35">
      <c r="A193">
        <v>311205</v>
      </c>
      <c r="B193">
        <v>3112059</v>
      </c>
      <c r="C193" t="s">
        <v>29</v>
      </c>
      <c r="D193">
        <v>2016</v>
      </c>
      <c r="E193" s="7">
        <v>5894.79</v>
      </c>
      <c r="F193" s="8">
        <v>8360.4506697028719</v>
      </c>
      <c r="G193" s="7">
        <v>8321.2000000000007</v>
      </c>
      <c r="H193" s="7">
        <v>11801.771654958729</v>
      </c>
    </row>
    <row r="194" spans="1:8" x14ac:dyDescent="0.35">
      <c r="A194">
        <v>311205</v>
      </c>
      <c r="B194">
        <v>3112059</v>
      </c>
      <c r="C194" t="s">
        <v>29</v>
      </c>
      <c r="D194">
        <v>2017</v>
      </c>
      <c r="E194" s="7">
        <v>9341.56</v>
      </c>
      <c r="F194" s="8">
        <v>12869.607014233818</v>
      </c>
      <c r="G194" s="7">
        <v>10128.280000000001</v>
      </c>
      <c r="H194" s="7">
        <v>13953.44315022</v>
      </c>
    </row>
    <row r="195" spans="1:8" x14ac:dyDescent="0.35">
      <c r="A195">
        <v>311205</v>
      </c>
      <c r="B195">
        <v>3112059</v>
      </c>
      <c r="C195" t="s">
        <v>29</v>
      </c>
      <c r="D195">
        <v>2018</v>
      </c>
      <c r="E195" s="7">
        <v>8096.4</v>
      </c>
      <c r="F195" s="8">
        <v>10751.479377564645</v>
      </c>
      <c r="G195" s="7">
        <v>10584.56</v>
      </c>
      <c r="H195" s="7">
        <v>14055.588369150666</v>
      </c>
    </row>
    <row r="196" spans="1:8" x14ac:dyDescent="0.35">
      <c r="A196">
        <v>311205</v>
      </c>
      <c r="B196">
        <v>3112059</v>
      </c>
      <c r="C196" t="s">
        <v>29</v>
      </c>
      <c r="D196">
        <v>2019</v>
      </c>
      <c r="E196" s="7">
        <v>8958.0499999999993</v>
      </c>
      <c r="F196" s="8">
        <v>11404.594017856303</v>
      </c>
      <c r="G196" s="7">
        <v>11054.52</v>
      </c>
      <c r="H196" s="7">
        <v>14073.632261164079</v>
      </c>
    </row>
    <row r="197" spans="1:8" x14ac:dyDescent="0.35">
      <c r="A197">
        <v>311205</v>
      </c>
      <c r="B197">
        <v>3112059</v>
      </c>
      <c r="C197" t="s">
        <v>29</v>
      </c>
      <c r="D197">
        <v>2020</v>
      </c>
      <c r="E197" s="7">
        <v>7969.83</v>
      </c>
      <c r="F197" s="8">
        <v>9707.9285550813856</v>
      </c>
      <c r="G197" s="7">
        <v>12307.37</v>
      </c>
      <c r="H197" s="7">
        <v>14991.421564340546</v>
      </c>
    </row>
    <row r="198" spans="1:8" x14ac:dyDescent="0.35">
      <c r="A198">
        <v>311205</v>
      </c>
      <c r="B198">
        <v>3112059</v>
      </c>
      <c r="C198" t="s">
        <v>29</v>
      </c>
      <c r="D198">
        <v>2021</v>
      </c>
      <c r="E198" s="7">
        <v>12773.29</v>
      </c>
      <c r="F198" s="8">
        <v>14136.662825455391</v>
      </c>
      <c r="G198" s="7">
        <v>12415.62</v>
      </c>
      <c r="H198" s="7">
        <v>13740.816075975785</v>
      </c>
    </row>
    <row r="199" spans="1:8" x14ac:dyDescent="0.35">
      <c r="A199">
        <v>311205</v>
      </c>
      <c r="B199">
        <v>3112059</v>
      </c>
      <c r="C199" t="s">
        <v>29</v>
      </c>
      <c r="D199">
        <v>2022</v>
      </c>
      <c r="E199" s="7">
        <v>14698.19</v>
      </c>
      <c r="F199" s="8">
        <v>15377.421287207935</v>
      </c>
      <c r="G199" s="7">
        <v>17737.28</v>
      </c>
      <c r="H199" s="7">
        <v>18556.949275595594</v>
      </c>
    </row>
    <row r="200" spans="1:8" x14ac:dyDescent="0.35">
      <c r="A200">
        <v>311205</v>
      </c>
      <c r="B200">
        <v>3112059</v>
      </c>
      <c r="C200" t="s">
        <v>29</v>
      </c>
      <c r="D200">
        <v>2023</v>
      </c>
      <c r="E200" s="7">
        <v>17997.95</v>
      </c>
      <c r="F200" s="8">
        <v>17997.95</v>
      </c>
      <c r="G200" s="7">
        <v>28566.66</v>
      </c>
      <c r="H200" s="7">
        <v>28566.663163754252</v>
      </c>
    </row>
    <row r="201" spans="1:8" x14ac:dyDescent="0.35">
      <c r="A201">
        <v>311205</v>
      </c>
      <c r="B201">
        <v>3112059</v>
      </c>
      <c r="C201" t="s">
        <v>29</v>
      </c>
      <c r="D201">
        <v>2024</v>
      </c>
      <c r="E201" s="7">
        <v>19410.84</v>
      </c>
      <c r="F201" s="8">
        <v>18516.281986733331</v>
      </c>
      <c r="G201" s="7">
        <v>29101.62</v>
      </c>
      <c r="H201" s="7">
        <v>27760.457101927994</v>
      </c>
    </row>
    <row r="202" spans="1:8" x14ac:dyDescent="0.35">
      <c r="A202">
        <v>311230</v>
      </c>
      <c r="B202">
        <v>3112307</v>
      </c>
      <c r="C202" t="s">
        <v>30</v>
      </c>
      <c r="D202">
        <v>2015</v>
      </c>
      <c r="E202" s="7">
        <v>10267.84</v>
      </c>
      <c r="F202" s="8">
        <v>15478.34883541019</v>
      </c>
      <c r="G202" s="7">
        <v>9444.68</v>
      </c>
      <c r="H202" s="7">
        <v>14237.465905113526</v>
      </c>
    </row>
    <row r="203" spans="1:8" x14ac:dyDescent="0.35">
      <c r="A203">
        <v>311230</v>
      </c>
      <c r="B203">
        <v>3112307</v>
      </c>
      <c r="C203" t="s">
        <v>30</v>
      </c>
      <c r="D203">
        <v>2016</v>
      </c>
      <c r="E203" s="7">
        <v>6951.73</v>
      </c>
      <c r="F203" s="8">
        <v>9859.4853648889166</v>
      </c>
      <c r="G203" s="7">
        <v>9026.9500000000007</v>
      </c>
      <c r="H203" s="7">
        <v>12802.722243771013</v>
      </c>
    </row>
    <row r="204" spans="1:8" x14ac:dyDescent="0.35">
      <c r="A204">
        <v>311230</v>
      </c>
      <c r="B204">
        <v>3112307</v>
      </c>
      <c r="C204" t="s">
        <v>30</v>
      </c>
      <c r="D204">
        <v>2017</v>
      </c>
      <c r="E204" s="7">
        <v>6432.91</v>
      </c>
      <c r="F204" s="8">
        <v>8862.4409261338442</v>
      </c>
      <c r="G204" s="7">
        <v>8731.56</v>
      </c>
      <c r="H204" s="7">
        <v>12029.226970469119</v>
      </c>
    </row>
    <row r="205" spans="1:8" x14ac:dyDescent="0.35">
      <c r="A205">
        <v>311230</v>
      </c>
      <c r="B205">
        <v>3112307</v>
      </c>
      <c r="C205" t="s">
        <v>30</v>
      </c>
      <c r="D205">
        <v>2018</v>
      </c>
      <c r="E205" s="7">
        <v>7201.56</v>
      </c>
      <c r="F205" s="8">
        <v>9563.1915204652014</v>
      </c>
      <c r="G205" s="7">
        <v>8919.9699999999993</v>
      </c>
      <c r="H205" s="7">
        <v>11845.123814263989</v>
      </c>
    </row>
    <row r="206" spans="1:8" x14ac:dyDescent="0.35">
      <c r="A206">
        <v>311230</v>
      </c>
      <c r="B206">
        <v>3112307</v>
      </c>
      <c r="C206" t="s">
        <v>30</v>
      </c>
      <c r="D206">
        <v>2019</v>
      </c>
      <c r="E206" s="7">
        <v>7919.78</v>
      </c>
      <c r="F206" s="8">
        <v>10082.76082526197</v>
      </c>
      <c r="G206" s="7">
        <v>9304.25</v>
      </c>
      <c r="H206" s="7">
        <v>11845.347252622742</v>
      </c>
    </row>
    <row r="207" spans="1:8" x14ac:dyDescent="0.35">
      <c r="A207">
        <v>311230</v>
      </c>
      <c r="B207">
        <v>3112307</v>
      </c>
      <c r="C207" t="s">
        <v>30</v>
      </c>
      <c r="D207">
        <v>2020</v>
      </c>
      <c r="E207" s="7">
        <v>8647.89</v>
      </c>
      <c r="F207" s="8">
        <v>10533.863115298916</v>
      </c>
      <c r="G207" s="7">
        <v>8195.4</v>
      </c>
      <c r="H207" s="7">
        <v>9982.6924865711226</v>
      </c>
    </row>
    <row r="208" spans="1:8" x14ac:dyDescent="0.35">
      <c r="A208">
        <v>311230</v>
      </c>
      <c r="B208">
        <v>3112307</v>
      </c>
      <c r="C208" t="s">
        <v>30</v>
      </c>
      <c r="D208">
        <v>2021</v>
      </c>
      <c r="E208" s="7">
        <v>15327.45</v>
      </c>
      <c r="F208" s="8">
        <v>16963.444235903688</v>
      </c>
      <c r="G208" s="7">
        <v>11241.63</v>
      </c>
      <c r="H208" s="7">
        <v>12441.523977909639</v>
      </c>
    </row>
    <row r="209" spans="1:8" x14ac:dyDescent="0.35">
      <c r="A209">
        <v>311230</v>
      </c>
      <c r="B209">
        <v>3112307</v>
      </c>
      <c r="C209" t="s">
        <v>30</v>
      </c>
      <c r="D209">
        <v>2022</v>
      </c>
      <c r="E209" s="7">
        <v>14279.42</v>
      </c>
      <c r="F209" s="8">
        <v>14939.299129823654</v>
      </c>
      <c r="G209" s="7">
        <v>19195.48</v>
      </c>
      <c r="H209" s="7">
        <v>20082.54118494353</v>
      </c>
    </row>
    <row r="210" spans="1:8" x14ac:dyDescent="0.35">
      <c r="A210">
        <v>311230</v>
      </c>
      <c r="B210">
        <v>3112307</v>
      </c>
      <c r="C210" t="s">
        <v>30</v>
      </c>
      <c r="D210">
        <v>2023</v>
      </c>
      <c r="E210" s="7">
        <v>17059.98</v>
      </c>
      <c r="F210" s="8">
        <v>17059.98</v>
      </c>
      <c r="G210" s="7">
        <v>20444.39</v>
      </c>
      <c r="H210" s="7">
        <v>20444.385800673361</v>
      </c>
    </row>
    <row r="211" spans="1:8" x14ac:dyDescent="0.35">
      <c r="A211">
        <v>311230</v>
      </c>
      <c r="B211">
        <v>3112307</v>
      </c>
      <c r="C211" t="s">
        <v>30</v>
      </c>
      <c r="D211">
        <v>2024</v>
      </c>
      <c r="E211" s="7">
        <v>20110.89</v>
      </c>
      <c r="F211" s="8">
        <v>19184.069841602704</v>
      </c>
      <c r="G211" s="7">
        <v>19255.169999999998</v>
      </c>
      <c r="H211" s="7">
        <v>18367.787490475119</v>
      </c>
    </row>
    <row r="212" spans="1:8" x14ac:dyDescent="0.35">
      <c r="A212">
        <v>311270</v>
      </c>
      <c r="B212">
        <v>3112703</v>
      </c>
      <c r="C212" t="s">
        <v>31</v>
      </c>
      <c r="D212">
        <v>2015</v>
      </c>
      <c r="E212" s="7">
        <v>6135.53</v>
      </c>
      <c r="F212" s="8">
        <v>9249.0605258870692</v>
      </c>
      <c r="G212" s="7">
        <v>4466.38</v>
      </c>
      <c r="H212" s="7">
        <v>6732.8847727677166</v>
      </c>
    </row>
    <row r="213" spans="1:8" x14ac:dyDescent="0.35">
      <c r="A213">
        <v>311270</v>
      </c>
      <c r="B213">
        <v>3112703</v>
      </c>
      <c r="C213" t="s">
        <v>31</v>
      </c>
      <c r="D213">
        <v>2016</v>
      </c>
      <c r="E213" s="7">
        <v>6308.91</v>
      </c>
      <c r="F213" s="8">
        <v>8947.7879338526291</v>
      </c>
      <c r="G213" s="7">
        <v>7313.06</v>
      </c>
      <c r="H213" s="7">
        <v>10371.953063828807</v>
      </c>
    </row>
    <row r="214" spans="1:8" x14ac:dyDescent="0.35">
      <c r="A214">
        <v>311270</v>
      </c>
      <c r="B214">
        <v>3112703</v>
      </c>
      <c r="C214" t="s">
        <v>31</v>
      </c>
      <c r="D214">
        <v>2017</v>
      </c>
      <c r="E214" s="7">
        <v>6861.63</v>
      </c>
      <c r="F214" s="8">
        <v>9453.0765286608657</v>
      </c>
      <c r="G214" s="7">
        <v>7023.72</v>
      </c>
      <c r="H214" s="7">
        <v>9676.3795309991765</v>
      </c>
    </row>
    <row r="215" spans="1:8" x14ac:dyDescent="0.35">
      <c r="A215">
        <v>311270</v>
      </c>
      <c r="B215">
        <v>3112703</v>
      </c>
      <c r="C215" t="s">
        <v>31</v>
      </c>
      <c r="D215">
        <v>2018</v>
      </c>
      <c r="E215" s="7">
        <v>6195.27</v>
      </c>
      <c r="F215" s="8">
        <v>8226.9054942252023</v>
      </c>
      <c r="G215" s="7">
        <v>8002.58</v>
      </c>
      <c r="H215" s="7">
        <v>10626.897690848215</v>
      </c>
    </row>
    <row r="216" spans="1:8" x14ac:dyDescent="0.35">
      <c r="A216">
        <v>311270</v>
      </c>
      <c r="B216">
        <v>3112703</v>
      </c>
      <c r="C216" t="s">
        <v>31</v>
      </c>
      <c r="D216">
        <v>2019</v>
      </c>
      <c r="E216" s="7">
        <v>6973.76</v>
      </c>
      <c r="F216" s="8">
        <v>8878.372143263945</v>
      </c>
      <c r="G216" s="7">
        <v>9636.82</v>
      </c>
      <c r="H216" s="7">
        <v>12268.745624356476</v>
      </c>
    </row>
    <row r="217" spans="1:8" x14ac:dyDescent="0.35">
      <c r="A217">
        <v>311270</v>
      </c>
      <c r="B217">
        <v>3112703</v>
      </c>
      <c r="C217" t="s">
        <v>31</v>
      </c>
      <c r="D217">
        <v>2020</v>
      </c>
      <c r="E217" s="7">
        <v>7013.33</v>
      </c>
      <c r="F217" s="8">
        <v>8542.8304710651209</v>
      </c>
      <c r="G217" s="7">
        <v>8481.9699999999993</v>
      </c>
      <c r="H217" s="7">
        <v>10331.759908406131</v>
      </c>
    </row>
    <row r="218" spans="1:8" x14ac:dyDescent="0.35">
      <c r="A218">
        <v>311270</v>
      </c>
      <c r="B218">
        <v>3112703</v>
      </c>
      <c r="C218" t="s">
        <v>31</v>
      </c>
      <c r="D218">
        <v>2021</v>
      </c>
      <c r="E218" s="7">
        <v>12248</v>
      </c>
      <c r="F218" s="8">
        <v>13555.305350945418</v>
      </c>
      <c r="G218" s="7">
        <v>9150.0300000000007</v>
      </c>
      <c r="H218" s="7">
        <v>10126.669272325193</v>
      </c>
    </row>
    <row r="219" spans="1:8" x14ac:dyDescent="0.35">
      <c r="A219">
        <v>311270</v>
      </c>
      <c r="B219">
        <v>3112703</v>
      </c>
      <c r="C219" t="s">
        <v>31</v>
      </c>
      <c r="D219">
        <v>2022</v>
      </c>
      <c r="E219" s="7">
        <v>13953.08</v>
      </c>
      <c r="F219" s="8">
        <v>14597.87833836107</v>
      </c>
      <c r="G219" s="7">
        <v>14246.05</v>
      </c>
      <c r="H219" s="7">
        <v>14904.389566190619</v>
      </c>
    </row>
    <row r="220" spans="1:8" x14ac:dyDescent="0.35">
      <c r="A220">
        <v>311270</v>
      </c>
      <c r="B220">
        <v>3112703</v>
      </c>
      <c r="C220" t="s">
        <v>31</v>
      </c>
      <c r="D220">
        <v>2023</v>
      </c>
      <c r="E220" s="7">
        <v>15744.57</v>
      </c>
      <c r="F220" s="8">
        <v>15744.57</v>
      </c>
      <c r="G220" s="7">
        <v>12270.86</v>
      </c>
      <c r="H220" s="7">
        <v>12270.864394120632</v>
      </c>
    </row>
    <row r="221" spans="1:8" x14ac:dyDescent="0.35">
      <c r="A221">
        <v>311270</v>
      </c>
      <c r="B221">
        <v>3112703</v>
      </c>
      <c r="C221" t="s">
        <v>31</v>
      </c>
      <c r="D221">
        <v>2024</v>
      </c>
      <c r="E221" s="7">
        <v>12063.15</v>
      </c>
      <c r="F221" s="8">
        <v>11507.213858249419</v>
      </c>
      <c r="G221" s="7">
        <v>12540.5</v>
      </c>
      <c r="H221" s="7">
        <v>11962.562523622786</v>
      </c>
    </row>
    <row r="222" spans="1:8" x14ac:dyDescent="0.35">
      <c r="A222">
        <v>311300</v>
      </c>
      <c r="B222">
        <v>3113008</v>
      </c>
      <c r="C222" t="s">
        <v>32</v>
      </c>
      <c r="D222">
        <v>2015</v>
      </c>
      <c r="E222" s="7">
        <v>4609.2</v>
      </c>
      <c r="F222" s="8">
        <v>6948.1804792607445</v>
      </c>
      <c r="G222" s="7">
        <v>5858.97</v>
      </c>
      <c r="H222" s="7">
        <v>8832.1613623865669</v>
      </c>
    </row>
    <row r="223" spans="1:8" x14ac:dyDescent="0.35">
      <c r="A223">
        <v>311300</v>
      </c>
      <c r="B223">
        <v>3113008</v>
      </c>
      <c r="C223" t="s">
        <v>32</v>
      </c>
      <c r="D223">
        <v>2016</v>
      </c>
      <c r="E223" s="7">
        <v>5770.24</v>
      </c>
      <c r="F223" s="8">
        <v>8183.8041511820256</v>
      </c>
      <c r="G223" s="7">
        <v>6757.38</v>
      </c>
      <c r="H223" s="7">
        <v>9583.8477574230055</v>
      </c>
    </row>
    <row r="224" spans="1:8" x14ac:dyDescent="0.35">
      <c r="A224">
        <v>311300</v>
      </c>
      <c r="B224">
        <v>3113008</v>
      </c>
      <c r="C224" t="s">
        <v>32</v>
      </c>
      <c r="D224">
        <v>2017</v>
      </c>
      <c r="E224" s="7">
        <v>7666.22</v>
      </c>
      <c r="F224" s="8">
        <v>10561.537760787234</v>
      </c>
      <c r="G224" s="7">
        <v>7791.87</v>
      </c>
      <c r="H224" s="7">
        <v>10734.639798074842</v>
      </c>
    </row>
    <row r="225" spans="1:8" x14ac:dyDescent="0.35">
      <c r="A225">
        <v>311300</v>
      </c>
      <c r="B225">
        <v>3113008</v>
      </c>
      <c r="C225" t="s">
        <v>32</v>
      </c>
      <c r="D225">
        <v>2018</v>
      </c>
      <c r="E225" s="7">
        <v>8319.34</v>
      </c>
      <c r="F225" s="8">
        <v>11047.528833178778</v>
      </c>
      <c r="G225" s="7">
        <v>7983.23</v>
      </c>
      <c r="H225" s="7">
        <v>10601.190824475823</v>
      </c>
    </row>
    <row r="226" spans="1:8" x14ac:dyDescent="0.35">
      <c r="A226">
        <v>311300</v>
      </c>
      <c r="B226">
        <v>3113008</v>
      </c>
      <c r="C226" t="s">
        <v>32</v>
      </c>
      <c r="D226">
        <v>2019</v>
      </c>
      <c r="E226" s="7">
        <v>8845.36</v>
      </c>
      <c r="F226" s="8">
        <v>11261.127113801043</v>
      </c>
      <c r="G226" s="7">
        <v>9706.7999999999993</v>
      </c>
      <c r="H226" s="7">
        <v>12357.832900137342</v>
      </c>
    </row>
    <row r="227" spans="1:8" x14ac:dyDescent="0.35">
      <c r="A227">
        <v>311300</v>
      </c>
      <c r="B227">
        <v>3113008</v>
      </c>
      <c r="C227" t="s">
        <v>32</v>
      </c>
      <c r="D227">
        <v>2020</v>
      </c>
      <c r="E227" s="7">
        <v>8234.69</v>
      </c>
      <c r="F227" s="8">
        <v>10030.550487682063</v>
      </c>
      <c r="G227" s="7">
        <v>7757.01</v>
      </c>
      <c r="H227" s="7">
        <v>9448.6947245090214</v>
      </c>
    </row>
    <row r="228" spans="1:8" x14ac:dyDescent="0.35">
      <c r="A228">
        <v>311300</v>
      </c>
      <c r="B228">
        <v>3113008</v>
      </c>
      <c r="C228" t="s">
        <v>32</v>
      </c>
      <c r="D228">
        <v>2021</v>
      </c>
      <c r="E228" s="7">
        <v>10296.620000000001</v>
      </c>
      <c r="F228" s="8">
        <v>11395.642405507155</v>
      </c>
      <c r="G228" s="7">
        <v>9454.86</v>
      </c>
      <c r="H228" s="7">
        <v>10464.036925359016</v>
      </c>
    </row>
    <row r="229" spans="1:8" x14ac:dyDescent="0.35">
      <c r="A229">
        <v>311300</v>
      </c>
      <c r="B229">
        <v>3113008</v>
      </c>
      <c r="C229" t="s">
        <v>32</v>
      </c>
      <c r="D229">
        <v>2022</v>
      </c>
      <c r="E229" s="7">
        <v>13061.86</v>
      </c>
      <c r="F229" s="8">
        <v>13665.473368797779</v>
      </c>
      <c r="G229" s="7">
        <v>18869.13</v>
      </c>
      <c r="H229" s="7">
        <v>19741.105395863273</v>
      </c>
    </row>
    <row r="230" spans="1:8" x14ac:dyDescent="0.35">
      <c r="A230">
        <v>311300</v>
      </c>
      <c r="B230">
        <v>3113008</v>
      </c>
      <c r="C230" t="s">
        <v>32</v>
      </c>
      <c r="D230">
        <v>2023</v>
      </c>
      <c r="E230" s="7">
        <v>15444.38</v>
      </c>
      <c r="F230" s="8">
        <v>15444.38</v>
      </c>
      <c r="G230" s="7">
        <v>23355.279999999999</v>
      </c>
      <c r="H230" s="7">
        <v>23355.279332495451</v>
      </c>
    </row>
    <row r="231" spans="1:8" x14ac:dyDescent="0.35">
      <c r="A231">
        <v>311300</v>
      </c>
      <c r="B231">
        <v>3113008</v>
      </c>
      <c r="C231" t="s">
        <v>32</v>
      </c>
      <c r="D231">
        <v>2024</v>
      </c>
      <c r="E231" s="7">
        <v>18170.37</v>
      </c>
      <c r="F231" s="8">
        <v>17332.979650714737</v>
      </c>
      <c r="G231" s="7">
        <v>29660.16</v>
      </c>
      <c r="H231" s="7">
        <v>28293.260889173402</v>
      </c>
    </row>
    <row r="232" spans="1:8" x14ac:dyDescent="0.35">
      <c r="A232">
        <v>311350</v>
      </c>
      <c r="B232">
        <v>3113503</v>
      </c>
      <c r="C232" t="s">
        <v>33</v>
      </c>
      <c r="D232">
        <v>2015</v>
      </c>
      <c r="E232" s="7">
        <v>7327.7</v>
      </c>
      <c r="F232" s="8">
        <v>11046.208039980682</v>
      </c>
      <c r="G232" s="7">
        <v>6430.44</v>
      </c>
      <c r="H232" s="7">
        <v>9693.6258471009369</v>
      </c>
    </row>
    <row r="233" spans="1:8" x14ac:dyDescent="0.35">
      <c r="A233">
        <v>311350</v>
      </c>
      <c r="B233">
        <v>3113503</v>
      </c>
      <c r="C233" t="s">
        <v>33</v>
      </c>
      <c r="D233">
        <v>2016</v>
      </c>
      <c r="E233" s="7">
        <v>4285.1400000000003</v>
      </c>
      <c r="F233" s="8">
        <v>6077.5195694453178</v>
      </c>
      <c r="G233" s="7">
        <v>6702.04</v>
      </c>
      <c r="H233" s="7">
        <v>9505.3585912807157</v>
      </c>
    </row>
    <row r="234" spans="1:8" x14ac:dyDescent="0.35">
      <c r="A234">
        <v>311350</v>
      </c>
      <c r="B234">
        <v>3113503</v>
      </c>
      <c r="C234" t="s">
        <v>33</v>
      </c>
      <c r="D234">
        <v>2017</v>
      </c>
      <c r="E234" s="7">
        <v>6059.22</v>
      </c>
      <c r="F234" s="8">
        <v>8347.6186218132571</v>
      </c>
      <c r="G234" s="7">
        <v>6402.76</v>
      </c>
      <c r="H234" s="7">
        <v>8820.9073799778907</v>
      </c>
    </row>
    <row r="235" spans="1:8" x14ac:dyDescent="0.35">
      <c r="A235">
        <v>311350</v>
      </c>
      <c r="B235">
        <v>3113503</v>
      </c>
      <c r="C235" t="s">
        <v>33</v>
      </c>
      <c r="D235">
        <v>2018</v>
      </c>
      <c r="E235" s="7">
        <v>5470.22</v>
      </c>
      <c r="F235" s="8">
        <v>7264.0874364830888</v>
      </c>
      <c r="G235" s="7">
        <v>5668.51</v>
      </c>
      <c r="H235" s="7">
        <v>7527.4080675820915</v>
      </c>
    </row>
    <row r="236" spans="1:8" x14ac:dyDescent="0.35">
      <c r="A236">
        <v>311350</v>
      </c>
      <c r="B236">
        <v>3113503</v>
      </c>
      <c r="C236" t="s">
        <v>33</v>
      </c>
      <c r="D236">
        <v>2019</v>
      </c>
      <c r="E236" s="7">
        <v>6021.98</v>
      </c>
      <c r="F236" s="8">
        <v>7666.6503406042948</v>
      </c>
      <c r="G236" s="7">
        <v>6174.59</v>
      </c>
      <c r="H236" s="7">
        <v>7860.9398241331364</v>
      </c>
    </row>
    <row r="237" spans="1:8" x14ac:dyDescent="0.35">
      <c r="A237">
        <v>311350</v>
      </c>
      <c r="B237">
        <v>3113503</v>
      </c>
      <c r="C237" t="s">
        <v>33</v>
      </c>
      <c r="D237">
        <v>2020</v>
      </c>
      <c r="E237" s="7">
        <v>7541.83</v>
      </c>
      <c r="F237" s="8">
        <v>9186.5882728451488</v>
      </c>
      <c r="G237" s="7">
        <v>7551.48</v>
      </c>
      <c r="H237" s="7">
        <v>9198.3485737175906</v>
      </c>
    </row>
    <row r="238" spans="1:8" x14ac:dyDescent="0.35">
      <c r="A238">
        <v>311350</v>
      </c>
      <c r="B238">
        <v>3113503</v>
      </c>
      <c r="C238" t="s">
        <v>33</v>
      </c>
      <c r="D238">
        <v>2021</v>
      </c>
      <c r="E238" s="7">
        <v>7311.58</v>
      </c>
      <c r="F238" s="8">
        <v>8091.9904880687054</v>
      </c>
      <c r="G238" s="7">
        <v>6712.81</v>
      </c>
      <c r="H238" s="7">
        <v>7429.3125179190401</v>
      </c>
    </row>
    <row r="239" spans="1:8" x14ac:dyDescent="0.35">
      <c r="A239">
        <v>311350</v>
      </c>
      <c r="B239">
        <v>3113503</v>
      </c>
      <c r="C239" t="s">
        <v>33</v>
      </c>
      <c r="D239">
        <v>2022</v>
      </c>
      <c r="E239" s="7">
        <v>11056.03</v>
      </c>
      <c r="F239" s="8">
        <v>11566.950153318847</v>
      </c>
      <c r="G239" s="7">
        <v>7702.07</v>
      </c>
      <c r="H239" s="7">
        <v>8058.0020625969828</v>
      </c>
    </row>
    <row r="240" spans="1:8" x14ac:dyDescent="0.35">
      <c r="A240">
        <v>311350</v>
      </c>
      <c r="B240">
        <v>3113503</v>
      </c>
      <c r="C240" t="s">
        <v>33</v>
      </c>
      <c r="D240">
        <v>2023</v>
      </c>
      <c r="E240" s="7">
        <v>10015.469999999999</v>
      </c>
      <c r="F240" s="8">
        <v>10015.469999999999</v>
      </c>
      <c r="G240" s="7">
        <v>11329.92</v>
      </c>
      <c r="H240" s="7">
        <v>11329.921561938958</v>
      </c>
    </row>
    <row r="241" spans="1:8" x14ac:dyDescent="0.35">
      <c r="A241">
        <v>311350</v>
      </c>
      <c r="B241">
        <v>3113503</v>
      </c>
      <c r="C241" t="s">
        <v>33</v>
      </c>
      <c r="D241">
        <v>2024</v>
      </c>
      <c r="E241" s="7">
        <v>13616.74</v>
      </c>
      <c r="F241" s="8">
        <v>12989.205906598127</v>
      </c>
      <c r="G241" s="7">
        <v>11982.19</v>
      </c>
      <c r="H241" s="7">
        <v>11429.982981183712</v>
      </c>
    </row>
    <row r="242" spans="1:8" x14ac:dyDescent="0.35">
      <c r="A242">
        <v>311370</v>
      </c>
      <c r="B242">
        <v>3113701</v>
      </c>
      <c r="C242" t="s">
        <v>34</v>
      </c>
      <c r="D242">
        <v>2015</v>
      </c>
      <c r="E242" s="7">
        <v>5643.97</v>
      </c>
      <c r="F242" s="8">
        <v>8508.053931166638</v>
      </c>
      <c r="G242" s="7">
        <v>5293.36</v>
      </c>
      <c r="H242" s="7">
        <v>7979.52861626909</v>
      </c>
    </row>
    <row r="243" spans="1:8" x14ac:dyDescent="0.35">
      <c r="A243">
        <v>311370</v>
      </c>
      <c r="B243">
        <v>3113701</v>
      </c>
      <c r="C243" t="s">
        <v>34</v>
      </c>
      <c r="D243">
        <v>2016</v>
      </c>
      <c r="E243" s="7">
        <v>5191.5200000000004</v>
      </c>
      <c r="F243" s="8">
        <v>7363.0183366626898</v>
      </c>
      <c r="G243" s="7">
        <v>6577.12</v>
      </c>
      <c r="H243" s="7">
        <v>9328.1777964858502</v>
      </c>
    </row>
    <row r="244" spans="1:8" x14ac:dyDescent="0.35">
      <c r="A244">
        <v>311370</v>
      </c>
      <c r="B244">
        <v>3113701</v>
      </c>
      <c r="C244" t="s">
        <v>34</v>
      </c>
      <c r="D244">
        <v>2017</v>
      </c>
      <c r="E244" s="7">
        <v>4786.51</v>
      </c>
      <c r="F244" s="8">
        <v>6594.2415045988382</v>
      </c>
      <c r="G244" s="7">
        <v>6367.88</v>
      </c>
      <c r="H244" s="7">
        <v>8772.8576179935353</v>
      </c>
    </row>
    <row r="245" spans="1:8" x14ac:dyDescent="0.35">
      <c r="A245">
        <v>311370</v>
      </c>
      <c r="B245">
        <v>3113701</v>
      </c>
      <c r="C245" t="s">
        <v>34</v>
      </c>
      <c r="D245">
        <v>2018</v>
      </c>
      <c r="E245" s="7">
        <v>6058.75</v>
      </c>
      <c r="F245" s="8">
        <v>8045.6160366113081</v>
      </c>
      <c r="G245" s="7">
        <v>6317.55</v>
      </c>
      <c r="H245" s="7">
        <v>8389.2899179306023</v>
      </c>
    </row>
    <row r="246" spans="1:8" x14ac:dyDescent="0.35">
      <c r="A246">
        <v>311370</v>
      </c>
      <c r="B246">
        <v>3113701</v>
      </c>
      <c r="C246" t="s">
        <v>34</v>
      </c>
      <c r="D246">
        <v>2019</v>
      </c>
      <c r="E246" s="7">
        <v>6557.72</v>
      </c>
      <c r="F246" s="8">
        <v>8348.7069488087964</v>
      </c>
      <c r="G246" s="7">
        <v>6607.68</v>
      </c>
      <c r="H246" s="7">
        <v>8412.3120858222155</v>
      </c>
    </row>
    <row r="247" spans="1:8" x14ac:dyDescent="0.35">
      <c r="A247">
        <v>311370</v>
      </c>
      <c r="B247">
        <v>3113701</v>
      </c>
      <c r="C247" t="s">
        <v>34</v>
      </c>
      <c r="D247">
        <v>2020</v>
      </c>
      <c r="E247" s="7">
        <v>6214.87</v>
      </c>
      <c r="F247" s="8">
        <v>7570.2385043493587</v>
      </c>
      <c r="G247" s="7">
        <v>6407.01</v>
      </c>
      <c r="H247" s="7">
        <v>7804.2828950118756</v>
      </c>
    </row>
    <row r="248" spans="1:8" x14ac:dyDescent="0.35">
      <c r="A248">
        <v>311370</v>
      </c>
      <c r="B248">
        <v>3113701</v>
      </c>
      <c r="C248" t="s">
        <v>34</v>
      </c>
      <c r="D248">
        <v>2021</v>
      </c>
      <c r="E248" s="7">
        <v>9195.24</v>
      </c>
      <c r="F248" s="8">
        <v>10176.705255978719</v>
      </c>
      <c r="G248" s="7">
        <v>9645.49</v>
      </c>
      <c r="H248" s="7">
        <v>10675.010482578915</v>
      </c>
    </row>
    <row r="249" spans="1:8" x14ac:dyDescent="0.35">
      <c r="A249">
        <v>311370</v>
      </c>
      <c r="B249">
        <v>3113701</v>
      </c>
      <c r="C249" t="s">
        <v>34</v>
      </c>
      <c r="D249">
        <v>2022</v>
      </c>
      <c r="E249" s="7">
        <v>10609.53</v>
      </c>
      <c r="F249" s="8">
        <v>11099.816539946158</v>
      </c>
      <c r="G249" s="7">
        <v>11302.12</v>
      </c>
      <c r="H249" s="7">
        <v>11824.417546366918</v>
      </c>
    </row>
    <row r="250" spans="1:8" x14ac:dyDescent="0.35">
      <c r="A250">
        <v>311370</v>
      </c>
      <c r="B250">
        <v>3113701</v>
      </c>
      <c r="C250" t="s">
        <v>34</v>
      </c>
      <c r="D250">
        <v>2023</v>
      </c>
      <c r="E250" s="7">
        <v>14419.6</v>
      </c>
      <c r="F250" s="8">
        <v>14419.6</v>
      </c>
      <c r="G250" s="7">
        <v>16457.78</v>
      </c>
      <c r="H250" s="7">
        <v>16457.781830027085</v>
      </c>
    </row>
    <row r="251" spans="1:8" x14ac:dyDescent="0.35">
      <c r="A251">
        <v>311370</v>
      </c>
      <c r="B251">
        <v>3113701</v>
      </c>
      <c r="C251" t="s">
        <v>34</v>
      </c>
      <c r="D251">
        <v>2024</v>
      </c>
      <c r="E251" s="7">
        <v>19077.650000000001</v>
      </c>
      <c r="F251" s="8">
        <v>18198.447210126051</v>
      </c>
      <c r="G251" s="7">
        <v>16072.77</v>
      </c>
      <c r="H251" s="7">
        <v>15332.052002975182</v>
      </c>
    </row>
    <row r="252" spans="1:8" x14ac:dyDescent="0.35">
      <c r="A252">
        <v>311380</v>
      </c>
      <c r="B252">
        <v>3113800</v>
      </c>
      <c r="C252" t="s">
        <v>35</v>
      </c>
      <c r="D252">
        <v>2015</v>
      </c>
      <c r="E252" s="7">
        <v>4963.24</v>
      </c>
      <c r="F252" s="8">
        <v>7481.8812986822222</v>
      </c>
      <c r="G252" s="7">
        <v>5155.28</v>
      </c>
      <c r="H252" s="7">
        <v>7771.377500819699</v>
      </c>
    </row>
    <row r="253" spans="1:8" x14ac:dyDescent="0.35">
      <c r="A253">
        <v>311380</v>
      </c>
      <c r="B253">
        <v>3113800</v>
      </c>
      <c r="C253" t="s">
        <v>35</v>
      </c>
      <c r="D253">
        <v>2016</v>
      </c>
      <c r="E253" s="7">
        <v>5751.96</v>
      </c>
      <c r="F253" s="8">
        <v>8157.8780302782843</v>
      </c>
      <c r="G253" s="7">
        <v>6990.05</v>
      </c>
      <c r="H253" s="7">
        <v>9913.8341146520634</v>
      </c>
    </row>
    <row r="254" spans="1:8" x14ac:dyDescent="0.35">
      <c r="A254">
        <v>311380</v>
      </c>
      <c r="B254">
        <v>3113800</v>
      </c>
      <c r="C254" t="s">
        <v>35</v>
      </c>
      <c r="D254">
        <v>2017</v>
      </c>
      <c r="E254" s="7">
        <v>5564.77</v>
      </c>
      <c r="F254" s="8">
        <v>7666.4286291152584</v>
      </c>
      <c r="G254" s="7">
        <v>5855.98</v>
      </c>
      <c r="H254" s="7">
        <v>8067.6198299042089</v>
      </c>
    </row>
    <row r="255" spans="1:8" x14ac:dyDescent="0.35">
      <c r="A255">
        <v>311380</v>
      </c>
      <c r="B255">
        <v>3113800</v>
      </c>
      <c r="C255" t="s">
        <v>35</v>
      </c>
      <c r="D255">
        <v>2018</v>
      </c>
      <c r="E255" s="7">
        <v>6169.24</v>
      </c>
      <c r="F255" s="8">
        <v>8192.339389759265</v>
      </c>
      <c r="G255" s="7">
        <v>5944.49</v>
      </c>
      <c r="H255" s="7">
        <v>7893.8825876126439</v>
      </c>
    </row>
    <row r="256" spans="1:8" x14ac:dyDescent="0.35">
      <c r="A256">
        <v>311380</v>
      </c>
      <c r="B256">
        <v>3113800</v>
      </c>
      <c r="C256" t="s">
        <v>35</v>
      </c>
      <c r="D256">
        <v>2019</v>
      </c>
      <c r="E256" s="7">
        <v>7176.91</v>
      </c>
      <c r="F256" s="8">
        <v>9137.0046888210145</v>
      </c>
      <c r="G256" s="7">
        <v>7890.1</v>
      </c>
      <c r="H256" s="7">
        <v>10044.981074273486</v>
      </c>
    </row>
    <row r="257" spans="1:8" x14ac:dyDescent="0.35">
      <c r="A257">
        <v>311380</v>
      </c>
      <c r="B257">
        <v>3113800</v>
      </c>
      <c r="C257" t="s">
        <v>35</v>
      </c>
      <c r="D257">
        <v>2020</v>
      </c>
      <c r="E257" s="7">
        <v>8009.83</v>
      </c>
      <c r="F257" s="8">
        <v>9756.6519459445863</v>
      </c>
      <c r="G257" s="7">
        <v>7333.78</v>
      </c>
      <c r="H257" s="7">
        <v>8933.1699897067319</v>
      </c>
    </row>
    <row r="258" spans="1:8" x14ac:dyDescent="0.35">
      <c r="A258">
        <v>311380</v>
      </c>
      <c r="B258">
        <v>3113800</v>
      </c>
      <c r="C258" t="s">
        <v>35</v>
      </c>
      <c r="D258">
        <v>2021</v>
      </c>
      <c r="E258" s="7">
        <v>9987.1299999999992</v>
      </c>
      <c r="F258" s="8">
        <v>11053.118609535231</v>
      </c>
      <c r="G258" s="7">
        <v>9248.48</v>
      </c>
      <c r="H258" s="7">
        <v>10235.630403330068</v>
      </c>
    </row>
    <row r="259" spans="1:8" x14ac:dyDescent="0.35">
      <c r="A259">
        <v>311380</v>
      </c>
      <c r="B259">
        <v>3113800</v>
      </c>
      <c r="C259" t="s">
        <v>35</v>
      </c>
      <c r="D259">
        <v>2022</v>
      </c>
      <c r="E259" s="7">
        <v>11824.1</v>
      </c>
      <c r="F259" s="8">
        <v>12370.514127390879</v>
      </c>
      <c r="G259" s="7">
        <v>10997.47</v>
      </c>
      <c r="H259" s="7">
        <v>11505.688588393961</v>
      </c>
    </row>
    <row r="260" spans="1:8" x14ac:dyDescent="0.35">
      <c r="A260">
        <v>311380</v>
      </c>
      <c r="B260">
        <v>3113800</v>
      </c>
      <c r="C260" t="s">
        <v>35</v>
      </c>
      <c r="D260">
        <v>2023</v>
      </c>
      <c r="E260" s="7">
        <v>11401.91</v>
      </c>
      <c r="F260" s="8">
        <v>11401.91</v>
      </c>
      <c r="G260" s="7">
        <v>20525.560000000001</v>
      </c>
      <c r="H260" s="7">
        <v>20525.557825306041</v>
      </c>
    </row>
    <row r="261" spans="1:8" x14ac:dyDescent="0.35">
      <c r="A261">
        <v>311380</v>
      </c>
      <c r="B261">
        <v>3113800</v>
      </c>
      <c r="C261" t="s">
        <v>35</v>
      </c>
      <c r="D261">
        <v>2024</v>
      </c>
      <c r="E261" s="7">
        <v>14966.06</v>
      </c>
      <c r="F261" s="8">
        <v>14276.341837363567</v>
      </c>
      <c r="G261" s="7">
        <v>15066.98</v>
      </c>
      <c r="H261" s="7">
        <v>14372.614333551557</v>
      </c>
    </row>
    <row r="262" spans="1:8" x14ac:dyDescent="0.35">
      <c r="A262">
        <v>311545</v>
      </c>
      <c r="B262">
        <v>3115458</v>
      </c>
      <c r="C262" t="s">
        <v>36</v>
      </c>
      <c r="D262">
        <v>2015</v>
      </c>
      <c r="E262" s="7">
        <v>4783.7</v>
      </c>
      <c r="F262" s="8">
        <v>7211.2320920419215</v>
      </c>
      <c r="G262" s="7">
        <v>6706.28</v>
      </c>
      <c r="H262" s="7">
        <v>10109.44613160693</v>
      </c>
    </row>
    <row r="263" spans="1:8" x14ac:dyDescent="0.35">
      <c r="A263">
        <v>311545</v>
      </c>
      <c r="B263">
        <v>3115458</v>
      </c>
      <c r="C263" t="s">
        <v>36</v>
      </c>
      <c r="D263">
        <v>2016</v>
      </c>
      <c r="E263" s="7">
        <v>6491.11</v>
      </c>
      <c r="F263" s="8">
        <v>9206.198176120779</v>
      </c>
      <c r="G263" s="7">
        <v>8299.85</v>
      </c>
      <c r="H263" s="7">
        <v>11771.493696067681</v>
      </c>
    </row>
    <row r="264" spans="1:8" x14ac:dyDescent="0.35">
      <c r="A264">
        <v>311545</v>
      </c>
      <c r="B264">
        <v>3115458</v>
      </c>
      <c r="C264" t="s">
        <v>36</v>
      </c>
      <c r="D264">
        <v>2017</v>
      </c>
      <c r="E264" s="7">
        <v>7177.49</v>
      </c>
      <c r="F264" s="8">
        <v>9888.2280527656076</v>
      </c>
      <c r="G264" s="7">
        <v>7241.27</v>
      </c>
      <c r="H264" s="7">
        <v>9976.0919875595646</v>
      </c>
    </row>
    <row r="265" spans="1:8" x14ac:dyDescent="0.35">
      <c r="A265">
        <v>311545</v>
      </c>
      <c r="B265">
        <v>3115458</v>
      </c>
      <c r="C265" t="s">
        <v>36</v>
      </c>
      <c r="D265">
        <v>2018</v>
      </c>
      <c r="E265" s="7">
        <v>7465.55</v>
      </c>
      <c r="F265" s="8">
        <v>9913.7526390961102</v>
      </c>
      <c r="G265" s="7">
        <v>6768.08</v>
      </c>
      <c r="H265" s="7">
        <v>8987.5556968005294</v>
      </c>
    </row>
    <row r="266" spans="1:8" x14ac:dyDescent="0.35">
      <c r="A266">
        <v>311545</v>
      </c>
      <c r="B266">
        <v>3115458</v>
      </c>
      <c r="C266" t="s">
        <v>36</v>
      </c>
      <c r="D266">
        <v>2019</v>
      </c>
      <c r="E266" s="7">
        <v>10240.49</v>
      </c>
      <c r="F266" s="8">
        <v>13037.282778497251</v>
      </c>
      <c r="G266" s="7">
        <v>8776.6299999999992</v>
      </c>
      <c r="H266" s="7">
        <v>11173.619911756496</v>
      </c>
    </row>
    <row r="267" spans="1:8" x14ac:dyDescent="0.35">
      <c r="A267">
        <v>311545</v>
      </c>
      <c r="B267">
        <v>3115458</v>
      </c>
      <c r="C267" t="s">
        <v>36</v>
      </c>
      <c r="D267">
        <v>2020</v>
      </c>
      <c r="E267" s="7">
        <v>8610.6</v>
      </c>
      <c r="F267" s="8">
        <v>10488.440734166699</v>
      </c>
      <c r="G267" s="7">
        <v>6959.06</v>
      </c>
      <c r="H267" s="7">
        <v>8476.7302827820349</v>
      </c>
    </row>
    <row r="268" spans="1:8" x14ac:dyDescent="0.35">
      <c r="A268">
        <v>311545</v>
      </c>
      <c r="B268">
        <v>3115458</v>
      </c>
      <c r="C268" t="s">
        <v>36</v>
      </c>
      <c r="D268">
        <v>2021</v>
      </c>
      <c r="E268" s="7">
        <v>8014.89</v>
      </c>
      <c r="F268" s="8">
        <v>8870.3691463291088</v>
      </c>
      <c r="G268" s="7">
        <v>8746.65</v>
      </c>
      <c r="H268" s="7">
        <v>9680.2382299890105</v>
      </c>
    </row>
    <row r="269" spans="1:8" x14ac:dyDescent="0.35">
      <c r="A269">
        <v>311545</v>
      </c>
      <c r="B269">
        <v>3115458</v>
      </c>
      <c r="C269" t="s">
        <v>36</v>
      </c>
      <c r="D269">
        <v>2022</v>
      </c>
      <c r="E269" s="7">
        <v>11361.49</v>
      </c>
      <c r="F269" s="8">
        <v>11886.526040308368</v>
      </c>
      <c r="G269" s="7">
        <v>16312.88</v>
      </c>
      <c r="H269" s="7">
        <v>17066.727382964124</v>
      </c>
    </row>
    <row r="270" spans="1:8" x14ac:dyDescent="0.35">
      <c r="A270">
        <v>311545</v>
      </c>
      <c r="B270">
        <v>3115458</v>
      </c>
      <c r="C270" t="s">
        <v>36</v>
      </c>
      <c r="D270">
        <v>2023</v>
      </c>
      <c r="E270" s="7">
        <v>12839.27</v>
      </c>
      <c r="F270" s="8">
        <v>12839.27</v>
      </c>
      <c r="G270" s="7">
        <v>18459.32</v>
      </c>
      <c r="H270" s="7">
        <v>18459.320446558933</v>
      </c>
    </row>
    <row r="271" spans="1:8" x14ac:dyDescent="0.35">
      <c r="A271">
        <v>311545</v>
      </c>
      <c r="B271">
        <v>3115458</v>
      </c>
      <c r="C271" t="s">
        <v>36</v>
      </c>
      <c r="D271">
        <v>2024</v>
      </c>
      <c r="E271" s="7">
        <v>11989.16</v>
      </c>
      <c r="F271" s="8">
        <v>11436.633723427929</v>
      </c>
      <c r="G271" s="7">
        <v>17639.669999999998</v>
      </c>
      <c r="H271" s="7">
        <v>16826.739868821915</v>
      </c>
    </row>
    <row r="272" spans="1:8" x14ac:dyDescent="0.35">
      <c r="A272">
        <v>311547</v>
      </c>
      <c r="B272">
        <v>3115474</v>
      </c>
      <c r="C272" t="s">
        <v>37</v>
      </c>
      <c r="D272">
        <v>2015</v>
      </c>
      <c r="E272" s="7">
        <v>6037.97</v>
      </c>
      <c r="F272" s="8">
        <v>9101.992816185455</v>
      </c>
      <c r="G272" s="7">
        <v>5997.56</v>
      </c>
      <c r="H272" s="7">
        <v>9041.0745574951561</v>
      </c>
    </row>
    <row r="273" spans="1:8" x14ac:dyDescent="0.35">
      <c r="A273">
        <v>311547</v>
      </c>
      <c r="B273">
        <v>3115474</v>
      </c>
      <c r="C273" t="s">
        <v>37</v>
      </c>
      <c r="D273">
        <v>2016</v>
      </c>
      <c r="E273" s="7">
        <v>6480.25</v>
      </c>
      <c r="F273" s="8">
        <v>9190.7956775970015</v>
      </c>
      <c r="G273" s="7">
        <v>7549.71</v>
      </c>
      <c r="H273" s="7">
        <v>10707.589881210539</v>
      </c>
    </row>
    <row r="274" spans="1:8" x14ac:dyDescent="0.35">
      <c r="A274">
        <v>311547</v>
      </c>
      <c r="B274">
        <v>3115474</v>
      </c>
      <c r="C274" t="s">
        <v>37</v>
      </c>
      <c r="D274">
        <v>2017</v>
      </c>
      <c r="E274" s="7">
        <v>5462.72</v>
      </c>
      <c r="F274" s="8">
        <v>7525.8371865936069</v>
      </c>
      <c r="G274" s="7">
        <v>6568.02</v>
      </c>
      <c r="H274" s="7">
        <v>9048.5740998624606</v>
      </c>
    </row>
    <row r="275" spans="1:8" x14ac:dyDescent="0.35">
      <c r="A275">
        <v>311547</v>
      </c>
      <c r="B275">
        <v>3115474</v>
      </c>
      <c r="C275" t="s">
        <v>37</v>
      </c>
      <c r="D275">
        <v>2018</v>
      </c>
      <c r="E275" s="7">
        <v>5715.28</v>
      </c>
      <c r="F275" s="8">
        <v>7589.5107772599749</v>
      </c>
      <c r="G275" s="7">
        <v>6520.66</v>
      </c>
      <c r="H275" s="7">
        <v>8659.0006997877354</v>
      </c>
    </row>
    <row r="276" spans="1:8" x14ac:dyDescent="0.35">
      <c r="A276">
        <v>311547</v>
      </c>
      <c r="B276">
        <v>3115474</v>
      </c>
      <c r="C276" t="s">
        <v>37</v>
      </c>
      <c r="D276">
        <v>2019</v>
      </c>
      <c r="E276" s="7">
        <v>6039.5</v>
      </c>
      <c r="F276" s="8">
        <v>7688.9552492833982</v>
      </c>
      <c r="G276" s="7">
        <v>8753.69</v>
      </c>
      <c r="H276" s="7">
        <v>11144.421987724518</v>
      </c>
    </row>
    <row r="277" spans="1:8" x14ac:dyDescent="0.35">
      <c r="A277">
        <v>311547</v>
      </c>
      <c r="B277">
        <v>3115474</v>
      </c>
      <c r="C277" t="s">
        <v>37</v>
      </c>
      <c r="D277">
        <v>2020</v>
      </c>
      <c r="E277" s="7">
        <v>6510.58</v>
      </c>
      <c r="F277" s="8">
        <v>7930.4383521532791</v>
      </c>
      <c r="G277" s="7">
        <v>8645.8700000000008</v>
      </c>
      <c r="H277" s="7">
        <v>10531.405607030561</v>
      </c>
    </row>
    <row r="278" spans="1:8" x14ac:dyDescent="0.35">
      <c r="A278">
        <v>311547</v>
      </c>
      <c r="B278">
        <v>3115474</v>
      </c>
      <c r="C278" t="s">
        <v>37</v>
      </c>
      <c r="D278">
        <v>2021</v>
      </c>
      <c r="E278" s="7">
        <v>8987.5499999999993</v>
      </c>
      <c r="F278" s="8">
        <v>9946.8472082698809</v>
      </c>
      <c r="G278" s="7">
        <v>10599.91</v>
      </c>
      <c r="H278" s="7">
        <v>11731.308307858304</v>
      </c>
    </row>
    <row r="279" spans="1:8" x14ac:dyDescent="0.35">
      <c r="A279">
        <v>311547</v>
      </c>
      <c r="B279">
        <v>3115474</v>
      </c>
      <c r="C279" t="s">
        <v>37</v>
      </c>
      <c r="D279">
        <v>2022</v>
      </c>
      <c r="E279" s="7">
        <v>10697.44</v>
      </c>
      <c r="F279" s="8">
        <v>11191.789028079624</v>
      </c>
      <c r="G279" s="7">
        <v>14974.04</v>
      </c>
      <c r="H279" s="7">
        <v>15666.022331830634</v>
      </c>
    </row>
    <row r="280" spans="1:8" x14ac:dyDescent="0.35">
      <c r="A280">
        <v>311547</v>
      </c>
      <c r="B280">
        <v>3115474</v>
      </c>
      <c r="C280" t="s">
        <v>37</v>
      </c>
      <c r="D280">
        <v>2023</v>
      </c>
      <c r="E280" s="7">
        <v>10633.88</v>
      </c>
      <c r="F280" s="8">
        <v>10633.88</v>
      </c>
      <c r="G280" s="7">
        <v>12618.89</v>
      </c>
      <c r="H280" s="7">
        <v>12618.889183137149</v>
      </c>
    </row>
    <row r="281" spans="1:8" x14ac:dyDescent="0.35">
      <c r="A281">
        <v>311547</v>
      </c>
      <c r="B281">
        <v>3115474</v>
      </c>
      <c r="C281" t="s">
        <v>37</v>
      </c>
      <c r="D281">
        <v>2024</v>
      </c>
      <c r="E281" s="7">
        <v>11120.83</v>
      </c>
      <c r="F281" s="8">
        <v>10608.321134300402</v>
      </c>
      <c r="G281" s="7">
        <v>11687.11</v>
      </c>
      <c r="H281" s="7">
        <v>11148.50766916515</v>
      </c>
    </row>
    <row r="282" spans="1:8" x14ac:dyDescent="0.35">
      <c r="A282">
        <v>311610</v>
      </c>
      <c r="B282">
        <v>3116100</v>
      </c>
      <c r="C282" t="s">
        <v>38</v>
      </c>
      <c r="D282">
        <v>2015</v>
      </c>
      <c r="E282" s="7">
        <v>13095.89</v>
      </c>
      <c r="F282" s="8">
        <v>19741.518540429141</v>
      </c>
      <c r="G282" s="7">
        <v>15722.88</v>
      </c>
      <c r="H282" s="7">
        <v>23701.60478539587</v>
      </c>
    </row>
    <row r="283" spans="1:8" x14ac:dyDescent="0.35">
      <c r="A283">
        <v>311610</v>
      </c>
      <c r="B283">
        <v>3116100</v>
      </c>
      <c r="C283" t="s">
        <v>38</v>
      </c>
      <c r="D283">
        <v>2016</v>
      </c>
      <c r="E283" s="7">
        <v>9884.51</v>
      </c>
      <c r="F283" s="8">
        <v>14018.982567518899</v>
      </c>
      <c r="G283" s="7">
        <v>17348.21</v>
      </c>
      <c r="H283" s="7">
        <v>24604.578133380033</v>
      </c>
    </row>
    <row r="284" spans="1:8" x14ac:dyDescent="0.35">
      <c r="A284">
        <v>311610</v>
      </c>
      <c r="B284">
        <v>3116100</v>
      </c>
      <c r="C284" t="s">
        <v>38</v>
      </c>
      <c r="D284">
        <v>2017</v>
      </c>
      <c r="E284" s="7">
        <v>7186.44</v>
      </c>
      <c r="F284" s="8">
        <v>9900.5582184742671</v>
      </c>
      <c r="G284" s="7">
        <v>16175.61</v>
      </c>
      <c r="H284" s="7">
        <v>22284.691307214667</v>
      </c>
    </row>
    <row r="285" spans="1:8" x14ac:dyDescent="0.35">
      <c r="A285">
        <v>311610</v>
      </c>
      <c r="B285">
        <v>3116100</v>
      </c>
      <c r="C285" t="s">
        <v>38</v>
      </c>
      <c r="D285">
        <v>2018</v>
      </c>
      <c r="E285" s="7">
        <v>11998.45</v>
      </c>
      <c r="F285" s="8">
        <v>15933.141610807337</v>
      </c>
      <c r="G285" s="7">
        <v>14571.1</v>
      </c>
      <c r="H285" s="7">
        <v>19349.451878380914</v>
      </c>
    </row>
    <row r="286" spans="1:8" x14ac:dyDescent="0.35">
      <c r="A286">
        <v>311610</v>
      </c>
      <c r="B286">
        <v>3116100</v>
      </c>
      <c r="C286" t="s">
        <v>38</v>
      </c>
      <c r="D286">
        <v>2019</v>
      </c>
      <c r="E286" s="7">
        <v>8908.67</v>
      </c>
      <c r="F286" s="8">
        <v>11341.727785517598</v>
      </c>
      <c r="G286" s="7">
        <v>16483.63</v>
      </c>
      <c r="H286" s="7">
        <v>20985.491014783198</v>
      </c>
    </row>
    <row r="287" spans="1:8" x14ac:dyDescent="0.35">
      <c r="A287">
        <v>311610</v>
      </c>
      <c r="B287">
        <v>3116100</v>
      </c>
      <c r="C287" t="s">
        <v>38</v>
      </c>
      <c r="D287">
        <v>2020</v>
      </c>
      <c r="E287" s="7">
        <v>10826.66</v>
      </c>
      <c r="F287" s="8">
        <v>13187.789673074261</v>
      </c>
      <c r="G287" s="7">
        <v>13113.59</v>
      </c>
      <c r="H287" s="7">
        <v>15973.468386779341</v>
      </c>
    </row>
    <row r="288" spans="1:8" x14ac:dyDescent="0.35">
      <c r="A288">
        <v>311610</v>
      </c>
      <c r="B288">
        <v>3116100</v>
      </c>
      <c r="C288" t="s">
        <v>38</v>
      </c>
      <c r="D288">
        <v>2021</v>
      </c>
      <c r="E288" s="7">
        <v>14010.49</v>
      </c>
      <c r="F288" s="8">
        <v>15505.91688980791</v>
      </c>
      <c r="G288" s="7">
        <v>18057.240000000002</v>
      </c>
      <c r="H288" s="7">
        <v>19984.598128957521</v>
      </c>
    </row>
    <row r="289" spans="1:8" x14ac:dyDescent="0.35">
      <c r="A289">
        <v>311610</v>
      </c>
      <c r="B289">
        <v>3116100</v>
      </c>
      <c r="C289" t="s">
        <v>38</v>
      </c>
      <c r="D289">
        <v>2022</v>
      </c>
      <c r="E289" s="7">
        <v>17463.759999999998</v>
      </c>
      <c r="F289" s="8">
        <v>18270.793531631472</v>
      </c>
      <c r="G289" s="7">
        <v>31724.799999999999</v>
      </c>
      <c r="H289" s="7">
        <v>33190.861146914169</v>
      </c>
    </row>
    <row r="290" spans="1:8" x14ac:dyDescent="0.35">
      <c r="A290">
        <v>311610</v>
      </c>
      <c r="B290">
        <v>3116100</v>
      </c>
      <c r="C290" t="s">
        <v>38</v>
      </c>
      <c r="D290">
        <v>2023</v>
      </c>
      <c r="E290" s="7">
        <v>16991.68</v>
      </c>
      <c r="F290" s="8">
        <v>16991.68</v>
      </c>
      <c r="G290" s="7">
        <v>37438.57</v>
      </c>
      <c r="H290" s="7">
        <v>37438.565301500486</v>
      </c>
    </row>
    <row r="291" spans="1:8" x14ac:dyDescent="0.35">
      <c r="A291">
        <v>311610</v>
      </c>
      <c r="B291">
        <v>3116100</v>
      </c>
      <c r="C291" t="s">
        <v>38</v>
      </c>
      <c r="D291">
        <v>2024</v>
      </c>
      <c r="E291" s="7">
        <v>19862.59</v>
      </c>
      <c r="F291" s="8">
        <v>18947.212868009297</v>
      </c>
      <c r="G291" s="7">
        <v>43721.43</v>
      </c>
      <c r="H291" s="7">
        <v>41706.508637826104</v>
      </c>
    </row>
    <row r="292" spans="1:8" x14ac:dyDescent="0.35">
      <c r="A292">
        <v>311615</v>
      </c>
      <c r="B292">
        <v>3116159</v>
      </c>
      <c r="C292" t="s">
        <v>39</v>
      </c>
      <c r="D292">
        <v>2015</v>
      </c>
      <c r="E292" s="7">
        <v>5805.48</v>
      </c>
      <c r="F292" s="8">
        <v>8751.5236502513817</v>
      </c>
      <c r="G292" s="7">
        <v>5094.8500000000004</v>
      </c>
      <c r="H292" s="7">
        <v>7680.2842668513958</v>
      </c>
    </row>
    <row r="293" spans="1:8" x14ac:dyDescent="0.35">
      <c r="A293">
        <v>311615</v>
      </c>
      <c r="B293">
        <v>3116159</v>
      </c>
      <c r="C293" t="s">
        <v>39</v>
      </c>
      <c r="D293">
        <v>2016</v>
      </c>
      <c r="E293" s="7">
        <v>5724.46</v>
      </c>
      <c r="F293" s="8">
        <v>8118.8753866867692</v>
      </c>
      <c r="G293" s="7">
        <v>7120</v>
      </c>
      <c r="H293" s="7">
        <v>10098.135343576347</v>
      </c>
    </row>
    <row r="294" spans="1:8" x14ac:dyDescent="0.35">
      <c r="A294">
        <v>311615</v>
      </c>
      <c r="B294">
        <v>3116159</v>
      </c>
      <c r="C294" t="s">
        <v>39</v>
      </c>
      <c r="D294">
        <v>2017</v>
      </c>
      <c r="E294" s="7">
        <v>5215.47</v>
      </c>
      <c r="F294" s="8">
        <v>7185.2077484409519</v>
      </c>
      <c r="G294" s="7">
        <v>5744.31</v>
      </c>
      <c r="H294" s="7">
        <v>7913.7743867445106</v>
      </c>
    </row>
    <row r="295" spans="1:8" x14ac:dyDescent="0.35">
      <c r="A295">
        <v>311615</v>
      </c>
      <c r="B295">
        <v>3116159</v>
      </c>
      <c r="C295" t="s">
        <v>39</v>
      </c>
      <c r="D295">
        <v>2018</v>
      </c>
      <c r="E295" s="7">
        <v>4055.08</v>
      </c>
      <c r="F295" s="8">
        <v>5384.8758700626004</v>
      </c>
      <c r="G295" s="7">
        <v>4718.53</v>
      </c>
      <c r="H295" s="7">
        <v>6265.8877747769557</v>
      </c>
    </row>
    <row r="296" spans="1:8" x14ac:dyDescent="0.35">
      <c r="A296">
        <v>311615</v>
      </c>
      <c r="B296">
        <v>3116159</v>
      </c>
      <c r="C296" t="s">
        <v>39</v>
      </c>
      <c r="D296">
        <v>2019</v>
      </c>
      <c r="E296" s="7">
        <v>4607.43</v>
      </c>
      <c r="F296" s="8">
        <v>5865.7708558996292</v>
      </c>
      <c r="G296" s="7">
        <v>5878.78</v>
      </c>
      <c r="H296" s="7">
        <v>7484.3430934151293</v>
      </c>
    </row>
    <row r="297" spans="1:8" x14ac:dyDescent="0.35">
      <c r="A297">
        <v>311615</v>
      </c>
      <c r="B297">
        <v>3116159</v>
      </c>
      <c r="C297" t="s">
        <v>39</v>
      </c>
      <c r="D297">
        <v>2020</v>
      </c>
      <c r="E297" s="7">
        <v>4969.45</v>
      </c>
      <c r="F297" s="8">
        <v>6053.2113681282026</v>
      </c>
      <c r="G297" s="7">
        <v>4139.66</v>
      </c>
      <c r="H297" s="7">
        <v>5042.4516519502695</v>
      </c>
    </row>
    <row r="298" spans="1:8" x14ac:dyDescent="0.35">
      <c r="A298">
        <v>311615</v>
      </c>
      <c r="B298">
        <v>3116159</v>
      </c>
      <c r="C298" t="s">
        <v>39</v>
      </c>
      <c r="D298">
        <v>2021</v>
      </c>
      <c r="E298" s="7">
        <v>7678.77</v>
      </c>
      <c r="F298" s="8">
        <v>8498.3729645394487</v>
      </c>
      <c r="G298" s="7">
        <v>6766.45</v>
      </c>
      <c r="H298" s="7">
        <v>7488.6776508824223</v>
      </c>
    </row>
    <row r="299" spans="1:8" x14ac:dyDescent="0.35">
      <c r="A299">
        <v>311615</v>
      </c>
      <c r="B299">
        <v>3116159</v>
      </c>
      <c r="C299" t="s">
        <v>39</v>
      </c>
      <c r="D299">
        <v>2022</v>
      </c>
      <c r="E299" s="7">
        <v>10501.95</v>
      </c>
      <c r="F299" s="8">
        <v>10987.265063738691</v>
      </c>
      <c r="G299" s="7">
        <v>12228.3</v>
      </c>
      <c r="H299" s="7">
        <v>12793.394099452271</v>
      </c>
    </row>
    <row r="300" spans="1:8" x14ac:dyDescent="0.35">
      <c r="A300">
        <v>311615</v>
      </c>
      <c r="B300">
        <v>3116159</v>
      </c>
      <c r="C300" t="s">
        <v>39</v>
      </c>
      <c r="D300">
        <v>2023</v>
      </c>
      <c r="E300" s="7">
        <v>13426.5</v>
      </c>
      <c r="F300" s="8">
        <v>13426.5</v>
      </c>
      <c r="G300" s="7">
        <v>14027.15</v>
      </c>
      <c r="H300" s="7">
        <v>14027.154730546561</v>
      </c>
    </row>
    <row r="301" spans="1:8" x14ac:dyDescent="0.35">
      <c r="A301">
        <v>311615</v>
      </c>
      <c r="B301">
        <v>3116159</v>
      </c>
      <c r="C301" t="s">
        <v>39</v>
      </c>
      <c r="D301">
        <v>2024</v>
      </c>
      <c r="E301" s="7">
        <v>13984.69</v>
      </c>
      <c r="F301" s="8">
        <v>13340.19875167946</v>
      </c>
      <c r="G301" s="7">
        <v>13620.51</v>
      </c>
      <c r="H301" s="7">
        <v>12992.798198991279</v>
      </c>
    </row>
    <row r="302" spans="1:8" x14ac:dyDescent="0.35">
      <c r="A302">
        <v>311650</v>
      </c>
      <c r="B302">
        <v>3116506</v>
      </c>
      <c r="C302" s="9" t="s">
        <v>40</v>
      </c>
      <c r="D302">
        <v>2015</v>
      </c>
      <c r="E302" s="7">
        <v>6180.11</v>
      </c>
      <c r="F302" s="8">
        <v>9316.2630525219392</v>
      </c>
      <c r="G302" s="7">
        <v>6533.1549269613743</v>
      </c>
      <c r="H302" s="7">
        <v>9848.4638400371387</v>
      </c>
    </row>
    <row r="303" spans="1:8" x14ac:dyDescent="0.35">
      <c r="A303">
        <v>311650</v>
      </c>
      <c r="B303">
        <v>3116506</v>
      </c>
      <c r="C303" t="s">
        <v>40</v>
      </c>
      <c r="D303">
        <v>2016</v>
      </c>
      <c r="E303" s="7">
        <v>5622.45</v>
      </c>
      <c r="F303" s="8">
        <v>7974.1968531314787</v>
      </c>
      <c r="G303" s="7">
        <v>9730.92</v>
      </c>
      <c r="H303" s="7">
        <v>13801.153737336714</v>
      </c>
    </row>
    <row r="304" spans="1:8" x14ac:dyDescent="0.35">
      <c r="A304">
        <v>311650</v>
      </c>
      <c r="B304">
        <v>3116506</v>
      </c>
      <c r="C304" t="s">
        <v>40</v>
      </c>
      <c r="D304">
        <v>2017</v>
      </c>
      <c r="E304" s="7">
        <v>6020.35</v>
      </c>
      <c r="F304" s="8">
        <v>8294.068505489724</v>
      </c>
      <c r="G304" s="7">
        <v>8990.4699999999993</v>
      </c>
      <c r="H304" s="7">
        <v>12385.924838014556</v>
      </c>
    </row>
    <row r="305" spans="1:8" x14ac:dyDescent="0.35">
      <c r="A305">
        <v>311650</v>
      </c>
      <c r="B305">
        <v>3116506</v>
      </c>
      <c r="C305" t="s">
        <v>40</v>
      </c>
      <c r="D305">
        <v>2018</v>
      </c>
      <c r="E305" s="7">
        <v>6063.84</v>
      </c>
      <c r="F305" s="8">
        <v>8052.3752172387231</v>
      </c>
      <c r="G305" s="7">
        <v>7920.44</v>
      </c>
      <c r="H305" s="7">
        <v>10517.819727152091</v>
      </c>
    </row>
    <row r="306" spans="1:8" x14ac:dyDescent="0.35">
      <c r="A306">
        <v>311650</v>
      </c>
      <c r="B306">
        <v>3116506</v>
      </c>
      <c r="C306" t="s">
        <v>40</v>
      </c>
      <c r="D306">
        <v>2019</v>
      </c>
      <c r="E306" s="7">
        <v>6570.2</v>
      </c>
      <c r="F306" s="8">
        <v>8364.5953769089792</v>
      </c>
      <c r="G306" s="7">
        <v>9307.2000000000007</v>
      </c>
      <c r="H306" s="7">
        <v>11849.098082320006</v>
      </c>
    </row>
    <row r="307" spans="1:8" x14ac:dyDescent="0.35">
      <c r="A307">
        <v>311650</v>
      </c>
      <c r="B307">
        <v>3116506</v>
      </c>
      <c r="C307" t="s">
        <v>40</v>
      </c>
      <c r="D307">
        <v>2020</v>
      </c>
      <c r="E307" s="7">
        <v>7726.48</v>
      </c>
      <c r="F307" s="8">
        <v>9411.5076259173929</v>
      </c>
      <c r="G307" s="7">
        <v>7961.8</v>
      </c>
      <c r="H307" s="7">
        <v>9698.1512526141632</v>
      </c>
    </row>
    <row r="308" spans="1:8" x14ac:dyDescent="0.35">
      <c r="A308">
        <v>311650</v>
      </c>
      <c r="B308">
        <v>3116506</v>
      </c>
      <c r="C308" t="s">
        <v>40</v>
      </c>
      <c r="D308">
        <v>2021</v>
      </c>
      <c r="E308" s="7">
        <v>9768.85</v>
      </c>
      <c r="F308" s="8">
        <v>10811.540225145589</v>
      </c>
      <c r="G308" s="7">
        <v>9951.14</v>
      </c>
      <c r="H308" s="7">
        <v>11013.283445592277</v>
      </c>
    </row>
    <row r="309" spans="1:8" x14ac:dyDescent="0.35">
      <c r="A309">
        <v>311650</v>
      </c>
      <c r="B309">
        <v>3116506</v>
      </c>
      <c r="C309" t="s">
        <v>40</v>
      </c>
      <c r="D309">
        <v>2022</v>
      </c>
      <c r="E309" s="7">
        <v>11755.94</v>
      </c>
      <c r="F309" s="8">
        <v>12299.204324283415</v>
      </c>
      <c r="G309" s="7">
        <v>15001.52</v>
      </c>
      <c r="H309" s="7">
        <v>15694.772577436672</v>
      </c>
    </row>
    <row r="310" spans="1:8" x14ac:dyDescent="0.35">
      <c r="A310">
        <v>311650</v>
      </c>
      <c r="B310">
        <v>3116506</v>
      </c>
      <c r="C310" t="s">
        <v>40</v>
      </c>
      <c r="D310">
        <v>2023</v>
      </c>
      <c r="E310" s="7">
        <v>11155.52</v>
      </c>
      <c r="F310" s="8">
        <v>11155.52</v>
      </c>
      <c r="G310" s="7">
        <v>15095.25</v>
      </c>
      <c r="H310" s="7">
        <v>15095.246056766537</v>
      </c>
    </row>
    <row r="311" spans="1:8" x14ac:dyDescent="0.35">
      <c r="A311">
        <v>311650</v>
      </c>
      <c r="B311">
        <v>3116506</v>
      </c>
      <c r="C311" t="s">
        <v>40</v>
      </c>
      <c r="D311">
        <v>2024</v>
      </c>
      <c r="E311" s="7">
        <v>11764.47</v>
      </c>
      <c r="F311" s="8">
        <v>11222.298671487923</v>
      </c>
      <c r="G311" s="7">
        <v>17015.57</v>
      </c>
      <c r="H311" s="7">
        <v>16231.396107268585</v>
      </c>
    </row>
    <row r="312" spans="1:8" x14ac:dyDescent="0.35">
      <c r="A312">
        <v>311680</v>
      </c>
      <c r="B312">
        <v>3116803</v>
      </c>
      <c r="C312" t="s">
        <v>41</v>
      </c>
      <c r="D312">
        <v>2015</v>
      </c>
      <c r="E312" s="7">
        <v>7137.23</v>
      </c>
      <c r="F312" s="8">
        <v>10759.082305387956</v>
      </c>
      <c r="G312" s="7">
        <v>6813.65</v>
      </c>
      <c r="H312" s="7">
        <v>10271.300784697758</v>
      </c>
    </row>
    <row r="313" spans="1:8" x14ac:dyDescent="0.35">
      <c r="A313">
        <v>311680</v>
      </c>
      <c r="B313">
        <v>3116803</v>
      </c>
      <c r="C313" t="s">
        <v>41</v>
      </c>
      <c r="D313">
        <v>2016</v>
      </c>
      <c r="E313" s="7">
        <v>6385.15</v>
      </c>
      <c r="F313" s="8">
        <v>9055.9174446677971</v>
      </c>
      <c r="G313" s="7">
        <v>8504.73</v>
      </c>
      <c r="H313" s="7">
        <v>12062.071398935723</v>
      </c>
    </row>
    <row r="314" spans="1:8" x14ac:dyDescent="0.35">
      <c r="A314">
        <v>311680</v>
      </c>
      <c r="B314">
        <v>3116803</v>
      </c>
      <c r="C314" t="s">
        <v>41</v>
      </c>
      <c r="D314">
        <v>2017</v>
      </c>
      <c r="E314" s="7">
        <v>7102.03</v>
      </c>
      <c r="F314" s="8">
        <v>9784.2689126119203</v>
      </c>
      <c r="G314" s="7">
        <v>9338.83</v>
      </c>
      <c r="H314" s="7">
        <v>12865.849119158998</v>
      </c>
    </row>
    <row r="315" spans="1:8" x14ac:dyDescent="0.35">
      <c r="A315">
        <v>311680</v>
      </c>
      <c r="B315">
        <v>3116803</v>
      </c>
      <c r="C315" t="s">
        <v>41</v>
      </c>
      <c r="D315">
        <v>2018</v>
      </c>
      <c r="E315" s="7">
        <v>6394.1</v>
      </c>
      <c r="F315" s="8">
        <v>8490.9384773585916</v>
      </c>
      <c r="G315" s="7">
        <v>9532.6200000000008</v>
      </c>
      <c r="H315" s="7">
        <v>12658.68220918187</v>
      </c>
    </row>
    <row r="316" spans="1:8" x14ac:dyDescent="0.35">
      <c r="A316">
        <v>311680</v>
      </c>
      <c r="B316">
        <v>3116803</v>
      </c>
      <c r="C316" t="s">
        <v>41</v>
      </c>
      <c r="D316">
        <v>2019</v>
      </c>
      <c r="E316" s="7">
        <v>7424.47</v>
      </c>
      <c r="F316" s="8">
        <v>9452.1761039236881</v>
      </c>
      <c r="G316" s="7">
        <v>10894.81</v>
      </c>
      <c r="H316" s="7">
        <v>13870.303166865409</v>
      </c>
    </row>
    <row r="317" spans="1:8" x14ac:dyDescent="0.35">
      <c r="A317">
        <v>311680</v>
      </c>
      <c r="B317">
        <v>3116803</v>
      </c>
      <c r="C317" t="s">
        <v>41</v>
      </c>
      <c r="D317">
        <v>2020</v>
      </c>
      <c r="E317" s="7">
        <v>9472.44</v>
      </c>
      <c r="F317" s="8">
        <v>11538.234913705202</v>
      </c>
      <c r="G317" s="7">
        <v>10035.27</v>
      </c>
      <c r="H317" s="7">
        <v>12223.814985113771</v>
      </c>
    </row>
    <row r="318" spans="1:8" x14ac:dyDescent="0.35">
      <c r="A318">
        <v>311680</v>
      </c>
      <c r="B318">
        <v>3116803</v>
      </c>
      <c r="C318" t="s">
        <v>41</v>
      </c>
      <c r="D318">
        <v>2021</v>
      </c>
      <c r="E318" s="7">
        <v>11615.57</v>
      </c>
      <c r="F318" s="8">
        <v>12855.372156701591</v>
      </c>
      <c r="G318" s="7">
        <v>11127.8</v>
      </c>
      <c r="H318" s="7">
        <v>12315.539721211844</v>
      </c>
    </row>
    <row r="319" spans="1:8" x14ac:dyDescent="0.35">
      <c r="A319">
        <v>311680</v>
      </c>
      <c r="B319">
        <v>3116803</v>
      </c>
      <c r="C319" t="s">
        <v>41</v>
      </c>
      <c r="D319">
        <v>2022</v>
      </c>
      <c r="E319" s="7">
        <v>14182.6</v>
      </c>
      <c r="F319" s="8">
        <v>14838.004893660733</v>
      </c>
      <c r="G319" s="7">
        <v>18932.87</v>
      </c>
      <c r="H319" s="7">
        <v>19807.792734037681</v>
      </c>
    </row>
    <row r="320" spans="1:8" x14ac:dyDescent="0.35">
      <c r="A320">
        <v>311680</v>
      </c>
      <c r="B320">
        <v>3116803</v>
      </c>
      <c r="C320" t="s">
        <v>41</v>
      </c>
      <c r="D320">
        <v>2023</v>
      </c>
      <c r="E320" s="7">
        <v>13053.67</v>
      </c>
      <c r="F320" s="8">
        <v>13053.67</v>
      </c>
      <c r="G320" s="7">
        <v>15451.72</v>
      </c>
      <c r="H320" s="7">
        <v>15451.718885784643</v>
      </c>
    </row>
    <row r="321" spans="1:8" x14ac:dyDescent="0.35">
      <c r="A321">
        <v>311680</v>
      </c>
      <c r="B321">
        <v>3116803</v>
      </c>
      <c r="C321" t="s">
        <v>41</v>
      </c>
      <c r="D321">
        <v>2024</v>
      </c>
      <c r="E321" s="7">
        <v>13852.72</v>
      </c>
      <c r="F321" s="8">
        <v>13214.310653390607</v>
      </c>
      <c r="G321" s="7">
        <v>20642.88</v>
      </c>
      <c r="H321" s="7">
        <v>19691.541260278798</v>
      </c>
    </row>
    <row r="322" spans="1:8" x14ac:dyDescent="0.35">
      <c r="A322">
        <v>311700</v>
      </c>
      <c r="B322">
        <v>3117009</v>
      </c>
      <c r="C322" t="s">
        <v>42</v>
      </c>
      <c r="D322">
        <v>2015</v>
      </c>
      <c r="E322" s="7">
        <v>5097.6000000000004</v>
      </c>
      <c r="F322" s="8">
        <v>7684.423503228234</v>
      </c>
      <c r="G322" s="7">
        <v>6204.52</v>
      </c>
      <c r="H322" s="7">
        <v>9353.0563377788785</v>
      </c>
    </row>
    <row r="323" spans="1:8" x14ac:dyDescent="0.35">
      <c r="A323">
        <v>311700</v>
      </c>
      <c r="B323">
        <v>3117009</v>
      </c>
      <c r="C323" t="s">
        <v>42</v>
      </c>
      <c r="D323">
        <v>2016</v>
      </c>
      <c r="E323" s="7">
        <v>4966.58</v>
      </c>
      <c r="F323" s="8">
        <v>7043.9908948635803</v>
      </c>
      <c r="G323" s="7">
        <v>7908.16</v>
      </c>
      <c r="H323" s="7">
        <v>11215.967839247625</v>
      </c>
    </row>
    <row r="324" spans="1:8" x14ac:dyDescent="0.35">
      <c r="A324">
        <v>311700</v>
      </c>
      <c r="B324">
        <v>3117009</v>
      </c>
      <c r="C324" t="s">
        <v>42</v>
      </c>
      <c r="D324">
        <v>2017</v>
      </c>
      <c r="E324" s="7">
        <v>5963.4</v>
      </c>
      <c r="F324" s="8">
        <v>8215.6100767625485</v>
      </c>
      <c r="G324" s="7">
        <v>7566.79</v>
      </c>
      <c r="H324" s="7">
        <v>10424.551432033502</v>
      </c>
    </row>
    <row r="325" spans="1:8" x14ac:dyDescent="0.35">
      <c r="A325">
        <v>311700</v>
      </c>
      <c r="B325">
        <v>3117009</v>
      </c>
      <c r="C325" t="s">
        <v>42</v>
      </c>
      <c r="D325">
        <v>2018</v>
      </c>
      <c r="E325" s="7">
        <v>6062.77</v>
      </c>
      <c r="F325" s="8">
        <v>8050.9543285803084</v>
      </c>
      <c r="G325" s="7">
        <v>7598.62</v>
      </c>
      <c r="H325" s="7">
        <v>10090.457084544951</v>
      </c>
    </row>
    <row r="326" spans="1:8" x14ac:dyDescent="0.35">
      <c r="A326">
        <v>311700</v>
      </c>
      <c r="B326">
        <v>3117009</v>
      </c>
      <c r="C326" t="s">
        <v>42</v>
      </c>
      <c r="D326">
        <v>2019</v>
      </c>
      <c r="E326" s="7">
        <v>5994.73</v>
      </c>
      <c r="F326" s="8">
        <v>7631.9580596964424</v>
      </c>
      <c r="G326" s="7">
        <v>9243.8700000000008</v>
      </c>
      <c r="H326" s="7">
        <v>11768.478989719524</v>
      </c>
    </row>
    <row r="327" spans="1:8" x14ac:dyDescent="0.35">
      <c r="A327">
        <v>311700</v>
      </c>
      <c r="B327">
        <v>3117009</v>
      </c>
      <c r="C327" t="s">
        <v>42</v>
      </c>
      <c r="D327">
        <v>2020</v>
      </c>
      <c r="E327" s="7">
        <v>7422.96</v>
      </c>
      <c r="F327" s="8">
        <v>9041.794536047435</v>
      </c>
      <c r="G327" s="7">
        <v>8777.08</v>
      </c>
      <c r="H327" s="7">
        <v>10691.22998504393</v>
      </c>
    </row>
    <row r="328" spans="1:8" x14ac:dyDescent="0.35">
      <c r="A328">
        <v>311700</v>
      </c>
      <c r="B328">
        <v>3117009</v>
      </c>
      <c r="C328" t="s">
        <v>42</v>
      </c>
      <c r="D328">
        <v>2021</v>
      </c>
      <c r="E328" s="7">
        <v>10007.73</v>
      </c>
      <c r="F328" s="8">
        <v>11075.917375883164</v>
      </c>
      <c r="G328" s="7">
        <v>11449.56</v>
      </c>
      <c r="H328" s="7">
        <v>12671.64417460324</v>
      </c>
    </row>
    <row r="329" spans="1:8" x14ac:dyDescent="0.35">
      <c r="A329">
        <v>311700</v>
      </c>
      <c r="B329">
        <v>3117009</v>
      </c>
      <c r="C329" t="s">
        <v>42</v>
      </c>
      <c r="D329">
        <v>2022</v>
      </c>
      <c r="E329" s="7">
        <v>10701.55</v>
      </c>
      <c r="F329" s="8">
        <v>11196.088958988832</v>
      </c>
      <c r="G329" s="7">
        <v>15825.76</v>
      </c>
      <c r="H329" s="7">
        <v>16557.099387479466</v>
      </c>
    </row>
    <row r="330" spans="1:8" x14ac:dyDescent="0.35">
      <c r="A330">
        <v>311700</v>
      </c>
      <c r="B330">
        <v>3117009</v>
      </c>
      <c r="C330" t="s">
        <v>42</v>
      </c>
      <c r="D330">
        <v>2023</v>
      </c>
      <c r="E330" s="7">
        <v>11132</v>
      </c>
      <c r="F330" s="8">
        <v>11132</v>
      </c>
      <c r="G330" s="7">
        <v>16082.13</v>
      </c>
      <c r="H330" s="7">
        <v>16082.13230452204</v>
      </c>
    </row>
    <row r="331" spans="1:8" x14ac:dyDescent="0.35">
      <c r="A331">
        <v>311700</v>
      </c>
      <c r="B331">
        <v>3117009</v>
      </c>
      <c r="C331" t="s">
        <v>42</v>
      </c>
      <c r="D331">
        <v>2024</v>
      </c>
      <c r="E331" s="7">
        <v>13147.6</v>
      </c>
      <c r="F331" s="8">
        <v>12541.686451940006</v>
      </c>
      <c r="G331" s="7">
        <v>18306.7</v>
      </c>
      <c r="H331" s="7">
        <v>17463.027081620967</v>
      </c>
    </row>
    <row r="332" spans="1:8" x14ac:dyDescent="0.35">
      <c r="A332">
        <v>311840</v>
      </c>
      <c r="B332">
        <v>3118403</v>
      </c>
      <c r="C332" t="s">
        <v>43</v>
      </c>
      <c r="D332">
        <v>2015</v>
      </c>
      <c r="E332" s="7">
        <v>6225.58</v>
      </c>
      <c r="F332" s="8">
        <v>9384.8072177549475</v>
      </c>
      <c r="G332" s="7">
        <v>6852.48</v>
      </c>
      <c r="H332" s="7">
        <v>10329.828084182462</v>
      </c>
    </row>
    <row r="333" spans="1:8" x14ac:dyDescent="0.35">
      <c r="A333">
        <v>311840</v>
      </c>
      <c r="B333">
        <v>3118403</v>
      </c>
      <c r="C333" t="s">
        <v>43</v>
      </c>
      <c r="D333">
        <v>2016</v>
      </c>
      <c r="E333" s="7">
        <v>6893.3</v>
      </c>
      <c r="F333" s="8">
        <v>9776.6153843415632</v>
      </c>
      <c r="G333" s="7">
        <v>8816.6299999999992</v>
      </c>
      <c r="H333" s="7">
        <v>12504.427612838208</v>
      </c>
    </row>
    <row r="334" spans="1:8" x14ac:dyDescent="0.35">
      <c r="A334">
        <v>311840</v>
      </c>
      <c r="B334">
        <v>3118403</v>
      </c>
      <c r="C334" t="s">
        <v>43</v>
      </c>
      <c r="D334">
        <v>2017</v>
      </c>
      <c r="E334" s="7">
        <v>7792.78</v>
      </c>
      <c r="F334" s="8">
        <v>10735.895947612713</v>
      </c>
      <c r="G334" s="7">
        <v>9203.1200000000008</v>
      </c>
      <c r="H334" s="7">
        <v>12678.880764127485</v>
      </c>
    </row>
    <row r="335" spans="1:8" x14ac:dyDescent="0.35">
      <c r="A335">
        <v>311840</v>
      </c>
      <c r="B335">
        <v>3118403</v>
      </c>
      <c r="C335" t="s">
        <v>43</v>
      </c>
      <c r="D335">
        <v>2018</v>
      </c>
      <c r="E335" s="7">
        <v>7066.13</v>
      </c>
      <c r="F335" s="8">
        <v>9383.3495101762346</v>
      </c>
      <c r="G335" s="7">
        <v>8165.7</v>
      </c>
      <c r="H335" s="7">
        <v>10843.506035255434</v>
      </c>
    </row>
    <row r="336" spans="1:8" x14ac:dyDescent="0.35">
      <c r="A336">
        <v>311840</v>
      </c>
      <c r="B336">
        <v>3118403</v>
      </c>
      <c r="C336" t="s">
        <v>43</v>
      </c>
      <c r="D336">
        <v>2019</v>
      </c>
      <c r="E336" s="7">
        <v>7232.22</v>
      </c>
      <c r="F336" s="8">
        <v>9207.4204707297595</v>
      </c>
      <c r="G336" s="7">
        <v>9076.23</v>
      </c>
      <c r="H336" s="7">
        <v>11555.052797088243</v>
      </c>
    </row>
    <row r="337" spans="1:8" x14ac:dyDescent="0.35">
      <c r="A337">
        <v>311840</v>
      </c>
      <c r="B337">
        <v>3118403</v>
      </c>
      <c r="C337" t="s">
        <v>43</v>
      </c>
      <c r="D337">
        <v>2020</v>
      </c>
      <c r="E337" s="7">
        <v>7722.81</v>
      </c>
      <c r="F337" s="8">
        <v>9407.0372548056966</v>
      </c>
      <c r="G337" s="7">
        <v>8622.09</v>
      </c>
      <c r="H337" s="7">
        <v>10502.431122329872</v>
      </c>
    </row>
    <row r="338" spans="1:8" x14ac:dyDescent="0.35">
      <c r="A338">
        <v>311840</v>
      </c>
      <c r="B338">
        <v>3118403</v>
      </c>
      <c r="C338" t="s">
        <v>43</v>
      </c>
      <c r="D338">
        <v>2021</v>
      </c>
      <c r="E338" s="7">
        <v>12538.02</v>
      </c>
      <c r="F338" s="8">
        <v>13876.280992509854</v>
      </c>
      <c r="G338" s="7">
        <v>12948.05</v>
      </c>
      <c r="H338" s="7">
        <v>14330.076833903442</v>
      </c>
    </row>
    <row r="339" spans="1:8" x14ac:dyDescent="0.35">
      <c r="A339">
        <v>311840</v>
      </c>
      <c r="B339">
        <v>3118403</v>
      </c>
      <c r="C339" t="s">
        <v>43</v>
      </c>
      <c r="D339">
        <v>2022</v>
      </c>
      <c r="E339" s="7">
        <v>14717.94</v>
      </c>
      <c r="F339" s="8">
        <v>15398.083972233939</v>
      </c>
      <c r="G339" s="7">
        <v>16471.8</v>
      </c>
      <c r="H339" s="7">
        <v>17232.994710798048</v>
      </c>
    </row>
    <row r="340" spans="1:8" x14ac:dyDescent="0.35">
      <c r="A340">
        <v>311840</v>
      </c>
      <c r="B340">
        <v>3118403</v>
      </c>
      <c r="C340" t="s">
        <v>43</v>
      </c>
      <c r="D340">
        <v>2023</v>
      </c>
      <c r="E340" s="7">
        <v>12675.15</v>
      </c>
      <c r="F340" s="8">
        <v>12675.15</v>
      </c>
      <c r="G340" s="7">
        <v>15778.83</v>
      </c>
      <c r="H340" s="7">
        <v>15778.825237278663</v>
      </c>
    </row>
    <row r="341" spans="1:8" x14ac:dyDescent="0.35">
      <c r="A341">
        <v>311840</v>
      </c>
      <c r="B341">
        <v>3118403</v>
      </c>
      <c r="C341" t="s">
        <v>43</v>
      </c>
      <c r="D341">
        <v>2024</v>
      </c>
      <c r="E341" s="7">
        <v>13440.38</v>
      </c>
      <c r="F341" s="8">
        <v>12820.973543074431</v>
      </c>
      <c r="G341" s="7">
        <v>15696.39</v>
      </c>
      <c r="H341" s="7">
        <v>14973.012207465157</v>
      </c>
    </row>
    <row r="342" spans="1:8" x14ac:dyDescent="0.35">
      <c r="A342">
        <v>311910</v>
      </c>
      <c r="B342">
        <v>3119104</v>
      </c>
      <c r="C342" t="s">
        <v>44</v>
      </c>
      <c r="D342">
        <v>2015</v>
      </c>
      <c r="E342" s="7">
        <v>3790.13</v>
      </c>
      <c r="F342" s="8">
        <v>5713.4659550161696</v>
      </c>
      <c r="G342" s="7">
        <v>4483.71</v>
      </c>
      <c r="H342" s="7">
        <v>6759.0055040852149</v>
      </c>
    </row>
    <row r="343" spans="1:8" x14ac:dyDescent="0.35">
      <c r="A343">
        <v>311910</v>
      </c>
      <c r="B343">
        <v>3119104</v>
      </c>
      <c r="C343" t="s">
        <v>44</v>
      </c>
      <c r="D343">
        <v>2016</v>
      </c>
      <c r="E343" s="7">
        <v>5763.77</v>
      </c>
      <c r="F343" s="8">
        <v>8174.6278928534048</v>
      </c>
      <c r="G343" s="7">
        <v>5684</v>
      </c>
      <c r="H343" s="7">
        <v>8061.4961830910224</v>
      </c>
    </row>
    <row r="344" spans="1:8" x14ac:dyDescent="0.35">
      <c r="A344">
        <v>311910</v>
      </c>
      <c r="B344">
        <v>3119104</v>
      </c>
      <c r="C344" t="s">
        <v>44</v>
      </c>
      <c r="D344">
        <v>2017</v>
      </c>
      <c r="E344" s="7">
        <v>4369.97</v>
      </c>
      <c r="F344" s="8">
        <v>6020.3859488127646</v>
      </c>
      <c r="G344" s="7">
        <v>5921.59</v>
      </c>
      <c r="H344" s="7">
        <v>8158.0078504658022</v>
      </c>
    </row>
    <row r="345" spans="1:8" x14ac:dyDescent="0.35">
      <c r="A345">
        <v>311910</v>
      </c>
      <c r="B345">
        <v>3119104</v>
      </c>
      <c r="C345" t="s">
        <v>44</v>
      </c>
      <c r="D345">
        <v>2018</v>
      </c>
      <c r="E345" s="7">
        <v>6722.95</v>
      </c>
      <c r="F345" s="8">
        <v>8927.6293514893332</v>
      </c>
      <c r="G345" s="7">
        <v>6776.25</v>
      </c>
      <c r="H345" s="7">
        <v>8998.4044306425312</v>
      </c>
    </row>
    <row r="346" spans="1:8" x14ac:dyDescent="0.35">
      <c r="A346">
        <v>311910</v>
      </c>
      <c r="B346">
        <v>3119104</v>
      </c>
      <c r="C346" t="s">
        <v>44</v>
      </c>
      <c r="D346">
        <v>2019</v>
      </c>
      <c r="E346" s="7">
        <v>6119.42</v>
      </c>
      <c r="F346" s="8">
        <v>7790.7022984634186</v>
      </c>
      <c r="G346" s="7">
        <v>7176.52</v>
      </c>
      <c r="H346" s="7">
        <v>9136.5140226337553</v>
      </c>
    </row>
    <row r="347" spans="1:8" x14ac:dyDescent="0.35">
      <c r="A347">
        <v>311910</v>
      </c>
      <c r="B347">
        <v>3119104</v>
      </c>
      <c r="C347" t="s">
        <v>44</v>
      </c>
      <c r="D347">
        <v>2020</v>
      </c>
      <c r="E347" s="7">
        <v>6626.17</v>
      </c>
      <c r="F347" s="8">
        <v>8071.236770900211</v>
      </c>
      <c r="G347" s="7">
        <v>6913.94</v>
      </c>
      <c r="H347" s="7">
        <v>8421.761255958776</v>
      </c>
    </row>
    <row r="348" spans="1:8" x14ac:dyDescent="0.35">
      <c r="A348">
        <v>311910</v>
      </c>
      <c r="B348">
        <v>3119104</v>
      </c>
      <c r="C348" t="s">
        <v>44</v>
      </c>
      <c r="D348">
        <v>2021</v>
      </c>
      <c r="E348" s="7">
        <v>7821.78</v>
      </c>
      <c r="F348" s="8">
        <v>8656.6473128606995</v>
      </c>
      <c r="G348" s="7">
        <v>8657.8799999999992</v>
      </c>
      <c r="H348" s="7">
        <v>9581.9891832314315</v>
      </c>
    </row>
    <row r="349" spans="1:8" x14ac:dyDescent="0.35">
      <c r="A349">
        <v>311910</v>
      </c>
      <c r="B349">
        <v>3119104</v>
      </c>
      <c r="C349" t="s">
        <v>44</v>
      </c>
      <c r="D349">
        <v>2022</v>
      </c>
      <c r="E349" s="7">
        <v>12519.39</v>
      </c>
      <c r="F349" s="8">
        <v>13097.934799377212</v>
      </c>
      <c r="G349" s="7">
        <v>12769.09</v>
      </c>
      <c r="H349" s="7">
        <v>13359.173537054927</v>
      </c>
    </row>
    <row r="350" spans="1:8" x14ac:dyDescent="0.35">
      <c r="A350">
        <v>311910</v>
      </c>
      <c r="B350">
        <v>3119104</v>
      </c>
      <c r="C350" t="s">
        <v>44</v>
      </c>
      <c r="D350">
        <v>2023</v>
      </c>
      <c r="E350" s="7">
        <v>15243.53</v>
      </c>
      <c r="F350" s="8">
        <v>15243.53</v>
      </c>
      <c r="G350" s="7">
        <v>17144.310000000001</v>
      </c>
      <c r="H350" s="7">
        <v>17144.313926873394</v>
      </c>
    </row>
    <row r="351" spans="1:8" x14ac:dyDescent="0.35">
      <c r="A351">
        <v>311910</v>
      </c>
      <c r="B351">
        <v>3119104</v>
      </c>
      <c r="C351" t="s">
        <v>44</v>
      </c>
      <c r="D351">
        <v>2024</v>
      </c>
      <c r="E351" s="7">
        <v>15465.98</v>
      </c>
      <c r="F351" s="8">
        <v>14753.222780733751</v>
      </c>
      <c r="G351" s="7">
        <v>16234.65</v>
      </c>
      <c r="H351" s="7">
        <v>15486.464091482501</v>
      </c>
    </row>
    <row r="352" spans="1:8" x14ac:dyDescent="0.35">
      <c r="A352">
        <v>311920</v>
      </c>
      <c r="B352">
        <v>3119203</v>
      </c>
      <c r="C352" t="s">
        <v>45</v>
      </c>
      <c r="D352">
        <v>2015</v>
      </c>
      <c r="E352" s="7">
        <v>4249.55</v>
      </c>
      <c r="F352" s="8">
        <v>6406.0228142936949</v>
      </c>
      <c r="G352" s="7">
        <v>4777.18</v>
      </c>
      <c r="H352" s="7">
        <v>7201.4000840453846</v>
      </c>
    </row>
    <row r="353" spans="1:8" x14ac:dyDescent="0.35">
      <c r="A353">
        <v>311920</v>
      </c>
      <c r="B353">
        <v>3119203</v>
      </c>
      <c r="C353" t="s">
        <v>45</v>
      </c>
      <c r="D353">
        <v>2016</v>
      </c>
      <c r="E353" s="7">
        <v>5192.09</v>
      </c>
      <c r="F353" s="8">
        <v>7363.8267550934952</v>
      </c>
      <c r="G353" s="7">
        <v>5942.55</v>
      </c>
      <c r="H353" s="7">
        <v>8428.189197193462</v>
      </c>
    </row>
    <row r="354" spans="1:8" x14ac:dyDescent="0.35">
      <c r="A354">
        <v>311920</v>
      </c>
      <c r="B354">
        <v>3119203</v>
      </c>
      <c r="C354" t="s">
        <v>45</v>
      </c>
      <c r="D354">
        <v>2017</v>
      </c>
      <c r="E354" s="7">
        <v>5740.54</v>
      </c>
      <c r="F354" s="8">
        <v>7908.5820622561769</v>
      </c>
      <c r="G354" s="7">
        <v>6144.75</v>
      </c>
      <c r="H354" s="7">
        <v>8465.4493881838935</v>
      </c>
    </row>
    <row r="355" spans="1:8" x14ac:dyDescent="0.35">
      <c r="A355">
        <v>311920</v>
      </c>
      <c r="B355">
        <v>3119203</v>
      </c>
      <c r="C355" t="s">
        <v>45</v>
      </c>
      <c r="D355">
        <v>2018</v>
      </c>
      <c r="E355" s="7">
        <v>5329.92</v>
      </c>
      <c r="F355" s="8">
        <v>7077.7783908983447</v>
      </c>
      <c r="G355" s="7">
        <v>6824.5</v>
      </c>
      <c r="H355" s="7">
        <v>9062.4766448387563</v>
      </c>
    </row>
    <row r="356" spans="1:8" x14ac:dyDescent="0.35">
      <c r="A356">
        <v>311920</v>
      </c>
      <c r="B356">
        <v>3119203</v>
      </c>
      <c r="C356" t="s">
        <v>45</v>
      </c>
      <c r="D356">
        <v>2019</v>
      </c>
      <c r="E356" s="7">
        <v>7124.88</v>
      </c>
      <c r="F356" s="8">
        <v>9070.7647117334709</v>
      </c>
      <c r="G356" s="7">
        <v>8565</v>
      </c>
      <c r="H356" s="7">
        <v>10904.1969626428</v>
      </c>
    </row>
    <row r="357" spans="1:8" x14ac:dyDescent="0.35">
      <c r="A357">
        <v>311920</v>
      </c>
      <c r="B357">
        <v>3119203</v>
      </c>
      <c r="C357" t="s">
        <v>45</v>
      </c>
      <c r="D357">
        <v>2020</v>
      </c>
      <c r="E357" s="7">
        <v>7812.38</v>
      </c>
      <c r="F357" s="8">
        <v>9516.1411077961166</v>
      </c>
      <c r="G357" s="7">
        <v>7851.56</v>
      </c>
      <c r="H357" s="7">
        <v>9563.862512391479</v>
      </c>
    </row>
    <row r="358" spans="1:8" x14ac:dyDescent="0.35">
      <c r="A358">
        <v>311920</v>
      </c>
      <c r="B358">
        <v>3119203</v>
      </c>
      <c r="C358" t="s">
        <v>45</v>
      </c>
      <c r="D358">
        <v>2021</v>
      </c>
      <c r="E358" s="7">
        <v>8804.5</v>
      </c>
      <c r="F358" s="8">
        <v>9744.259141280123</v>
      </c>
      <c r="G358" s="7">
        <v>8809.82</v>
      </c>
      <c r="H358" s="7">
        <v>9750.1497651305253</v>
      </c>
    </row>
    <row r="359" spans="1:8" x14ac:dyDescent="0.35">
      <c r="A359">
        <v>311920</v>
      </c>
      <c r="B359">
        <v>3119203</v>
      </c>
      <c r="C359" t="s">
        <v>45</v>
      </c>
      <c r="D359">
        <v>2022</v>
      </c>
      <c r="E359" s="7">
        <v>13693.06</v>
      </c>
      <c r="F359" s="8">
        <v>14325.842320109854</v>
      </c>
      <c r="G359" s="7">
        <v>14569.08</v>
      </c>
      <c r="H359" s="7">
        <v>15242.344588791842</v>
      </c>
    </row>
    <row r="360" spans="1:8" x14ac:dyDescent="0.35">
      <c r="A360">
        <v>311920</v>
      </c>
      <c r="B360">
        <v>3119203</v>
      </c>
      <c r="C360" t="s">
        <v>45</v>
      </c>
      <c r="D360">
        <v>2023</v>
      </c>
      <c r="E360" s="7">
        <v>12756.64</v>
      </c>
      <c r="F360" s="8">
        <v>12756.64</v>
      </c>
      <c r="G360" s="7">
        <v>18069.22</v>
      </c>
      <c r="H360" s="7">
        <v>18069.217009256809</v>
      </c>
    </row>
    <row r="361" spans="1:8" x14ac:dyDescent="0.35">
      <c r="A361">
        <v>311920</v>
      </c>
      <c r="B361">
        <v>3119203</v>
      </c>
      <c r="C361" t="s">
        <v>45</v>
      </c>
      <c r="D361">
        <v>2024</v>
      </c>
      <c r="E361" s="7">
        <v>16156.22</v>
      </c>
      <c r="F361" s="8">
        <v>15411.652734229983</v>
      </c>
      <c r="G361" s="7">
        <v>17318.78</v>
      </c>
      <c r="H361" s="7">
        <v>16520.639936721011</v>
      </c>
    </row>
    <row r="362" spans="1:8" x14ac:dyDescent="0.35">
      <c r="A362">
        <v>311950</v>
      </c>
      <c r="B362">
        <v>3119500</v>
      </c>
      <c r="C362" t="s">
        <v>46</v>
      </c>
      <c r="D362">
        <v>2015</v>
      </c>
      <c r="E362" s="7">
        <v>4875.49</v>
      </c>
      <c r="F362" s="8">
        <v>7349.601762742117</v>
      </c>
      <c r="G362" s="7">
        <v>5630.5</v>
      </c>
      <c r="H362" s="7">
        <v>8487.7497385318911</v>
      </c>
    </row>
    <row r="363" spans="1:8" x14ac:dyDescent="0.35">
      <c r="A363">
        <v>311950</v>
      </c>
      <c r="B363">
        <v>3119500</v>
      </c>
      <c r="C363" t="s">
        <v>46</v>
      </c>
      <c r="D363">
        <v>2016</v>
      </c>
      <c r="E363" s="7">
        <v>5328.16</v>
      </c>
      <c r="F363" s="8">
        <v>7556.8118355843126</v>
      </c>
      <c r="G363" s="7">
        <v>6369.5</v>
      </c>
      <c r="H363" s="7">
        <v>9033.7222935513255</v>
      </c>
    </row>
    <row r="364" spans="1:8" x14ac:dyDescent="0.35">
      <c r="A364">
        <v>311950</v>
      </c>
      <c r="B364">
        <v>3119500</v>
      </c>
      <c r="C364" t="s">
        <v>46</v>
      </c>
      <c r="D364">
        <v>2017</v>
      </c>
      <c r="E364" s="7">
        <v>5652.86</v>
      </c>
      <c r="F364" s="8">
        <v>7787.7877684756913</v>
      </c>
      <c r="G364" s="7">
        <v>7570.47</v>
      </c>
      <c r="H364" s="7">
        <v>10429.62905863376</v>
      </c>
    </row>
    <row r="365" spans="1:8" x14ac:dyDescent="0.35">
      <c r="A365">
        <v>311950</v>
      </c>
      <c r="B365">
        <v>3119500</v>
      </c>
      <c r="C365" t="s">
        <v>46</v>
      </c>
      <c r="D365">
        <v>2018</v>
      </c>
      <c r="E365" s="7">
        <v>6435.4</v>
      </c>
      <c r="F365" s="8">
        <v>8545.7821237067728</v>
      </c>
      <c r="G365" s="7">
        <v>6398.51</v>
      </c>
      <c r="H365" s="7">
        <v>8496.792951467587</v>
      </c>
    </row>
    <row r="366" spans="1:8" x14ac:dyDescent="0.35">
      <c r="A366">
        <v>311950</v>
      </c>
      <c r="B366">
        <v>3119500</v>
      </c>
      <c r="C366" t="s">
        <v>46</v>
      </c>
      <c r="D366">
        <v>2019</v>
      </c>
      <c r="E366" s="7">
        <v>7262.46</v>
      </c>
      <c r="F366" s="8">
        <v>9245.9193542032808</v>
      </c>
      <c r="G366" s="7">
        <v>7864.79</v>
      </c>
      <c r="H366" s="7">
        <v>10012.748600219151</v>
      </c>
    </row>
    <row r="367" spans="1:8" x14ac:dyDescent="0.35">
      <c r="A367">
        <v>311950</v>
      </c>
      <c r="B367">
        <v>3119500</v>
      </c>
      <c r="C367" t="s">
        <v>46</v>
      </c>
      <c r="D367">
        <v>2020</v>
      </c>
      <c r="E367" s="7">
        <v>6872.69</v>
      </c>
      <c r="F367" s="8">
        <v>8371.5190287901096</v>
      </c>
      <c r="G367" s="7">
        <v>7521.38</v>
      </c>
      <c r="H367" s="7">
        <v>9161.6824450090498</v>
      </c>
    </row>
    <row r="368" spans="1:8" x14ac:dyDescent="0.35">
      <c r="A368">
        <v>311950</v>
      </c>
      <c r="B368">
        <v>3119500</v>
      </c>
      <c r="C368" t="s">
        <v>46</v>
      </c>
      <c r="D368">
        <v>2021</v>
      </c>
      <c r="E368" s="7">
        <v>8995.0499999999993</v>
      </c>
      <c r="F368" s="8">
        <v>9955.1477299984963</v>
      </c>
      <c r="G368" s="7">
        <v>8262.23</v>
      </c>
      <c r="H368" s="7">
        <v>9144.1084258736028</v>
      </c>
    </row>
    <row r="369" spans="1:8" x14ac:dyDescent="0.35">
      <c r="A369">
        <v>311950</v>
      </c>
      <c r="B369">
        <v>3119500</v>
      </c>
      <c r="C369" t="s">
        <v>46</v>
      </c>
      <c r="D369">
        <v>2022</v>
      </c>
      <c r="E369" s="7">
        <v>10191.299999999999</v>
      </c>
      <c r="F369" s="8">
        <v>10662.259336987901</v>
      </c>
      <c r="G369" s="7">
        <v>12486.87</v>
      </c>
      <c r="H369" s="7">
        <v>13063.907039835356</v>
      </c>
    </row>
    <row r="370" spans="1:8" x14ac:dyDescent="0.35">
      <c r="A370">
        <v>311950</v>
      </c>
      <c r="B370">
        <v>3119500</v>
      </c>
      <c r="C370" t="s">
        <v>46</v>
      </c>
      <c r="D370">
        <v>2023</v>
      </c>
      <c r="E370" s="7">
        <v>11048.88</v>
      </c>
      <c r="F370" s="8">
        <v>11048.88</v>
      </c>
      <c r="G370" s="7">
        <v>14435.75</v>
      </c>
      <c r="H370" s="7">
        <v>14435.753936527073</v>
      </c>
    </row>
    <row r="371" spans="1:8" x14ac:dyDescent="0.35">
      <c r="A371">
        <v>311950</v>
      </c>
      <c r="B371">
        <v>3119500</v>
      </c>
      <c r="C371" t="s">
        <v>46</v>
      </c>
      <c r="D371">
        <v>2024</v>
      </c>
      <c r="E371" s="7">
        <v>13564.39</v>
      </c>
      <c r="F371" s="8">
        <v>12939.268481839308</v>
      </c>
      <c r="G371" s="7">
        <v>16376.29</v>
      </c>
      <c r="H371" s="7">
        <v>15621.576783424309</v>
      </c>
    </row>
    <row r="372" spans="1:8" x14ac:dyDescent="0.35">
      <c r="A372">
        <v>312015</v>
      </c>
      <c r="B372">
        <v>3120151</v>
      </c>
      <c r="C372" t="s">
        <v>47</v>
      </c>
      <c r="D372">
        <v>2015</v>
      </c>
      <c r="E372" s="7">
        <v>4437.67</v>
      </c>
      <c r="F372" s="8">
        <v>6689.6060200036945</v>
      </c>
      <c r="G372" s="7">
        <v>4720.92</v>
      </c>
      <c r="H372" s="7">
        <v>7116.6000927343357</v>
      </c>
    </row>
    <row r="373" spans="1:8" x14ac:dyDescent="0.35">
      <c r="A373">
        <v>312015</v>
      </c>
      <c r="B373">
        <v>3120151</v>
      </c>
      <c r="C373" t="s">
        <v>47</v>
      </c>
      <c r="D373">
        <v>2016</v>
      </c>
      <c r="E373" s="7">
        <v>5209.01</v>
      </c>
      <c r="F373" s="8">
        <v>7387.8240179868926</v>
      </c>
      <c r="G373" s="7">
        <v>5582.49</v>
      </c>
      <c r="H373" s="7">
        <v>7917.5293346813396</v>
      </c>
    </row>
    <row r="374" spans="1:8" x14ac:dyDescent="0.35">
      <c r="A374">
        <v>312015</v>
      </c>
      <c r="B374">
        <v>3120151</v>
      </c>
      <c r="C374" t="s">
        <v>47</v>
      </c>
      <c r="D374">
        <v>2017</v>
      </c>
      <c r="E374" s="7">
        <v>5511.8</v>
      </c>
      <c r="F374" s="8">
        <v>7593.4533355300364</v>
      </c>
      <c r="G374" s="7">
        <v>6744.55</v>
      </c>
      <c r="H374" s="7">
        <v>9291.784670326746</v>
      </c>
    </row>
    <row r="375" spans="1:8" x14ac:dyDescent="0.35">
      <c r="A375">
        <v>312015</v>
      </c>
      <c r="B375">
        <v>3120151</v>
      </c>
      <c r="C375" t="s">
        <v>47</v>
      </c>
      <c r="D375">
        <v>2018</v>
      </c>
      <c r="E375" s="7">
        <v>5558.22</v>
      </c>
      <c r="F375" s="8">
        <v>7380.9455691378098</v>
      </c>
      <c r="G375" s="7">
        <v>6916.25</v>
      </c>
      <c r="H375" s="7">
        <v>9184.3145902926026</v>
      </c>
    </row>
    <row r="376" spans="1:8" x14ac:dyDescent="0.35">
      <c r="A376">
        <v>312015</v>
      </c>
      <c r="B376">
        <v>3120151</v>
      </c>
      <c r="C376" s="9" t="s">
        <v>47</v>
      </c>
      <c r="D376">
        <v>2019</v>
      </c>
      <c r="E376" s="7">
        <v>6163.81</v>
      </c>
      <c r="F376" s="8">
        <v>7847.2157057845034</v>
      </c>
      <c r="G376" s="7">
        <v>6801.5489587426327</v>
      </c>
      <c r="H376" s="7">
        <v>8659.1283334021355</v>
      </c>
    </row>
    <row r="377" spans="1:8" x14ac:dyDescent="0.35">
      <c r="A377">
        <v>312015</v>
      </c>
      <c r="B377">
        <v>3120151</v>
      </c>
      <c r="C377" t="s">
        <v>47</v>
      </c>
      <c r="D377">
        <v>2020</v>
      </c>
      <c r="E377" s="7">
        <v>6965.67</v>
      </c>
      <c r="F377" s="8">
        <v>8484.7765508516186</v>
      </c>
      <c r="G377" s="7">
        <v>5824.38</v>
      </c>
      <c r="H377" s="7">
        <v>7094.5853640526284</v>
      </c>
    </row>
    <row r="378" spans="1:8" x14ac:dyDescent="0.35">
      <c r="A378">
        <v>312015</v>
      </c>
      <c r="B378">
        <v>3120151</v>
      </c>
      <c r="C378" t="s">
        <v>47</v>
      </c>
      <c r="D378">
        <v>2021</v>
      </c>
      <c r="E378" s="7">
        <v>10162</v>
      </c>
      <c r="F378" s="8">
        <v>11246.653574159647</v>
      </c>
      <c r="G378" s="7">
        <v>9069.8799999999992</v>
      </c>
      <c r="H378" s="7">
        <v>10037.969935771174</v>
      </c>
    </row>
    <row r="379" spans="1:8" x14ac:dyDescent="0.35">
      <c r="A379">
        <v>312015</v>
      </c>
      <c r="B379">
        <v>3120151</v>
      </c>
      <c r="C379" t="s">
        <v>47</v>
      </c>
      <c r="D379">
        <v>2022</v>
      </c>
      <c r="E379" s="7">
        <v>12085.08</v>
      </c>
      <c r="F379" s="8">
        <v>12643.55450906614</v>
      </c>
      <c r="G379" s="7">
        <v>14523.32</v>
      </c>
      <c r="H379" s="7">
        <v>15194.466422261028</v>
      </c>
    </row>
    <row r="380" spans="1:8" x14ac:dyDescent="0.35">
      <c r="A380">
        <v>312015</v>
      </c>
      <c r="B380">
        <v>3120151</v>
      </c>
      <c r="C380" t="s">
        <v>47</v>
      </c>
      <c r="D380">
        <v>2023</v>
      </c>
      <c r="E380" s="7">
        <v>13493.41</v>
      </c>
      <c r="F380" s="8">
        <v>13493.41</v>
      </c>
      <c r="G380" s="7">
        <v>17491.32</v>
      </c>
      <c r="H380" s="7">
        <v>17491.32131588829</v>
      </c>
    </row>
    <row r="381" spans="1:8" x14ac:dyDescent="0.35">
      <c r="A381">
        <v>312015</v>
      </c>
      <c r="B381">
        <v>3120151</v>
      </c>
      <c r="C381" t="s">
        <v>47</v>
      </c>
      <c r="D381">
        <v>2024</v>
      </c>
      <c r="E381" s="7">
        <v>17549.64</v>
      </c>
      <c r="F381" s="8">
        <v>16740.856295021476</v>
      </c>
      <c r="G381" s="7">
        <v>16939.95</v>
      </c>
      <c r="H381" s="7">
        <v>16159.263417271053</v>
      </c>
    </row>
    <row r="382" spans="1:8" x14ac:dyDescent="0.35">
      <c r="A382">
        <v>312087</v>
      </c>
      <c r="B382">
        <v>3120870</v>
      </c>
      <c r="C382" t="s">
        <v>48</v>
      </c>
      <c r="D382">
        <v>2015</v>
      </c>
      <c r="E382" s="7">
        <v>5345.49</v>
      </c>
      <c r="F382" s="8">
        <v>8058.1075392874072</v>
      </c>
      <c r="G382" s="7">
        <v>6101.1</v>
      </c>
      <c r="H382" s="7">
        <v>9197.1573236511431</v>
      </c>
    </row>
    <row r="383" spans="1:8" x14ac:dyDescent="0.35">
      <c r="A383">
        <v>312087</v>
      </c>
      <c r="B383">
        <v>3120870</v>
      </c>
      <c r="C383" t="s">
        <v>48</v>
      </c>
      <c r="D383">
        <v>2016</v>
      </c>
      <c r="E383" s="7">
        <v>5357.5</v>
      </c>
      <c r="F383" s="8">
        <v>7598.4241106015879</v>
      </c>
      <c r="G383" s="7">
        <v>7724.38</v>
      </c>
      <c r="H383" s="7">
        <v>10955.312909501898</v>
      </c>
    </row>
    <row r="384" spans="1:8" x14ac:dyDescent="0.35">
      <c r="A384">
        <v>312087</v>
      </c>
      <c r="B384">
        <v>3120870</v>
      </c>
      <c r="C384" t="s">
        <v>48</v>
      </c>
      <c r="D384">
        <v>2017</v>
      </c>
      <c r="E384" s="7">
        <v>6246.86</v>
      </c>
      <c r="F384" s="8">
        <v>8606.1250233297942</v>
      </c>
      <c r="G384" s="7">
        <v>7629.95</v>
      </c>
      <c r="H384" s="7">
        <v>10511.564500398379</v>
      </c>
    </row>
    <row r="385" spans="1:8" x14ac:dyDescent="0.35">
      <c r="A385">
        <v>312087</v>
      </c>
      <c r="B385">
        <v>3120870</v>
      </c>
      <c r="C385" t="s">
        <v>48</v>
      </c>
      <c r="D385">
        <v>2018</v>
      </c>
      <c r="E385" s="7">
        <v>4927.2299999999996</v>
      </c>
      <c r="F385" s="8">
        <v>6543.0329200036858</v>
      </c>
      <c r="G385" s="7">
        <v>6909.4</v>
      </c>
      <c r="H385" s="7">
        <v>9175.2259507281651</v>
      </c>
    </row>
    <row r="386" spans="1:8" x14ac:dyDescent="0.35">
      <c r="A386">
        <v>312087</v>
      </c>
      <c r="B386">
        <v>3120870</v>
      </c>
      <c r="C386" t="s">
        <v>48</v>
      </c>
      <c r="D386">
        <v>2019</v>
      </c>
      <c r="E386" s="7">
        <v>5721.24</v>
      </c>
      <c r="F386" s="8">
        <v>7283.7748705042059</v>
      </c>
      <c r="G386" s="7">
        <v>6842.18</v>
      </c>
      <c r="H386" s="7">
        <v>8710.8612923899163</v>
      </c>
    </row>
    <row r="387" spans="1:8" x14ac:dyDescent="0.35">
      <c r="A387">
        <v>312087</v>
      </c>
      <c r="B387">
        <v>3120870</v>
      </c>
      <c r="C387" t="s">
        <v>48</v>
      </c>
      <c r="D387">
        <v>2020</v>
      </c>
      <c r="E387" s="7">
        <v>6434.43</v>
      </c>
      <c r="F387" s="8">
        <v>7837.6811967974627</v>
      </c>
      <c r="G387" s="7">
        <v>6945.92</v>
      </c>
      <c r="H387" s="7">
        <v>8460.7193863962948</v>
      </c>
    </row>
    <row r="388" spans="1:8" x14ac:dyDescent="0.35">
      <c r="A388">
        <v>312087</v>
      </c>
      <c r="B388">
        <v>3120870</v>
      </c>
      <c r="C388" t="s">
        <v>48</v>
      </c>
      <c r="D388">
        <v>2021</v>
      </c>
      <c r="E388" s="7">
        <v>8669.5</v>
      </c>
      <c r="F388" s="8">
        <v>9594.8497501650327</v>
      </c>
      <c r="G388" s="7">
        <v>8153.12</v>
      </c>
      <c r="H388" s="7">
        <v>9023.34988325624</v>
      </c>
    </row>
    <row r="389" spans="1:8" x14ac:dyDescent="0.35">
      <c r="A389">
        <v>312087</v>
      </c>
      <c r="B389">
        <v>3120870</v>
      </c>
      <c r="C389" t="s">
        <v>48</v>
      </c>
      <c r="D389">
        <v>2022</v>
      </c>
      <c r="E389" s="7">
        <v>11796.98</v>
      </c>
      <c r="F389" s="8">
        <v>12342.1408606615</v>
      </c>
      <c r="G389" s="7">
        <v>14419.71</v>
      </c>
      <c r="H389" s="7">
        <v>15086.069140788577</v>
      </c>
    </row>
    <row r="390" spans="1:8" x14ac:dyDescent="0.35">
      <c r="A390">
        <v>312087</v>
      </c>
      <c r="B390">
        <v>3120870</v>
      </c>
      <c r="C390" t="s">
        <v>48</v>
      </c>
      <c r="D390">
        <v>2023</v>
      </c>
      <c r="E390" s="7">
        <v>10758.74</v>
      </c>
      <c r="F390" s="8">
        <v>10758.74</v>
      </c>
      <c r="G390" s="7">
        <v>12369.62</v>
      </c>
      <c r="H390" s="7">
        <v>12369.617663221547</v>
      </c>
    </row>
    <row r="391" spans="1:8" x14ac:dyDescent="0.35">
      <c r="A391">
        <v>312087</v>
      </c>
      <c r="B391">
        <v>3120870</v>
      </c>
      <c r="C391" t="s">
        <v>48</v>
      </c>
      <c r="D391">
        <v>2024</v>
      </c>
      <c r="E391" s="7">
        <v>11549.82</v>
      </c>
      <c r="F391" s="8">
        <v>11017.540921259066</v>
      </c>
      <c r="G391" s="7">
        <v>13248</v>
      </c>
      <c r="H391" s="7">
        <v>12637.455935006787</v>
      </c>
    </row>
    <row r="392" spans="1:8" x14ac:dyDescent="0.35">
      <c r="A392">
        <v>312090</v>
      </c>
      <c r="B392">
        <v>3120904</v>
      </c>
      <c r="C392" t="s">
        <v>49</v>
      </c>
      <c r="D392">
        <v>2015</v>
      </c>
      <c r="E392" s="7">
        <v>5004.49</v>
      </c>
      <c r="F392" s="8">
        <v>7544.0639865173134</v>
      </c>
      <c r="G392" s="7">
        <v>4388.66</v>
      </c>
      <c r="H392" s="7">
        <v>6615.7253154180125</v>
      </c>
    </row>
    <row r="393" spans="1:8" x14ac:dyDescent="0.35">
      <c r="A393">
        <v>312090</v>
      </c>
      <c r="B393">
        <v>3120904</v>
      </c>
      <c r="C393" t="s">
        <v>49</v>
      </c>
      <c r="D393">
        <v>2016</v>
      </c>
      <c r="E393" s="7">
        <v>4684.2</v>
      </c>
      <c r="F393" s="8">
        <v>6643.4975676864124</v>
      </c>
      <c r="G393" s="7">
        <v>6104.27</v>
      </c>
      <c r="H393" s="7">
        <v>8657.5529182374194</v>
      </c>
    </row>
    <row r="394" spans="1:8" x14ac:dyDescent="0.35">
      <c r="A394">
        <v>312090</v>
      </c>
      <c r="B394">
        <v>3120904</v>
      </c>
      <c r="C394" t="s">
        <v>49</v>
      </c>
      <c r="D394">
        <v>2017</v>
      </c>
      <c r="E394" s="7">
        <v>6235.1</v>
      </c>
      <c r="F394" s="8">
        <v>8589.9235988902601</v>
      </c>
      <c r="G394" s="7">
        <v>6687.82</v>
      </c>
      <c r="H394" s="7">
        <v>9213.6275456476142</v>
      </c>
    </row>
    <row r="395" spans="1:8" x14ac:dyDescent="0.35">
      <c r="A395">
        <v>312090</v>
      </c>
      <c r="B395">
        <v>3120904</v>
      </c>
      <c r="C395" t="s">
        <v>49</v>
      </c>
      <c r="D395">
        <v>2018</v>
      </c>
      <c r="E395" s="7">
        <v>6033.24</v>
      </c>
      <c r="F395" s="8">
        <v>8011.7404574746952</v>
      </c>
      <c r="G395" s="7">
        <v>6405.85</v>
      </c>
      <c r="H395" s="7">
        <v>8506.5387097282055</v>
      </c>
    </row>
    <row r="396" spans="1:8" x14ac:dyDescent="0.35">
      <c r="A396">
        <v>312090</v>
      </c>
      <c r="B396">
        <v>3120904</v>
      </c>
      <c r="C396" t="s">
        <v>49</v>
      </c>
      <c r="D396">
        <v>2019</v>
      </c>
      <c r="E396" s="7">
        <v>7114.46</v>
      </c>
      <c r="F396" s="8">
        <v>9057.4988927587983</v>
      </c>
      <c r="G396" s="7">
        <v>7443.93</v>
      </c>
      <c r="H396" s="7">
        <v>9476.9542124679811</v>
      </c>
    </row>
    <row r="397" spans="1:8" x14ac:dyDescent="0.35">
      <c r="A397">
        <v>312090</v>
      </c>
      <c r="B397">
        <v>3120904</v>
      </c>
      <c r="C397" t="s">
        <v>49</v>
      </c>
      <c r="D397">
        <v>2020</v>
      </c>
      <c r="E397" s="7">
        <v>7777.86</v>
      </c>
      <c r="F397" s="8">
        <v>9474.0928214811738</v>
      </c>
      <c r="G397" s="7">
        <v>8894.01</v>
      </c>
      <c r="H397" s="7">
        <v>10833.658398781527</v>
      </c>
    </row>
    <row r="398" spans="1:8" x14ac:dyDescent="0.35">
      <c r="A398">
        <v>312090</v>
      </c>
      <c r="B398">
        <v>3120904</v>
      </c>
      <c r="C398" t="s">
        <v>49</v>
      </c>
      <c r="D398">
        <v>2021</v>
      </c>
      <c r="E398" s="7">
        <v>7577.26</v>
      </c>
      <c r="F398" s="8">
        <v>8386.0281697832052</v>
      </c>
      <c r="G398" s="7">
        <v>7259.57</v>
      </c>
      <c r="H398" s="7">
        <v>8034.4244457283066</v>
      </c>
    </row>
    <row r="399" spans="1:8" x14ac:dyDescent="0.35">
      <c r="A399">
        <v>312090</v>
      </c>
      <c r="B399">
        <v>3120904</v>
      </c>
      <c r="C399" t="s">
        <v>49</v>
      </c>
      <c r="D399">
        <v>2022</v>
      </c>
      <c r="E399" s="7">
        <v>11199.63</v>
      </c>
      <c r="F399" s="8">
        <v>11717.186182166142</v>
      </c>
      <c r="G399" s="7">
        <v>13900.26</v>
      </c>
      <c r="H399" s="7">
        <v>14542.619743861142</v>
      </c>
    </row>
    <row r="400" spans="1:8" x14ac:dyDescent="0.35">
      <c r="A400">
        <v>312090</v>
      </c>
      <c r="B400">
        <v>3120904</v>
      </c>
      <c r="C400" t="s">
        <v>49</v>
      </c>
      <c r="D400">
        <v>2023</v>
      </c>
      <c r="E400" s="7">
        <v>16395.099999999999</v>
      </c>
      <c r="F400" s="8">
        <v>16395.099999999999</v>
      </c>
      <c r="G400" s="7">
        <v>13084.76</v>
      </c>
      <c r="H400" s="7">
        <v>13084.75705164397</v>
      </c>
    </row>
    <row r="401" spans="1:8" x14ac:dyDescent="0.35">
      <c r="A401">
        <v>312090</v>
      </c>
      <c r="B401">
        <v>3120904</v>
      </c>
      <c r="C401" t="s">
        <v>49</v>
      </c>
      <c r="D401">
        <v>2024</v>
      </c>
      <c r="E401" s="7">
        <v>13422.7</v>
      </c>
      <c r="F401" s="8">
        <v>12804.108334483488</v>
      </c>
      <c r="G401" s="7">
        <v>12499.78</v>
      </c>
      <c r="H401" s="7">
        <v>11923.721800476018</v>
      </c>
    </row>
    <row r="402" spans="1:8" x14ac:dyDescent="0.35">
      <c r="A402">
        <v>312100</v>
      </c>
      <c r="B402">
        <v>3121001</v>
      </c>
      <c r="C402" t="s">
        <v>50</v>
      </c>
      <c r="D402">
        <v>2015</v>
      </c>
      <c r="E402" s="7">
        <v>5153.22</v>
      </c>
      <c r="F402" s="8">
        <v>7768.268378316423</v>
      </c>
      <c r="G402" s="7">
        <v>5535.95</v>
      </c>
      <c r="H402" s="7">
        <v>8345.2223170515281</v>
      </c>
    </row>
    <row r="403" spans="1:8" x14ac:dyDescent="0.35">
      <c r="A403">
        <v>312100</v>
      </c>
      <c r="B403">
        <v>3121001</v>
      </c>
      <c r="C403" t="s">
        <v>50</v>
      </c>
      <c r="D403">
        <v>2016</v>
      </c>
      <c r="E403" s="7">
        <v>5748</v>
      </c>
      <c r="F403" s="8">
        <v>8152.261649601106</v>
      </c>
      <c r="G403" s="7">
        <v>6938.16</v>
      </c>
      <c r="H403" s="7">
        <v>9840.2374192658808</v>
      </c>
    </row>
    <row r="404" spans="1:8" x14ac:dyDescent="0.35">
      <c r="A404">
        <v>312100</v>
      </c>
      <c r="B404">
        <v>3121001</v>
      </c>
      <c r="C404" t="s">
        <v>50</v>
      </c>
      <c r="D404">
        <v>2017</v>
      </c>
      <c r="E404" s="7">
        <v>6848.04</v>
      </c>
      <c r="F404" s="8">
        <v>9434.3539641937496</v>
      </c>
      <c r="G404" s="7">
        <v>6374.04</v>
      </c>
      <c r="H404" s="7">
        <v>8781.3442505946405</v>
      </c>
    </row>
    <row r="405" spans="1:8" x14ac:dyDescent="0.35">
      <c r="A405">
        <v>312100</v>
      </c>
      <c r="B405">
        <v>3121001</v>
      </c>
      <c r="C405" t="s">
        <v>50</v>
      </c>
      <c r="D405">
        <v>2018</v>
      </c>
      <c r="E405" s="7">
        <v>5700.28</v>
      </c>
      <c r="F405" s="8">
        <v>7569.5917773756473</v>
      </c>
      <c r="G405" s="7">
        <v>6717.35</v>
      </c>
      <c r="H405" s="7">
        <v>8920.1970404676103</v>
      </c>
    </row>
    <row r="406" spans="1:8" x14ac:dyDescent="0.35">
      <c r="A406">
        <v>312100</v>
      </c>
      <c r="B406">
        <v>3121001</v>
      </c>
      <c r="C406" t="s">
        <v>50</v>
      </c>
      <c r="D406">
        <v>2019</v>
      </c>
      <c r="E406" s="7">
        <v>7415.94</v>
      </c>
      <c r="F406" s="8">
        <v>9441.31646516611</v>
      </c>
      <c r="G406" s="7">
        <v>8091.86</v>
      </c>
      <c r="H406" s="7">
        <v>10301.842789064882</v>
      </c>
    </row>
    <row r="407" spans="1:8" x14ac:dyDescent="0.35">
      <c r="A407">
        <v>312100</v>
      </c>
      <c r="B407">
        <v>3121001</v>
      </c>
      <c r="C407" t="s">
        <v>50</v>
      </c>
      <c r="D407">
        <v>2020</v>
      </c>
      <c r="E407" s="7">
        <v>8471.42</v>
      </c>
      <c r="F407" s="8">
        <v>10318.907695658196</v>
      </c>
      <c r="G407" s="7">
        <v>8854.5400000000009</v>
      </c>
      <c r="H407" s="7">
        <v>10785.575289146223</v>
      </c>
    </row>
    <row r="408" spans="1:8" x14ac:dyDescent="0.35">
      <c r="A408">
        <v>312100</v>
      </c>
      <c r="B408">
        <v>3121001</v>
      </c>
      <c r="C408" t="s">
        <v>50</v>
      </c>
      <c r="D408">
        <v>2021</v>
      </c>
      <c r="E408" s="7">
        <v>11442.19</v>
      </c>
      <c r="F408" s="8">
        <v>12663.486229060596</v>
      </c>
      <c r="G408" s="7">
        <v>11364.79</v>
      </c>
      <c r="H408" s="7">
        <v>12577.826638426979</v>
      </c>
    </row>
    <row r="409" spans="1:8" x14ac:dyDescent="0.35">
      <c r="A409">
        <v>312100</v>
      </c>
      <c r="B409">
        <v>3121001</v>
      </c>
      <c r="C409" t="s">
        <v>50</v>
      </c>
      <c r="D409">
        <v>2022</v>
      </c>
      <c r="E409" s="7">
        <v>14415.44</v>
      </c>
      <c r="F409" s="8">
        <v>15081.604872468566</v>
      </c>
      <c r="G409" s="7">
        <v>16023.75</v>
      </c>
      <c r="H409" s="7">
        <v>16764.235973234077</v>
      </c>
    </row>
    <row r="410" spans="1:8" x14ac:dyDescent="0.35">
      <c r="A410">
        <v>312100</v>
      </c>
      <c r="B410">
        <v>3121001</v>
      </c>
      <c r="C410" t="s">
        <v>50</v>
      </c>
      <c r="D410">
        <v>2023</v>
      </c>
      <c r="E410" s="7">
        <v>11763.08</v>
      </c>
      <c r="F410" s="8">
        <v>11763.08</v>
      </c>
      <c r="G410" s="7">
        <v>12454.7</v>
      </c>
      <c r="H410" s="7">
        <v>12454.700351844931</v>
      </c>
    </row>
    <row r="411" spans="1:8" x14ac:dyDescent="0.35">
      <c r="A411">
        <v>312100</v>
      </c>
      <c r="B411">
        <v>3121001</v>
      </c>
      <c r="C411" t="s">
        <v>50</v>
      </c>
      <c r="D411">
        <v>2024</v>
      </c>
      <c r="E411" s="7">
        <v>15233.93</v>
      </c>
      <c r="F411" s="8">
        <v>14531.866917977608</v>
      </c>
      <c r="G411" s="7">
        <v>16207.08</v>
      </c>
      <c r="H411" s="7">
        <v>15460.172246376496</v>
      </c>
    </row>
    <row r="412" spans="1:8" x14ac:dyDescent="0.35">
      <c r="A412">
        <v>312160</v>
      </c>
      <c r="B412">
        <v>3121605</v>
      </c>
      <c r="C412" t="s">
        <v>51</v>
      </c>
      <c r="D412">
        <v>2015</v>
      </c>
      <c r="E412" s="7">
        <v>7784.21</v>
      </c>
      <c r="F412" s="8">
        <v>11734.378193280023</v>
      </c>
      <c r="G412" s="7">
        <v>7344.89</v>
      </c>
      <c r="H412" s="7">
        <v>11072.122265691751</v>
      </c>
    </row>
    <row r="413" spans="1:8" x14ac:dyDescent="0.35">
      <c r="A413">
        <v>312160</v>
      </c>
      <c r="B413">
        <v>3121605</v>
      </c>
      <c r="C413" t="s">
        <v>51</v>
      </c>
      <c r="D413">
        <v>2016</v>
      </c>
      <c r="E413" s="7">
        <v>8167.3</v>
      </c>
      <c r="F413" s="8">
        <v>11583.501491090312</v>
      </c>
      <c r="G413" s="7">
        <v>7285.45</v>
      </c>
      <c r="H413" s="7">
        <v>10332.793429526389</v>
      </c>
    </row>
    <row r="414" spans="1:8" x14ac:dyDescent="0.35">
      <c r="A414">
        <v>312160</v>
      </c>
      <c r="B414">
        <v>3121605</v>
      </c>
      <c r="C414" t="s">
        <v>51</v>
      </c>
      <c r="D414">
        <v>2017</v>
      </c>
      <c r="E414" s="7">
        <v>8500.48</v>
      </c>
      <c r="F414" s="8">
        <v>11710.874525491919</v>
      </c>
      <c r="G414" s="7">
        <v>9505.16</v>
      </c>
      <c r="H414" s="7">
        <v>13094.994480200656</v>
      </c>
    </row>
    <row r="415" spans="1:8" x14ac:dyDescent="0.35">
      <c r="A415">
        <v>312160</v>
      </c>
      <c r="B415">
        <v>3121605</v>
      </c>
      <c r="C415" t="s">
        <v>51</v>
      </c>
      <c r="D415">
        <v>2018</v>
      </c>
      <c r="E415" s="7">
        <v>7913.26</v>
      </c>
      <c r="F415" s="8">
        <v>10508.281668310263</v>
      </c>
      <c r="G415" s="7">
        <v>8163.23</v>
      </c>
      <c r="H415" s="7">
        <v>10840.230580956761</v>
      </c>
    </row>
    <row r="416" spans="1:8" x14ac:dyDescent="0.35">
      <c r="A416">
        <v>312160</v>
      </c>
      <c r="B416">
        <v>3121605</v>
      </c>
      <c r="C416" t="s">
        <v>51</v>
      </c>
      <c r="D416">
        <v>2019</v>
      </c>
      <c r="E416" s="7">
        <v>8941.66</v>
      </c>
      <c r="F416" s="8">
        <v>11383.727724862554</v>
      </c>
      <c r="G416" s="7">
        <v>8789.44</v>
      </c>
      <c r="H416" s="7">
        <v>11189.939480873789</v>
      </c>
    </row>
    <row r="417" spans="1:8" x14ac:dyDescent="0.35">
      <c r="A417">
        <v>312160</v>
      </c>
      <c r="B417">
        <v>3121605</v>
      </c>
      <c r="C417" t="s">
        <v>51</v>
      </c>
      <c r="D417">
        <v>2020</v>
      </c>
      <c r="E417" s="7">
        <v>8388.01</v>
      </c>
      <c r="F417" s="8">
        <v>10217.307244860709</v>
      </c>
      <c r="G417" s="7">
        <v>8083.26</v>
      </c>
      <c r="H417" s="7">
        <v>9846.0965721044995</v>
      </c>
    </row>
    <row r="418" spans="1:8" x14ac:dyDescent="0.35">
      <c r="A418">
        <v>312160</v>
      </c>
      <c r="B418">
        <v>3121605</v>
      </c>
      <c r="C418" t="s">
        <v>51</v>
      </c>
      <c r="D418">
        <v>2021</v>
      </c>
      <c r="E418" s="7">
        <v>12414.61</v>
      </c>
      <c r="F418" s="8">
        <v>13739.698674306052</v>
      </c>
      <c r="G418" s="7">
        <v>10577.76</v>
      </c>
      <c r="H418" s="7">
        <v>11706.792941984739</v>
      </c>
    </row>
    <row r="419" spans="1:8" x14ac:dyDescent="0.35">
      <c r="A419">
        <v>312160</v>
      </c>
      <c r="B419">
        <v>3121605</v>
      </c>
      <c r="C419" t="s">
        <v>51</v>
      </c>
      <c r="D419">
        <v>2022</v>
      </c>
      <c r="E419" s="7">
        <v>13853.5</v>
      </c>
      <c r="F419" s="8">
        <v>14493.696557354009</v>
      </c>
      <c r="G419" s="7">
        <v>13236.47</v>
      </c>
      <c r="H419" s="7">
        <v>13848.147871093264</v>
      </c>
    </row>
    <row r="420" spans="1:8" x14ac:dyDescent="0.35">
      <c r="A420">
        <v>312160</v>
      </c>
      <c r="B420">
        <v>3121605</v>
      </c>
      <c r="C420" t="s">
        <v>51</v>
      </c>
      <c r="D420">
        <v>2023</v>
      </c>
      <c r="E420" s="7">
        <v>13683.7</v>
      </c>
      <c r="F420" s="8">
        <v>13683.7</v>
      </c>
      <c r="G420" s="7">
        <v>14278.85</v>
      </c>
      <c r="H420" s="7">
        <v>14278.853143480777</v>
      </c>
    </row>
    <row r="421" spans="1:8" x14ac:dyDescent="0.35">
      <c r="A421">
        <v>312160</v>
      </c>
      <c r="B421">
        <v>3121605</v>
      </c>
      <c r="C421" t="s">
        <v>51</v>
      </c>
      <c r="D421">
        <v>2024</v>
      </c>
      <c r="E421" s="7">
        <v>14785.4</v>
      </c>
      <c r="F421" s="8">
        <v>14104.007641433702</v>
      </c>
      <c r="G421" s="7">
        <v>18689.009999999998</v>
      </c>
      <c r="H421" s="7">
        <v>17827.713730463285</v>
      </c>
    </row>
    <row r="422" spans="1:8" x14ac:dyDescent="0.35">
      <c r="A422">
        <v>312210</v>
      </c>
      <c r="B422">
        <v>3122108</v>
      </c>
      <c r="C422" t="s">
        <v>52</v>
      </c>
      <c r="D422">
        <v>2015</v>
      </c>
      <c r="E422" s="7">
        <v>7861.72</v>
      </c>
      <c r="F422" s="8">
        <v>11851.221348046034</v>
      </c>
      <c r="G422" s="7">
        <v>6198.01</v>
      </c>
      <c r="H422" s="7">
        <v>9343.252814308049</v>
      </c>
    </row>
    <row r="423" spans="1:8" x14ac:dyDescent="0.35">
      <c r="A423">
        <v>312210</v>
      </c>
      <c r="B423">
        <v>3122108</v>
      </c>
      <c r="C423" t="s">
        <v>52</v>
      </c>
      <c r="D423">
        <v>2016</v>
      </c>
      <c r="E423" s="7">
        <v>8972.69</v>
      </c>
      <c r="F423" s="8">
        <v>12725.768368260153</v>
      </c>
      <c r="G423" s="7">
        <v>10367.299999999999</v>
      </c>
      <c r="H423" s="7">
        <v>14703.707409567167</v>
      </c>
    </row>
    <row r="424" spans="1:8" x14ac:dyDescent="0.35">
      <c r="A424">
        <v>312210</v>
      </c>
      <c r="B424">
        <v>3122108</v>
      </c>
      <c r="C424" t="s">
        <v>52</v>
      </c>
      <c r="D424">
        <v>2017</v>
      </c>
      <c r="E424" s="7">
        <v>8322.74</v>
      </c>
      <c r="F424" s="8">
        <v>11466.007078222949</v>
      </c>
      <c r="G424" s="7">
        <v>7836.97</v>
      </c>
      <c r="H424" s="7">
        <v>10796.769647282375</v>
      </c>
    </row>
    <row r="425" spans="1:8" x14ac:dyDescent="0.35">
      <c r="A425">
        <v>312210</v>
      </c>
      <c r="B425">
        <v>3122108</v>
      </c>
      <c r="C425" t="s">
        <v>52</v>
      </c>
      <c r="D425">
        <v>2018</v>
      </c>
      <c r="E425" s="7">
        <v>9356.6</v>
      </c>
      <c r="F425" s="8">
        <v>12424.940954513286</v>
      </c>
      <c r="G425" s="7">
        <v>10383.25</v>
      </c>
      <c r="H425" s="7">
        <v>13788.259957809976</v>
      </c>
    </row>
    <row r="426" spans="1:8" x14ac:dyDescent="0.35">
      <c r="A426">
        <v>312210</v>
      </c>
      <c r="B426">
        <v>3122108</v>
      </c>
      <c r="C426" t="s">
        <v>52</v>
      </c>
      <c r="D426">
        <v>2019</v>
      </c>
      <c r="E426" s="7">
        <v>9685.67</v>
      </c>
      <c r="F426" s="8">
        <v>12330.935208101124</v>
      </c>
      <c r="G426" s="7">
        <v>10221.31</v>
      </c>
      <c r="H426" s="7">
        <v>13012.868573414235</v>
      </c>
    </row>
    <row r="427" spans="1:8" x14ac:dyDescent="0.35">
      <c r="A427">
        <v>312210</v>
      </c>
      <c r="B427">
        <v>3122108</v>
      </c>
      <c r="C427" t="s">
        <v>52</v>
      </c>
      <c r="D427">
        <v>2020</v>
      </c>
      <c r="E427" s="7">
        <v>10785.77</v>
      </c>
      <c r="F427" s="8">
        <v>13137.982186764355</v>
      </c>
      <c r="G427" s="7">
        <v>10194.799999999999</v>
      </c>
      <c r="H427" s="7">
        <v>12418.124772202558</v>
      </c>
    </row>
    <row r="428" spans="1:8" x14ac:dyDescent="0.35">
      <c r="A428">
        <v>312210</v>
      </c>
      <c r="B428">
        <v>3122108</v>
      </c>
      <c r="C428" t="s">
        <v>52</v>
      </c>
      <c r="D428">
        <v>2021</v>
      </c>
      <c r="E428" s="7">
        <v>15946.33</v>
      </c>
      <c r="F428" s="8">
        <v>17648.381154224484</v>
      </c>
      <c r="G428" s="7">
        <v>14165.95</v>
      </c>
      <c r="H428" s="7">
        <v>15677.968759215984</v>
      </c>
    </row>
    <row r="429" spans="1:8" x14ac:dyDescent="0.35">
      <c r="A429">
        <v>312210</v>
      </c>
      <c r="B429">
        <v>3122108</v>
      </c>
      <c r="C429" t="s">
        <v>52</v>
      </c>
      <c r="D429">
        <v>2022</v>
      </c>
      <c r="E429" s="7">
        <v>18331.05</v>
      </c>
      <c r="F429" s="8">
        <v>19178.162650426548</v>
      </c>
      <c r="G429" s="7">
        <v>20012.96</v>
      </c>
      <c r="H429" s="7">
        <v>20937.796781978766</v>
      </c>
    </row>
    <row r="430" spans="1:8" x14ac:dyDescent="0.35">
      <c r="A430">
        <v>312210</v>
      </c>
      <c r="B430">
        <v>3122108</v>
      </c>
      <c r="C430" t="s">
        <v>52</v>
      </c>
      <c r="D430">
        <v>2023</v>
      </c>
      <c r="E430" s="7">
        <v>18536.439999999999</v>
      </c>
      <c r="F430" s="8">
        <v>18536.439999999999</v>
      </c>
      <c r="G430" s="7">
        <v>25198.74</v>
      </c>
      <c r="H430" s="7">
        <v>25198.74168986145</v>
      </c>
    </row>
    <row r="431" spans="1:8" x14ac:dyDescent="0.35">
      <c r="A431">
        <v>312210</v>
      </c>
      <c r="B431">
        <v>3122108</v>
      </c>
      <c r="C431" t="s">
        <v>52</v>
      </c>
      <c r="D431">
        <v>2024</v>
      </c>
      <c r="E431" s="7">
        <v>18635.36</v>
      </c>
      <c r="F431" s="8">
        <v>17776.540360143652</v>
      </c>
      <c r="G431" s="7">
        <v>24779.83</v>
      </c>
      <c r="H431" s="7">
        <v>23637.843077826652</v>
      </c>
    </row>
    <row r="432" spans="1:8" x14ac:dyDescent="0.35">
      <c r="A432">
        <v>312220</v>
      </c>
      <c r="B432">
        <v>3122207</v>
      </c>
      <c r="C432" t="s">
        <v>53</v>
      </c>
      <c r="D432">
        <v>2015</v>
      </c>
      <c r="E432" s="7">
        <v>5373.09</v>
      </c>
      <c r="F432" s="8">
        <v>8099.7134104207053</v>
      </c>
      <c r="G432" s="7">
        <v>6677.96</v>
      </c>
      <c r="H432" s="7">
        <v>10066.753442593381</v>
      </c>
    </row>
    <row r="433" spans="1:8" x14ac:dyDescent="0.35">
      <c r="A433">
        <v>312220</v>
      </c>
      <c r="B433">
        <v>3122207</v>
      </c>
      <c r="C433" t="s">
        <v>53</v>
      </c>
      <c r="D433">
        <v>2016</v>
      </c>
      <c r="E433" s="7">
        <v>4666.45</v>
      </c>
      <c r="F433" s="8">
        <v>6618.3231340955253</v>
      </c>
      <c r="G433" s="7">
        <v>8577.7900000000009</v>
      </c>
      <c r="H433" s="7">
        <v>12165.697097643064</v>
      </c>
    </row>
    <row r="434" spans="1:8" x14ac:dyDescent="0.35">
      <c r="A434">
        <v>312220</v>
      </c>
      <c r="B434">
        <v>3122207</v>
      </c>
      <c r="C434" t="s">
        <v>53</v>
      </c>
      <c r="D434">
        <v>2017</v>
      </c>
      <c r="E434" s="7">
        <v>4267.71</v>
      </c>
      <c r="F434" s="8">
        <v>5879.5051951404066</v>
      </c>
      <c r="G434" s="7">
        <v>6905.41</v>
      </c>
      <c r="H434" s="7">
        <v>9513.3945799204175</v>
      </c>
    </row>
    <row r="435" spans="1:8" x14ac:dyDescent="0.35">
      <c r="A435">
        <v>312220</v>
      </c>
      <c r="B435">
        <v>3122207</v>
      </c>
      <c r="C435" t="s">
        <v>53</v>
      </c>
      <c r="D435">
        <v>2018</v>
      </c>
      <c r="E435" s="7">
        <v>4602.74</v>
      </c>
      <c r="F435" s="8">
        <v>6112.1318351726559</v>
      </c>
      <c r="G435" s="7">
        <v>7800.73</v>
      </c>
      <c r="H435" s="7">
        <v>10358.84915113454</v>
      </c>
    </row>
    <row r="436" spans="1:8" x14ac:dyDescent="0.35">
      <c r="A436">
        <v>312220</v>
      </c>
      <c r="B436">
        <v>3122207</v>
      </c>
      <c r="C436" t="s">
        <v>53</v>
      </c>
      <c r="D436">
        <v>2019</v>
      </c>
      <c r="E436" s="7">
        <v>5350.4</v>
      </c>
      <c r="F436" s="8">
        <v>6811.6543034631832</v>
      </c>
      <c r="G436" s="7">
        <v>8920.65</v>
      </c>
      <c r="H436" s="7">
        <v>11356.984138510326</v>
      </c>
    </row>
    <row r="437" spans="1:8" x14ac:dyDescent="0.35">
      <c r="A437">
        <v>312220</v>
      </c>
      <c r="B437">
        <v>3122207</v>
      </c>
      <c r="C437" t="s">
        <v>53</v>
      </c>
      <c r="D437">
        <v>2020</v>
      </c>
      <c r="E437" s="7">
        <v>6360.75</v>
      </c>
      <c r="F437" s="8">
        <v>7747.9327108274483</v>
      </c>
      <c r="G437" s="7">
        <v>9633.2199999999993</v>
      </c>
      <c r="H437" s="7">
        <v>11734.074712999056</v>
      </c>
    </row>
    <row r="438" spans="1:8" x14ac:dyDescent="0.35">
      <c r="A438">
        <v>312220</v>
      </c>
      <c r="B438">
        <v>3122207</v>
      </c>
      <c r="C438" t="s">
        <v>53</v>
      </c>
      <c r="D438">
        <v>2021</v>
      </c>
      <c r="E438" s="7">
        <v>7967.4</v>
      </c>
      <c r="F438" s="8">
        <v>8817.8102427435115</v>
      </c>
      <c r="G438" s="7">
        <v>13097.94</v>
      </c>
      <c r="H438" s="7">
        <v>14495.963825082619</v>
      </c>
    </row>
    <row r="439" spans="1:8" x14ac:dyDescent="0.35">
      <c r="A439">
        <v>312220</v>
      </c>
      <c r="B439">
        <v>3122207</v>
      </c>
      <c r="C439" t="s">
        <v>53</v>
      </c>
      <c r="D439">
        <v>2022</v>
      </c>
      <c r="E439" s="7">
        <v>10900.21</v>
      </c>
      <c r="F439" s="8">
        <v>11403.929415052928</v>
      </c>
      <c r="G439" s="7">
        <v>18013.41</v>
      </c>
      <c r="H439" s="7">
        <v>18845.838692657395</v>
      </c>
    </row>
    <row r="440" spans="1:8" x14ac:dyDescent="0.35">
      <c r="A440">
        <v>312220</v>
      </c>
      <c r="B440">
        <v>3122207</v>
      </c>
      <c r="C440" t="s">
        <v>53</v>
      </c>
      <c r="D440">
        <v>2023</v>
      </c>
      <c r="E440" s="7">
        <v>11863.72</v>
      </c>
      <c r="F440" s="8">
        <v>11863.72</v>
      </c>
      <c r="G440" s="7">
        <v>22597.48</v>
      </c>
      <c r="H440" s="7">
        <v>22597.477328835768</v>
      </c>
    </row>
    <row r="441" spans="1:8" x14ac:dyDescent="0.35">
      <c r="A441">
        <v>312220</v>
      </c>
      <c r="B441">
        <v>3122207</v>
      </c>
      <c r="C441" t="s">
        <v>53</v>
      </c>
      <c r="D441">
        <v>2024</v>
      </c>
      <c r="E441" s="7">
        <v>11369.95</v>
      </c>
      <c r="F441" s="8">
        <v>10845.960317794523</v>
      </c>
      <c r="G441" s="7">
        <v>17546.38</v>
      </c>
      <c r="H441" s="7">
        <v>16737.748922444924</v>
      </c>
    </row>
    <row r="442" spans="1:8" x14ac:dyDescent="0.35">
      <c r="A442">
        <v>312245</v>
      </c>
      <c r="B442">
        <v>3122454</v>
      </c>
      <c r="C442" t="s">
        <v>54</v>
      </c>
      <c r="D442">
        <v>2015</v>
      </c>
      <c r="E442" s="7">
        <v>5041.6400000000003</v>
      </c>
      <c r="F442" s="8">
        <v>7600.0660920463733</v>
      </c>
      <c r="G442" s="7">
        <v>6146.43</v>
      </c>
      <c r="H442" s="7">
        <v>9265.4943682480207</v>
      </c>
    </row>
    <row r="443" spans="1:8" x14ac:dyDescent="0.35">
      <c r="A443">
        <v>312245</v>
      </c>
      <c r="B443">
        <v>3122454</v>
      </c>
      <c r="C443" t="s">
        <v>54</v>
      </c>
      <c r="D443">
        <v>2016</v>
      </c>
      <c r="E443" s="7">
        <v>5324.88</v>
      </c>
      <c r="F443" s="8">
        <v>7552.1598839123071</v>
      </c>
      <c r="G443" s="7">
        <v>6058.53</v>
      </c>
      <c r="H443" s="7">
        <v>8592.6736572902264</v>
      </c>
    </row>
    <row r="444" spans="1:8" x14ac:dyDescent="0.35">
      <c r="A444">
        <v>312245</v>
      </c>
      <c r="B444">
        <v>3122454</v>
      </c>
      <c r="C444" t="s">
        <v>54</v>
      </c>
      <c r="D444">
        <v>2017</v>
      </c>
      <c r="E444" s="7">
        <v>5041.03</v>
      </c>
      <c r="F444" s="8">
        <v>6944.8866192545038</v>
      </c>
      <c r="G444" s="7">
        <v>6235.75</v>
      </c>
      <c r="H444" s="7">
        <v>8590.8248162802283</v>
      </c>
    </row>
    <row r="445" spans="1:8" x14ac:dyDescent="0.35">
      <c r="A445">
        <v>312245</v>
      </c>
      <c r="B445">
        <v>3122454</v>
      </c>
      <c r="C445" t="s">
        <v>54</v>
      </c>
      <c r="D445">
        <v>2018</v>
      </c>
      <c r="E445" s="7">
        <v>6256.8</v>
      </c>
      <c r="F445" s="8">
        <v>8308.6132317507127</v>
      </c>
      <c r="G445" s="7">
        <v>7143.18</v>
      </c>
      <c r="H445" s="7">
        <v>9485.6706090015523</v>
      </c>
    </row>
    <row r="446" spans="1:8" x14ac:dyDescent="0.35">
      <c r="A446">
        <v>312245</v>
      </c>
      <c r="B446">
        <v>3122454</v>
      </c>
      <c r="C446" t="s">
        <v>54</v>
      </c>
      <c r="D446">
        <v>2019</v>
      </c>
      <c r="E446" s="7">
        <v>5474.98</v>
      </c>
      <c r="F446" s="8">
        <v>6970.2584999953006</v>
      </c>
      <c r="G446" s="7">
        <v>8637.57</v>
      </c>
      <c r="H446" s="7">
        <v>10996.593355588193</v>
      </c>
    </row>
    <row r="447" spans="1:8" x14ac:dyDescent="0.35">
      <c r="A447">
        <v>312245</v>
      </c>
      <c r="B447">
        <v>3122454</v>
      </c>
      <c r="C447" t="s">
        <v>54</v>
      </c>
      <c r="D447">
        <v>2020</v>
      </c>
      <c r="E447" s="7">
        <v>7543.02</v>
      </c>
      <c r="F447" s="8">
        <v>9188.0377937233297</v>
      </c>
      <c r="G447" s="7">
        <v>9175.4</v>
      </c>
      <c r="H447" s="7">
        <v>11176.419958766359</v>
      </c>
    </row>
    <row r="448" spans="1:8" x14ac:dyDescent="0.35">
      <c r="A448">
        <v>312245</v>
      </c>
      <c r="B448">
        <v>3122454</v>
      </c>
      <c r="C448" t="s">
        <v>54</v>
      </c>
      <c r="D448">
        <v>2021</v>
      </c>
      <c r="E448" s="7">
        <v>8894.14</v>
      </c>
      <c r="F448" s="8">
        <v>9843.4669769805423</v>
      </c>
      <c r="G448" s="7">
        <v>9517.2099999999991</v>
      </c>
      <c r="H448" s="7">
        <v>10533.038385434978</v>
      </c>
    </row>
    <row r="449" spans="1:8" x14ac:dyDescent="0.35">
      <c r="A449">
        <v>312245</v>
      </c>
      <c r="B449">
        <v>3122454</v>
      </c>
      <c r="C449" t="s">
        <v>54</v>
      </c>
      <c r="D449">
        <v>2022</v>
      </c>
      <c r="E449" s="7">
        <v>11754.36</v>
      </c>
      <c r="F449" s="8">
        <v>12297.551309481334</v>
      </c>
      <c r="G449" s="7">
        <v>18117.580000000002</v>
      </c>
      <c r="H449" s="7">
        <v>18954.824448426367</v>
      </c>
    </row>
    <row r="450" spans="1:8" x14ac:dyDescent="0.35">
      <c r="A450">
        <v>312245</v>
      </c>
      <c r="B450">
        <v>3122454</v>
      </c>
      <c r="C450" t="s">
        <v>54</v>
      </c>
      <c r="D450">
        <v>2023</v>
      </c>
      <c r="E450" s="7">
        <v>14886.72</v>
      </c>
      <c r="F450" s="8">
        <v>14886.72</v>
      </c>
      <c r="G450" s="7">
        <v>19923.25</v>
      </c>
      <c r="H450" s="7">
        <v>19923.246140087398</v>
      </c>
    </row>
    <row r="451" spans="1:8" x14ac:dyDescent="0.35">
      <c r="A451">
        <v>312245</v>
      </c>
      <c r="B451">
        <v>3122454</v>
      </c>
      <c r="C451" t="s">
        <v>54</v>
      </c>
      <c r="D451">
        <v>2024</v>
      </c>
      <c r="E451" s="7">
        <v>14137.59</v>
      </c>
      <c r="F451" s="8">
        <v>13486.05228072671</v>
      </c>
      <c r="G451" s="7">
        <v>17119.77</v>
      </c>
      <c r="H451" s="7">
        <v>16330.794410632243</v>
      </c>
    </row>
    <row r="452" spans="1:8" x14ac:dyDescent="0.35">
      <c r="A452">
        <v>312247</v>
      </c>
      <c r="B452">
        <v>3122470</v>
      </c>
      <c r="C452" t="s">
        <v>55</v>
      </c>
      <c r="D452">
        <v>2015</v>
      </c>
      <c r="E452" s="7">
        <v>8026.26</v>
      </c>
      <c r="F452" s="8">
        <v>12099.258668200848</v>
      </c>
      <c r="G452" s="7">
        <v>10220.200000000001</v>
      </c>
      <c r="H452" s="7">
        <v>15406.540563160095</v>
      </c>
    </row>
    <row r="453" spans="1:8" x14ac:dyDescent="0.35">
      <c r="A453">
        <v>312247</v>
      </c>
      <c r="B453">
        <v>3122470</v>
      </c>
      <c r="C453" t="s">
        <v>55</v>
      </c>
      <c r="D453">
        <v>2016</v>
      </c>
      <c r="E453" s="7">
        <v>8207.83</v>
      </c>
      <c r="F453" s="8">
        <v>11640.984296354462</v>
      </c>
      <c r="G453" s="7">
        <v>10683.31</v>
      </c>
      <c r="H453" s="7">
        <v>15151.898859913306</v>
      </c>
    </row>
    <row r="454" spans="1:8" x14ac:dyDescent="0.35">
      <c r="A454">
        <v>312247</v>
      </c>
      <c r="B454">
        <v>3122470</v>
      </c>
      <c r="C454" t="s">
        <v>55</v>
      </c>
      <c r="D454">
        <v>2017</v>
      </c>
      <c r="E454" s="7">
        <v>6673.93</v>
      </c>
      <c r="F454" s="8">
        <v>9194.4874668155553</v>
      </c>
      <c r="G454" s="7">
        <v>11384.15</v>
      </c>
      <c r="H454" s="7">
        <v>15683.627068086842</v>
      </c>
    </row>
    <row r="455" spans="1:8" x14ac:dyDescent="0.35">
      <c r="A455">
        <v>312247</v>
      </c>
      <c r="B455">
        <v>3122470</v>
      </c>
      <c r="C455" t="s">
        <v>55</v>
      </c>
      <c r="D455">
        <v>2018</v>
      </c>
      <c r="E455" s="7">
        <v>9787.31</v>
      </c>
      <c r="F455" s="8">
        <v>12996.895117191865</v>
      </c>
      <c r="G455" s="7">
        <v>13882.8</v>
      </c>
      <c r="H455" s="7">
        <v>18435.429957874581</v>
      </c>
    </row>
    <row r="456" spans="1:8" x14ac:dyDescent="0.35">
      <c r="A456">
        <v>312247</v>
      </c>
      <c r="B456">
        <v>3122470</v>
      </c>
      <c r="C456" t="s">
        <v>55</v>
      </c>
      <c r="D456">
        <v>2019</v>
      </c>
      <c r="E456" s="7">
        <v>13884.46</v>
      </c>
      <c r="F456" s="8">
        <v>17676.461892617826</v>
      </c>
      <c r="G456" s="7">
        <v>14491.14</v>
      </c>
      <c r="H456" s="7">
        <v>18448.829274256888</v>
      </c>
    </row>
    <row r="457" spans="1:8" x14ac:dyDescent="0.35">
      <c r="A457">
        <v>312247</v>
      </c>
      <c r="B457">
        <v>3122470</v>
      </c>
      <c r="C457" t="s">
        <v>55</v>
      </c>
      <c r="D457">
        <v>2020</v>
      </c>
      <c r="E457" s="7">
        <v>8580.99</v>
      </c>
      <c r="F457" s="8">
        <v>10452.373244080214</v>
      </c>
      <c r="G457" s="7">
        <v>7536.7</v>
      </c>
      <c r="H457" s="7">
        <v>9180.345059268011</v>
      </c>
    </row>
    <row r="458" spans="1:8" x14ac:dyDescent="0.35">
      <c r="A458">
        <v>312247</v>
      </c>
      <c r="B458">
        <v>3122470</v>
      </c>
      <c r="C458" t="s">
        <v>55</v>
      </c>
      <c r="D458">
        <v>2021</v>
      </c>
      <c r="E458" s="7">
        <v>12575.53</v>
      </c>
      <c r="F458" s="8">
        <v>13917.79466851524</v>
      </c>
      <c r="G458" s="7">
        <v>10923.07</v>
      </c>
      <c r="H458" s="7">
        <v>12088.959274741001</v>
      </c>
    </row>
    <row r="459" spans="1:8" x14ac:dyDescent="0.35">
      <c r="A459">
        <v>312247</v>
      </c>
      <c r="B459">
        <v>3122470</v>
      </c>
      <c r="C459" t="s">
        <v>55</v>
      </c>
      <c r="D459">
        <v>2022</v>
      </c>
      <c r="E459" s="7">
        <v>18956.23</v>
      </c>
      <c r="F459" s="8">
        <v>19832.23340610032</v>
      </c>
      <c r="G459" s="7">
        <v>24060.37</v>
      </c>
      <c r="H459" s="7">
        <v>25172.24982830467</v>
      </c>
    </row>
    <row r="460" spans="1:8" x14ac:dyDescent="0.35">
      <c r="A460">
        <v>312247</v>
      </c>
      <c r="B460">
        <v>3122470</v>
      </c>
      <c r="C460" t="s">
        <v>55</v>
      </c>
      <c r="D460">
        <v>2023</v>
      </c>
      <c r="E460" s="7">
        <v>21337.48</v>
      </c>
      <c r="F460" s="8">
        <v>21337.48</v>
      </c>
      <c r="G460" s="7">
        <v>29459.23</v>
      </c>
      <c r="H460" s="7">
        <v>29459.22793303616</v>
      </c>
    </row>
    <row r="461" spans="1:8" x14ac:dyDescent="0.35">
      <c r="A461">
        <v>312247</v>
      </c>
      <c r="B461">
        <v>3122470</v>
      </c>
      <c r="C461" t="s">
        <v>55</v>
      </c>
      <c r="D461">
        <v>2024</v>
      </c>
      <c r="E461" s="7">
        <v>19166.009999999998</v>
      </c>
      <c r="F461" s="8">
        <v>18282.735096500244</v>
      </c>
      <c r="G461" s="7">
        <v>36355.15</v>
      </c>
      <c r="H461" s="7">
        <v>34679.704860354774</v>
      </c>
    </row>
    <row r="462" spans="1:8" x14ac:dyDescent="0.35">
      <c r="A462">
        <v>312310</v>
      </c>
      <c r="B462">
        <v>3123106</v>
      </c>
      <c r="C462" t="s">
        <v>56</v>
      </c>
      <c r="D462">
        <v>2015</v>
      </c>
      <c r="E462" s="7">
        <v>8258.27</v>
      </c>
      <c r="F462" s="8">
        <v>12449.004253767385</v>
      </c>
      <c r="G462" s="7">
        <v>10072.14</v>
      </c>
      <c r="H462" s="7">
        <v>15183.343493542619</v>
      </c>
    </row>
    <row r="463" spans="1:8" x14ac:dyDescent="0.35">
      <c r="A463">
        <v>312310</v>
      </c>
      <c r="B463">
        <v>3123106</v>
      </c>
      <c r="C463" t="s">
        <v>56</v>
      </c>
      <c r="D463">
        <v>2016</v>
      </c>
      <c r="E463" s="7">
        <v>9299.09</v>
      </c>
      <c r="F463" s="8">
        <v>13188.69429074272</v>
      </c>
      <c r="G463" s="7">
        <v>10426.450000000001</v>
      </c>
      <c r="H463" s="7">
        <v>14787.601698667557</v>
      </c>
    </row>
    <row r="464" spans="1:8" x14ac:dyDescent="0.35">
      <c r="A464">
        <v>312310</v>
      </c>
      <c r="B464">
        <v>3123106</v>
      </c>
      <c r="C464" t="s">
        <v>56</v>
      </c>
      <c r="D464">
        <v>2017</v>
      </c>
      <c r="E464" s="7">
        <v>8142.76</v>
      </c>
      <c r="F464" s="8">
        <v>11218.053645346448</v>
      </c>
      <c r="G464" s="7">
        <v>9957.23</v>
      </c>
      <c r="H464" s="7">
        <v>13717.801795195328</v>
      </c>
    </row>
    <row r="465" spans="1:8" x14ac:dyDescent="0.35">
      <c r="A465">
        <v>312310</v>
      </c>
      <c r="B465">
        <v>3123106</v>
      </c>
      <c r="C465" t="s">
        <v>56</v>
      </c>
      <c r="D465">
        <v>2018</v>
      </c>
      <c r="E465" s="7">
        <v>8954.4599999999991</v>
      </c>
      <c r="F465" s="8">
        <v>11890.925846947717</v>
      </c>
      <c r="G465" s="7">
        <v>10906.39</v>
      </c>
      <c r="H465" s="7">
        <v>14482.952486000257</v>
      </c>
    </row>
    <row r="466" spans="1:8" x14ac:dyDescent="0.35">
      <c r="A466">
        <v>312310</v>
      </c>
      <c r="B466">
        <v>3123106</v>
      </c>
      <c r="C466" t="s">
        <v>56</v>
      </c>
      <c r="D466">
        <v>2019</v>
      </c>
      <c r="E466" s="7">
        <v>7794.47</v>
      </c>
      <c r="F466" s="8">
        <v>9923.2272575348907</v>
      </c>
      <c r="G466" s="7">
        <v>10629.92</v>
      </c>
      <c r="H466" s="7">
        <v>13533.075068528857</v>
      </c>
    </row>
    <row r="467" spans="1:8" x14ac:dyDescent="0.35">
      <c r="A467">
        <v>312310</v>
      </c>
      <c r="B467">
        <v>3123106</v>
      </c>
      <c r="C467" t="s">
        <v>56</v>
      </c>
      <c r="D467">
        <v>2020</v>
      </c>
      <c r="E467" s="7">
        <v>8408.93</v>
      </c>
      <c r="F467" s="8">
        <v>10242.789578282162</v>
      </c>
      <c r="G467" s="7">
        <v>11232.18</v>
      </c>
      <c r="H467" s="7">
        <v>13681.742763550339</v>
      </c>
    </row>
    <row r="468" spans="1:8" x14ac:dyDescent="0.35">
      <c r="A468">
        <v>312310</v>
      </c>
      <c r="B468">
        <v>3123106</v>
      </c>
      <c r="C468" t="s">
        <v>56</v>
      </c>
      <c r="D468">
        <v>2021</v>
      </c>
      <c r="E468" s="7">
        <v>11828.24</v>
      </c>
      <c r="F468" s="8">
        <v>13090.74175083823</v>
      </c>
      <c r="G468" s="7">
        <v>11418.95</v>
      </c>
      <c r="H468" s="7">
        <v>12637.765120264099</v>
      </c>
    </row>
    <row r="469" spans="1:8" x14ac:dyDescent="0.35">
      <c r="A469">
        <v>312310</v>
      </c>
      <c r="B469">
        <v>3123106</v>
      </c>
      <c r="C469" t="s">
        <v>56</v>
      </c>
      <c r="D469">
        <v>2022</v>
      </c>
      <c r="E469" s="7">
        <v>11844.27</v>
      </c>
      <c r="F469" s="8">
        <v>12391.616221414904</v>
      </c>
      <c r="G469" s="7">
        <v>19836.54</v>
      </c>
      <c r="H469" s="7">
        <v>20753.226139324724</v>
      </c>
    </row>
    <row r="470" spans="1:8" x14ac:dyDescent="0.35">
      <c r="A470">
        <v>312310</v>
      </c>
      <c r="B470">
        <v>3123106</v>
      </c>
      <c r="C470" t="s">
        <v>56</v>
      </c>
      <c r="D470">
        <v>2023</v>
      </c>
      <c r="E470" s="7">
        <v>16897.669999999998</v>
      </c>
      <c r="F470" s="8">
        <v>16897.669999999998</v>
      </c>
      <c r="G470" s="7">
        <v>20048.04</v>
      </c>
      <c r="H470" s="7">
        <v>20048.03954168655</v>
      </c>
    </row>
    <row r="471" spans="1:8" x14ac:dyDescent="0.35">
      <c r="A471">
        <v>312310</v>
      </c>
      <c r="B471">
        <v>3123106</v>
      </c>
      <c r="C471" t="s">
        <v>56</v>
      </c>
      <c r="D471">
        <v>2024</v>
      </c>
      <c r="E471" s="7">
        <v>19533.650000000001</v>
      </c>
      <c r="F471" s="8">
        <v>18633.432228082533</v>
      </c>
      <c r="G471" s="7">
        <v>23055.48</v>
      </c>
      <c r="H471" s="7">
        <v>21992.956794410715</v>
      </c>
    </row>
    <row r="472" spans="1:8" x14ac:dyDescent="0.35">
      <c r="A472">
        <v>312370</v>
      </c>
      <c r="B472">
        <v>3123700</v>
      </c>
      <c r="C472" t="s">
        <v>57</v>
      </c>
      <c r="D472">
        <v>2015</v>
      </c>
      <c r="E472" s="7">
        <v>4181.01</v>
      </c>
      <c r="F472" s="8">
        <v>6302.7015676460051</v>
      </c>
      <c r="G472" s="7">
        <v>4968.8500000000004</v>
      </c>
      <c r="H472" s="7">
        <v>7490.341114590552</v>
      </c>
    </row>
    <row r="473" spans="1:8" x14ac:dyDescent="0.35">
      <c r="A473">
        <v>312370</v>
      </c>
      <c r="B473">
        <v>3123700</v>
      </c>
      <c r="C473" t="s">
        <v>57</v>
      </c>
      <c r="D473">
        <v>2016</v>
      </c>
      <c r="E473" s="7">
        <v>4981.54</v>
      </c>
      <c r="F473" s="8">
        <v>7065.208332977365</v>
      </c>
      <c r="G473" s="7">
        <v>4915.4799999999996</v>
      </c>
      <c r="H473" s="7">
        <v>6971.520843027205</v>
      </c>
    </row>
    <row r="474" spans="1:8" x14ac:dyDescent="0.35">
      <c r="A474">
        <v>312370</v>
      </c>
      <c r="B474">
        <v>3123700</v>
      </c>
      <c r="C474" t="s">
        <v>57</v>
      </c>
      <c r="D474">
        <v>2017</v>
      </c>
      <c r="E474" s="7">
        <v>4338.63</v>
      </c>
      <c r="F474" s="8">
        <v>5977.2097037502599</v>
      </c>
      <c r="G474" s="7">
        <v>5501.26</v>
      </c>
      <c r="H474" s="7">
        <v>7578.9316359519162</v>
      </c>
    </row>
    <row r="475" spans="1:8" x14ac:dyDescent="0.35">
      <c r="A475">
        <v>312370</v>
      </c>
      <c r="B475">
        <v>3123700</v>
      </c>
      <c r="C475" t="s">
        <v>57</v>
      </c>
      <c r="D475">
        <v>2018</v>
      </c>
      <c r="E475" s="7">
        <v>4759.05</v>
      </c>
      <c r="F475" s="8">
        <v>6319.7010933006059</v>
      </c>
      <c r="G475" s="7">
        <v>6277.32</v>
      </c>
      <c r="H475" s="7">
        <v>8335.8679345936125</v>
      </c>
    </row>
    <row r="476" spans="1:8" x14ac:dyDescent="0.35">
      <c r="A476">
        <v>312370</v>
      </c>
      <c r="B476">
        <v>3123700</v>
      </c>
      <c r="C476" t="s">
        <v>57</v>
      </c>
      <c r="D476">
        <v>2019</v>
      </c>
      <c r="E476" s="7">
        <v>5559.94</v>
      </c>
      <c r="F476" s="8">
        <v>7078.4220297542406</v>
      </c>
      <c r="G476" s="7">
        <v>6214.39</v>
      </c>
      <c r="H476" s="7">
        <v>7911.614872319361</v>
      </c>
    </row>
    <row r="477" spans="1:8" x14ac:dyDescent="0.35">
      <c r="A477">
        <v>312370</v>
      </c>
      <c r="B477">
        <v>3123700</v>
      </c>
      <c r="C477" t="s">
        <v>57</v>
      </c>
      <c r="D477">
        <v>2020</v>
      </c>
      <c r="E477" s="7">
        <v>6848.03</v>
      </c>
      <c r="F477" s="8">
        <v>8341.4810583229482</v>
      </c>
      <c r="G477" s="7">
        <v>6447.19</v>
      </c>
      <c r="H477" s="7">
        <v>7853.2284113692403</v>
      </c>
    </row>
    <row r="478" spans="1:8" x14ac:dyDescent="0.35">
      <c r="A478">
        <v>312370</v>
      </c>
      <c r="B478">
        <v>3123700</v>
      </c>
      <c r="C478" t="s">
        <v>57</v>
      </c>
      <c r="D478">
        <v>2021</v>
      </c>
      <c r="E478" s="7">
        <v>9407.9500000000007</v>
      </c>
      <c r="F478" s="8">
        <v>10412.119119564579</v>
      </c>
      <c r="G478" s="7">
        <v>7198.68</v>
      </c>
      <c r="H478" s="7">
        <v>7967.0398494377941</v>
      </c>
    </row>
    <row r="479" spans="1:8" x14ac:dyDescent="0.35">
      <c r="A479">
        <v>312370</v>
      </c>
      <c r="B479">
        <v>3123700</v>
      </c>
      <c r="C479" t="s">
        <v>57</v>
      </c>
      <c r="D479">
        <v>2022</v>
      </c>
      <c r="E479" s="7">
        <v>12914.52</v>
      </c>
      <c r="F479" s="8">
        <v>13511.324507444291</v>
      </c>
      <c r="G479" s="7">
        <v>14841.46</v>
      </c>
      <c r="H479" s="7">
        <v>15527.316231680419</v>
      </c>
    </row>
    <row r="480" spans="1:8" x14ac:dyDescent="0.35">
      <c r="A480">
        <v>312370</v>
      </c>
      <c r="B480">
        <v>3123700</v>
      </c>
      <c r="C480" t="s">
        <v>57</v>
      </c>
      <c r="D480">
        <v>2023</v>
      </c>
      <c r="E480" s="7">
        <v>14146.87</v>
      </c>
      <c r="F480" s="8">
        <v>14146.87</v>
      </c>
      <c r="G480" s="7">
        <v>16457.509999999998</v>
      </c>
      <c r="H480" s="7">
        <v>16457.505217942096</v>
      </c>
    </row>
    <row r="481" spans="1:8" x14ac:dyDescent="0.35">
      <c r="A481">
        <v>312370</v>
      </c>
      <c r="B481">
        <v>3123700</v>
      </c>
      <c r="C481" t="s">
        <v>57</v>
      </c>
      <c r="D481">
        <v>2024</v>
      </c>
      <c r="E481" s="7">
        <v>14647.61</v>
      </c>
      <c r="F481" s="8">
        <v>13972.567760678827</v>
      </c>
      <c r="G481" s="7">
        <v>15751.26</v>
      </c>
      <c r="H481" s="7">
        <v>15025.353878967982</v>
      </c>
    </row>
    <row r="482" spans="1:8" x14ac:dyDescent="0.35">
      <c r="A482">
        <v>312380</v>
      </c>
      <c r="B482">
        <v>3123809</v>
      </c>
      <c r="C482" t="s">
        <v>58</v>
      </c>
      <c r="D482">
        <v>2015</v>
      </c>
      <c r="E482" s="7">
        <v>5706.55</v>
      </c>
      <c r="F482" s="8">
        <v>8602.3907215840936</v>
      </c>
      <c r="G482" s="7">
        <v>6599.43</v>
      </c>
      <c r="H482" s="7">
        <v>9948.366196656063</v>
      </c>
    </row>
    <row r="483" spans="1:8" x14ac:dyDescent="0.35">
      <c r="A483">
        <v>312380</v>
      </c>
      <c r="B483">
        <v>3123809</v>
      </c>
      <c r="C483" t="s">
        <v>58</v>
      </c>
      <c r="D483">
        <v>2016</v>
      </c>
      <c r="E483" s="7">
        <v>5484.12</v>
      </c>
      <c r="F483" s="8">
        <v>7778.0064644764125</v>
      </c>
      <c r="G483" s="7">
        <v>7379.91</v>
      </c>
      <c r="H483" s="7">
        <v>10466.769815638709</v>
      </c>
    </row>
    <row r="484" spans="1:8" x14ac:dyDescent="0.35">
      <c r="A484">
        <v>312380</v>
      </c>
      <c r="B484">
        <v>3123809</v>
      </c>
      <c r="C484" t="s">
        <v>58</v>
      </c>
      <c r="D484">
        <v>2017</v>
      </c>
      <c r="E484" s="7">
        <v>6398.15</v>
      </c>
      <c r="F484" s="8">
        <v>8814.5530423312703</v>
      </c>
      <c r="G484" s="7">
        <v>7790.64</v>
      </c>
      <c r="H484" s="7">
        <v>10732.946743481072</v>
      </c>
    </row>
    <row r="485" spans="1:8" x14ac:dyDescent="0.35">
      <c r="A485">
        <v>312380</v>
      </c>
      <c r="B485">
        <v>3123809</v>
      </c>
      <c r="C485" t="s">
        <v>58</v>
      </c>
      <c r="D485">
        <v>2018</v>
      </c>
      <c r="E485" s="7">
        <v>6942.71</v>
      </c>
      <c r="F485" s="8">
        <v>9219.455979127988</v>
      </c>
      <c r="G485" s="7">
        <v>8768</v>
      </c>
      <c r="H485" s="7">
        <v>11643.324317969151</v>
      </c>
    </row>
    <row r="486" spans="1:8" x14ac:dyDescent="0.35">
      <c r="A486">
        <v>312380</v>
      </c>
      <c r="B486">
        <v>3123809</v>
      </c>
      <c r="C486" t="s">
        <v>58</v>
      </c>
      <c r="D486">
        <v>2019</v>
      </c>
      <c r="E486" s="7">
        <v>7481.42</v>
      </c>
      <c r="F486" s="8">
        <v>9524.6797882430346</v>
      </c>
      <c r="G486" s="7">
        <v>9240.7999999999993</v>
      </c>
      <c r="H486" s="7">
        <v>11764.56489420835</v>
      </c>
    </row>
    <row r="487" spans="1:8" x14ac:dyDescent="0.35">
      <c r="A487">
        <v>312380</v>
      </c>
      <c r="B487">
        <v>3123809</v>
      </c>
      <c r="C487" t="s">
        <v>58</v>
      </c>
      <c r="D487">
        <v>2020</v>
      </c>
      <c r="E487" s="7">
        <v>8598.39</v>
      </c>
      <c r="F487" s="8">
        <v>10473.567919105706</v>
      </c>
      <c r="G487" s="7">
        <v>10298.11</v>
      </c>
      <c r="H487" s="7">
        <v>12543.970912207327</v>
      </c>
    </row>
    <row r="488" spans="1:8" x14ac:dyDescent="0.35">
      <c r="A488">
        <v>312380</v>
      </c>
      <c r="B488">
        <v>3123809</v>
      </c>
      <c r="C488" t="s">
        <v>58</v>
      </c>
      <c r="D488">
        <v>2021</v>
      </c>
      <c r="E488" s="7">
        <v>9410.65</v>
      </c>
      <c r="F488" s="8">
        <v>10415.107307386879</v>
      </c>
      <c r="G488" s="7">
        <v>11849.86</v>
      </c>
      <c r="H488" s="7">
        <v>13114.672349382148</v>
      </c>
    </row>
    <row r="489" spans="1:8" x14ac:dyDescent="0.35">
      <c r="A489">
        <v>312380</v>
      </c>
      <c r="B489">
        <v>3123809</v>
      </c>
      <c r="C489" t="s">
        <v>58</v>
      </c>
      <c r="D489">
        <v>2022</v>
      </c>
      <c r="E489" s="7">
        <v>10300.879999999999</v>
      </c>
      <c r="F489" s="8">
        <v>10776.903236995471</v>
      </c>
      <c r="G489" s="7">
        <v>19560.13</v>
      </c>
      <c r="H489" s="7">
        <v>20464.040574557461</v>
      </c>
    </row>
    <row r="490" spans="1:8" x14ac:dyDescent="0.35">
      <c r="A490">
        <v>312380</v>
      </c>
      <c r="B490">
        <v>3123809</v>
      </c>
      <c r="C490" t="s">
        <v>58</v>
      </c>
      <c r="D490">
        <v>2023</v>
      </c>
      <c r="E490" s="7">
        <v>12413.22</v>
      </c>
      <c r="F490" s="8">
        <v>12413.22</v>
      </c>
      <c r="G490" s="7">
        <v>20479.060000000001</v>
      </c>
      <c r="H490" s="7">
        <v>20479.055073537293</v>
      </c>
    </row>
    <row r="491" spans="1:8" x14ac:dyDescent="0.35">
      <c r="A491">
        <v>312380</v>
      </c>
      <c r="B491">
        <v>3123809</v>
      </c>
      <c r="C491" t="s">
        <v>58</v>
      </c>
      <c r="D491">
        <v>2024</v>
      </c>
      <c r="E491" s="7">
        <v>15109.18</v>
      </c>
      <c r="F491" s="8">
        <v>14412.866082473067</v>
      </c>
      <c r="G491" s="7">
        <v>23084.66</v>
      </c>
      <c r="H491" s="7">
        <v>22020.791068700422</v>
      </c>
    </row>
    <row r="492" spans="1:8" x14ac:dyDescent="0.35">
      <c r="A492">
        <v>312430</v>
      </c>
      <c r="B492">
        <v>3124302</v>
      </c>
      <c r="C492" t="s">
        <v>59</v>
      </c>
      <c r="D492">
        <v>2015</v>
      </c>
      <c r="E492" s="7">
        <v>8911.52</v>
      </c>
      <c r="F492" s="8">
        <v>13433.751910210387</v>
      </c>
      <c r="G492" s="7">
        <v>6744.2</v>
      </c>
      <c r="H492" s="7">
        <v>10166.606305104711</v>
      </c>
    </row>
    <row r="493" spans="1:8" x14ac:dyDescent="0.35">
      <c r="A493">
        <v>312430</v>
      </c>
      <c r="B493">
        <v>3124302</v>
      </c>
      <c r="C493" t="s">
        <v>59</v>
      </c>
      <c r="D493">
        <v>2016</v>
      </c>
      <c r="E493" s="7">
        <v>6593</v>
      </c>
      <c r="F493" s="8">
        <v>9350.706516322216</v>
      </c>
      <c r="G493" s="7">
        <v>6592.45</v>
      </c>
      <c r="H493" s="7">
        <v>9349.9298041697657</v>
      </c>
    </row>
    <row r="494" spans="1:8" x14ac:dyDescent="0.35">
      <c r="A494">
        <v>312430</v>
      </c>
      <c r="B494">
        <v>3124302</v>
      </c>
      <c r="C494" t="s">
        <v>59</v>
      </c>
      <c r="D494">
        <v>2017</v>
      </c>
      <c r="E494" s="7">
        <v>5887.62</v>
      </c>
      <c r="F494" s="8">
        <v>8111.2100815220711</v>
      </c>
      <c r="G494" s="7">
        <v>7432.5</v>
      </c>
      <c r="H494" s="7">
        <v>10239.552254095941</v>
      </c>
    </row>
    <row r="495" spans="1:8" x14ac:dyDescent="0.35">
      <c r="A495">
        <v>312430</v>
      </c>
      <c r="B495">
        <v>3124302</v>
      </c>
      <c r="C495" t="s">
        <v>59</v>
      </c>
      <c r="D495">
        <v>2018</v>
      </c>
      <c r="E495" s="7">
        <v>4501.71</v>
      </c>
      <c r="F495" s="8">
        <v>5977.9707312850824</v>
      </c>
      <c r="G495" s="7">
        <v>7005.46</v>
      </c>
      <c r="H495" s="7">
        <v>9302.7861233812982</v>
      </c>
    </row>
    <row r="496" spans="1:8" x14ac:dyDescent="0.35">
      <c r="A496">
        <v>312430</v>
      </c>
      <c r="B496">
        <v>3124302</v>
      </c>
      <c r="C496" t="s">
        <v>59</v>
      </c>
      <c r="D496">
        <v>2019</v>
      </c>
      <c r="E496" s="7">
        <v>6419.27</v>
      </c>
      <c r="F496" s="8">
        <v>8172.4446995723893</v>
      </c>
      <c r="G496" s="7">
        <v>10396.469999999999</v>
      </c>
      <c r="H496" s="7">
        <v>13235.857611157451</v>
      </c>
    </row>
    <row r="497" spans="1:8" x14ac:dyDescent="0.35">
      <c r="A497">
        <v>312430</v>
      </c>
      <c r="B497">
        <v>3124302</v>
      </c>
      <c r="C497" t="s">
        <v>59</v>
      </c>
      <c r="D497">
        <v>2020</v>
      </c>
      <c r="E497" s="7">
        <v>6789.97</v>
      </c>
      <c r="F497" s="8">
        <v>8270.7590564850143</v>
      </c>
      <c r="G497" s="7">
        <v>7866.28</v>
      </c>
      <c r="H497" s="7">
        <v>9581.801186148703</v>
      </c>
    </row>
    <row r="498" spans="1:8" x14ac:dyDescent="0.35">
      <c r="A498">
        <v>312430</v>
      </c>
      <c r="B498">
        <v>3124302</v>
      </c>
      <c r="C498" t="s">
        <v>59</v>
      </c>
      <c r="D498">
        <v>2021</v>
      </c>
      <c r="E498" s="7">
        <v>11677.57</v>
      </c>
      <c r="F498" s="8">
        <v>12923.989802991484</v>
      </c>
      <c r="G498" s="7">
        <v>10866.27</v>
      </c>
      <c r="H498" s="7">
        <v>12026.09525668937</v>
      </c>
    </row>
    <row r="499" spans="1:8" x14ac:dyDescent="0.35">
      <c r="A499">
        <v>312430</v>
      </c>
      <c r="B499">
        <v>3124302</v>
      </c>
      <c r="C499" t="s">
        <v>59</v>
      </c>
      <c r="D499">
        <v>2022</v>
      </c>
      <c r="E499" s="7">
        <v>18038.259999999998</v>
      </c>
      <c r="F499" s="8">
        <v>18871.842268210668</v>
      </c>
      <c r="G499" s="7">
        <v>20844.169999999998</v>
      </c>
      <c r="H499" s="7">
        <v>21807.413863840397</v>
      </c>
    </row>
    <row r="500" spans="1:8" x14ac:dyDescent="0.35">
      <c r="A500">
        <v>312430</v>
      </c>
      <c r="B500">
        <v>3124302</v>
      </c>
      <c r="C500" t="s">
        <v>59</v>
      </c>
      <c r="D500">
        <v>2023</v>
      </c>
      <c r="E500" s="7">
        <v>18781.29</v>
      </c>
      <c r="F500" s="8">
        <v>18781.29</v>
      </c>
      <c r="G500" s="7">
        <v>23550.31</v>
      </c>
      <c r="H500" s="7">
        <v>23550.309718877925</v>
      </c>
    </row>
    <row r="501" spans="1:8" x14ac:dyDescent="0.35">
      <c r="A501">
        <v>312430</v>
      </c>
      <c r="B501">
        <v>3124302</v>
      </c>
      <c r="C501" t="s">
        <v>59</v>
      </c>
      <c r="D501">
        <v>2024</v>
      </c>
      <c r="E501" s="7">
        <v>22031.65</v>
      </c>
      <c r="F501" s="8">
        <v>21016.310681712559</v>
      </c>
      <c r="G501" s="7">
        <v>29695.3</v>
      </c>
      <c r="H501" s="7">
        <v>28326.782012609732</v>
      </c>
    </row>
    <row r="502" spans="1:8" x14ac:dyDescent="0.35">
      <c r="A502">
        <v>312540</v>
      </c>
      <c r="B502">
        <v>3125408</v>
      </c>
      <c r="C502" t="s">
        <v>60</v>
      </c>
      <c r="D502">
        <v>2015</v>
      </c>
      <c r="E502" s="7">
        <v>8605.48</v>
      </c>
      <c r="F502" s="8">
        <v>12972.409127542469</v>
      </c>
      <c r="G502" s="7">
        <v>6716.1</v>
      </c>
      <c r="H502" s="7">
        <v>10124.238625085773</v>
      </c>
    </row>
    <row r="503" spans="1:8" x14ac:dyDescent="0.35">
      <c r="A503">
        <v>312540</v>
      </c>
      <c r="B503">
        <v>3125408</v>
      </c>
      <c r="C503" t="s">
        <v>60</v>
      </c>
      <c r="D503">
        <v>2016</v>
      </c>
      <c r="E503" s="7">
        <v>6740.22</v>
      </c>
      <c r="F503" s="8">
        <v>9559.5053959419565</v>
      </c>
      <c r="G503" s="7">
        <v>8263.5</v>
      </c>
      <c r="H503" s="7">
        <v>11719.944012731405</v>
      </c>
    </row>
    <row r="504" spans="1:8" x14ac:dyDescent="0.35">
      <c r="A504">
        <v>312540</v>
      </c>
      <c r="B504">
        <v>3125408</v>
      </c>
      <c r="C504" t="s">
        <v>60</v>
      </c>
      <c r="D504">
        <v>2017</v>
      </c>
      <c r="E504" s="7">
        <v>7523.76</v>
      </c>
      <c r="F504" s="8">
        <v>10365.274586836871</v>
      </c>
      <c r="G504" s="7">
        <v>8911.6</v>
      </c>
      <c r="H504" s="7">
        <v>12277.268002223362</v>
      </c>
    </row>
    <row r="505" spans="1:8" x14ac:dyDescent="0.35">
      <c r="A505">
        <v>312540</v>
      </c>
      <c r="B505">
        <v>3125408</v>
      </c>
      <c r="C505" t="s">
        <v>60</v>
      </c>
      <c r="D505">
        <v>2018</v>
      </c>
      <c r="E505" s="7">
        <v>6316.68</v>
      </c>
      <c r="F505" s="8">
        <v>8388.1298792889484</v>
      </c>
      <c r="G505" s="7">
        <v>8904.98</v>
      </c>
      <c r="H505" s="7">
        <v>11825.223911779456</v>
      </c>
    </row>
    <row r="506" spans="1:8" x14ac:dyDescent="0.35">
      <c r="A506">
        <v>312540</v>
      </c>
      <c r="B506">
        <v>3125408</v>
      </c>
      <c r="C506" t="s">
        <v>60</v>
      </c>
      <c r="D506">
        <v>2019</v>
      </c>
      <c r="E506" s="7">
        <v>7087.93</v>
      </c>
      <c r="F506" s="8">
        <v>9023.7232519336503</v>
      </c>
      <c r="G506" s="7">
        <v>9334.35</v>
      </c>
      <c r="H506" s="7">
        <v>11883.671394826508</v>
      </c>
    </row>
    <row r="507" spans="1:8" x14ac:dyDescent="0.35">
      <c r="A507">
        <v>312540</v>
      </c>
      <c r="B507">
        <v>3125408</v>
      </c>
      <c r="C507" t="s">
        <v>60</v>
      </c>
      <c r="D507">
        <v>2020</v>
      </c>
      <c r="E507" s="7">
        <v>8101.1</v>
      </c>
      <c r="F507" s="8">
        <v>9867.8265430466927</v>
      </c>
      <c r="G507" s="7">
        <v>7800.35</v>
      </c>
      <c r="H507" s="7">
        <v>9501.4927875507565</v>
      </c>
    </row>
    <row r="508" spans="1:8" x14ac:dyDescent="0.35">
      <c r="A508">
        <v>312540</v>
      </c>
      <c r="B508">
        <v>3125408</v>
      </c>
      <c r="C508" t="s">
        <v>60</v>
      </c>
      <c r="D508">
        <v>2021</v>
      </c>
      <c r="E508" s="7">
        <v>10121.73</v>
      </c>
      <c r="F508" s="8">
        <v>11202.085306158129</v>
      </c>
      <c r="G508" s="7">
        <v>9690.4599999999991</v>
      </c>
      <c r="H508" s="7">
        <v>10724.78174102814</v>
      </c>
    </row>
    <row r="509" spans="1:8" x14ac:dyDescent="0.35">
      <c r="A509">
        <v>312540</v>
      </c>
      <c r="B509">
        <v>3125408</v>
      </c>
      <c r="C509" t="s">
        <v>60</v>
      </c>
      <c r="D509">
        <v>2022</v>
      </c>
      <c r="E509" s="7">
        <v>13163.08</v>
      </c>
      <c r="F509" s="8">
        <v>13771.370937320922</v>
      </c>
      <c r="G509" s="7">
        <v>14763.1</v>
      </c>
      <c r="H509" s="7">
        <v>15445.333977936614</v>
      </c>
    </row>
    <row r="510" spans="1:8" x14ac:dyDescent="0.35">
      <c r="A510">
        <v>312540</v>
      </c>
      <c r="B510">
        <v>3125408</v>
      </c>
      <c r="C510" t="s">
        <v>60</v>
      </c>
      <c r="D510">
        <v>2023</v>
      </c>
      <c r="E510" s="7">
        <v>11724.82</v>
      </c>
      <c r="F510" s="8">
        <v>11724.82</v>
      </c>
      <c r="G510" s="7">
        <v>14099.5</v>
      </c>
      <c r="H510" s="7">
        <v>14099.501198425889</v>
      </c>
    </row>
    <row r="511" spans="1:8" x14ac:dyDescent="0.35">
      <c r="A511">
        <v>312540</v>
      </c>
      <c r="B511">
        <v>3125408</v>
      </c>
      <c r="C511" t="s">
        <v>60</v>
      </c>
      <c r="D511">
        <v>2024</v>
      </c>
      <c r="E511" s="7">
        <v>14053.83</v>
      </c>
      <c r="F511" s="8">
        <v>13406.152401112598</v>
      </c>
      <c r="G511" s="7">
        <v>18589.099999999999</v>
      </c>
      <c r="H511" s="7">
        <v>17732.413683656618</v>
      </c>
    </row>
    <row r="512" spans="1:8" x14ac:dyDescent="0.35">
      <c r="A512">
        <v>312550</v>
      </c>
      <c r="B512">
        <v>3125507</v>
      </c>
      <c r="C512" t="s">
        <v>169</v>
      </c>
      <c r="D512">
        <v>2015</v>
      </c>
      <c r="E512" s="7">
        <v>8390.48</v>
      </c>
      <c r="F512" s="8">
        <v>12648.305421250476</v>
      </c>
      <c r="G512" s="7">
        <v>9185.3799999999992</v>
      </c>
      <c r="H512" s="7">
        <v>13846.583882697651</v>
      </c>
    </row>
    <row r="513" spans="1:8" x14ac:dyDescent="0.35">
      <c r="A513">
        <v>312550</v>
      </c>
      <c r="B513">
        <v>3125507</v>
      </c>
      <c r="C513" t="s">
        <v>169</v>
      </c>
      <c r="D513">
        <v>2016</v>
      </c>
      <c r="E513" s="7">
        <v>8391</v>
      </c>
      <c r="F513" s="8">
        <v>11900.770268232931</v>
      </c>
      <c r="G513" s="7">
        <v>9436.49</v>
      </c>
      <c r="H513" s="7">
        <v>13383.560721139074</v>
      </c>
    </row>
    <row r="514" spans="1:8" x14ac:dyDescent="0.35">
      <c r="A514">
        <v>312550</v>
      </c>
      <c r="B514">
        <v>3125507</v>
      </c>
      <c r="C514" t="s">
        <v>169</v>
      </c>
      <c r="D514">
        <v>2017</v>
      </c>
      <c r="E514" s="7">
        <v>9622.36</v>
      </c>
      <c r="F514" s="8">
        <v>13256.457352892123</v>
      </c>
      <c r="G514" s="7">
        <v>11788.95</v>
      </c>
      <c r="H514" s="7">
        <v>16241.311126462937</v>
      </c>
    </row>
    <row r="515" spans="1:8" x14ac:dyDescent="0.35">
      <c r="A515">
        <v>312550</v>
      </c>
      <c r="B515">
        <v>3125507</v>
      </c>
      <c r="C515" t="s">
        <v>169</v>
      </c>
      <c r="D515">
        <v>2018</v>
      </c>
      <c r="E515" s="7">
        <v>9840.51</v>
      </c>
      <c r="F515" s="8">
        <v>13067.541170114948</v>
      </c>
      <c r="G515" s="7">
        <v>10761.62</v>
      </c>
      <c r="H515" s="7">
        <v>14290.711959098357</v>
      </c>
    </row>
    <row r="516" spans="1:8" x14ac:dyDescent="0.35">
      <c r="A516">
        <v>312550</v>
      </c>
      <c r="B516">
        <v>3125507</v>
      </c>
      <c r="C516" t="s">
        <v>169</v>
      </c>
      <c r="D516">
        <v>2019</v>
      </c>
      <c r="E516" s="7">
        <v>10309.379999999999</v>
      </c>
      <c r="F516" s="8">
        <v>13124.987410854752</v>
      </c>
      <c r="G516" s="7">
        <v>12644.72</v>
      </c>
      <c r="H516" s="7">
        <v>16098.129053779565</v>
      </c>
    </row>
    <row r="517" spans="1:8" x14ac:dyDescent="0.35">
      <c r="A517">
        <v>312550</v>
      </c>
      <c r="B517">
        <v>3125507</v>
      </c>
      <c r="C517" t="s">
        <v>169</v>
      </c>
      <c r="D517">
        <v>2020</v>
      </c>
      <c r="E517" s="7">
        <v>11600.49</v>
      </c>
      <c r="F517" s="8">
        <v>14130.380211866008</v>
      </c>
      <c r="G517" s="7">
        <v>12776.33</v>
      </c>
      <c r="H517" s="7">
        <v>15562.656754622407</v>
      </c>
    </row>
    <row r="518" spans="1:8" x14ac:dyDescent="0.35">
      <c r="A518">
        <v>312550</v>
      </c>
      <c r="B518">
        <v>3125507</v>
      </c>
      <c r="C518" t="s">
        <v>169</v>
      </c>
      <c r="D518">
        <v>2021</v>
      </c>
      <c r="E518" s="7">
        <v>12366.45</v>
      </c>
      <c r="F518" s="8">
        <v>13686.398257446031</v>
      </c>
      <c r="G518" s="7">
        <v>15150.22</v>
      </c>
      <c r="H518" s="7">
        <v>16767.295915679108</v>
      </c>
    </row>
    <row r="519" spans="1:8" x14ac:dyDescent="0.35">
      <c r="A519">
        <v>312550</v>
      </c>
      <c r="B519">
        <v>3125507</v>
      </c>
      <c r="C519" t="s">
        <v>169</v>
      </c>
      <c r="D519">
        <v>2022</v>
      </c>
      <c r="E519" s="7">
        <v>17846.82</v>
      </c>
      <c r="F519" s="8">
        <v>18671.555462064942</v>
      </c>
      <c r="G519" s="7">
        <v>30689.94</v>
      </c>
      <c r="H519" s="7">
        <v>32108.179860029664</v>
      </c>
    </row>
    <row r="520" spans="1:8" x14ac:dyDescent="0.35">
      <c r="A520">
        <v>312550</v>
      </c>
      <c r="B520">
        <v>3125507</v>
      </c>
      <c r="C520" t="s">
        <v>169</v>
      </c>
      <c r="D520">
        <v>2023</v>
      </c>
      <c r="E520" s="7">
        <v>13126.53</v>
      </c>
      <c r="F520" s="8">
        <v>13126.53</v>
      </c>
      <c r="G520" s="7">
        <v>30307.040000000001</v>
      </c>
      <c r="H520" s="7">
        <v>30307.044439422505</v>
      </c>
    </row>
    <row r="521" spans="1:8" x14ac:dyDescent="0.35">
      <c r="A521">
        <v>312550</v>
      </c>
      <c r="B521">
        <v>3125507</v>
      </c>
      <c r="C521" t="s">
        <v>169</v>
      </c>
      <c r="D521">
        <v>2024</v>
      </c>
      <c r="E521" s="7">
        <v>16550.939999999999</v>
      </c>
      <c r="F521" s="8">
        <v>15788.181870825998</v>
      </c>
      <c r="G521" s="7">
        <v>38814.6</v>
      </c>
      <c r="H521" s="7">
        <v>37025.806475635887</v>
      </c>
    </row>
    <row r="522" spans="1:8" x14ac:dyDescent="0.35">
      <c r="A522">
        <v>312570</v>
      </c>
      <c r="B522">
        <v>3125705</v>
      </c>
      <c r="C522" t="s">
        <v>61</v>
      </c>
      <c r="D522">
        <v>2015</v>
      </c>
      <c r="E522" s="7">
        <v>5857.27</v>
      </c>
      <c r="F522" s="8">
        <v>8829.5949569902768</v>
      </c>
      <c r="G522" s="7">
        <v>6696.66</v>
      </c>
      <c r="H522" s="7">
        <v>10094.933794802466</v>
      </c>
    </row>
    <row r="523" spans="1:8" x14ac:dyDescent="0.35">
      <c r="A523">
        <v>312570</v>
      </c>
      <c r="B523">
        <v>3125705</v>
      </c>
      <c r="C523" t="s">
        <v>61</v>
      </c>
      <c r="D523">
        <v>2016</v>
      </c>
      <c r="E523" s="7">
        <v>5563.68</v>
      </c>
      <c r="F523" s="8">
        <v>7890.8446580815389</v>
      </c>
      <c r="G523" s="7">
        <v>7869.98</v>
      </c>
      <c r="H523" s="7">
        <v>11161.818755021128</v>
      </c>
    </row>
    <row r="524" spans="1:8" x14ac:dyDescent="0.35">
      <c r="A524">
        <v>312570</v>
      </c>
      <c r="B524">
        <v>3125705</v>
      </c>
      <c r="C524" t="s">
        <v>61</v>
      </c>
      <c r="D524">
        <v>2017</v>
      </c>
      <c r="E524" s="7">
        <v>6573.93</v>
      </c>
      <c r="F524" s="8">
        <v>9056.7202521936524</v>
      </c>
      <c r="G524" s="7">
        <v>7454.77</v>
      </c>
      <c r="H524" s="7">
        <v>10270.23267684317</v>
      </c>
    </row>
    <row r="525" spans="1:8" x14ac:dyDescent="0.35">
      <c r="A525">
        <v>312570</v>
      </c>
      <c r="B525">
        <v>3125705</v>
      </c>
      <c r="C525" t="s">
        <v>61</v>
      </c>
      <c r="D525">
        <v>2018</v>
      </c>
      <c r="E525" s="7">
        <v>6571.1</v>
      </c>
      <c r="F525" s="8">
        <v>8725.9826759936568</v>
      </c>
      <c r="G525" s="7">
        <v>8098.22</v>
      </c>
      <c r="H525" s="7">
        <v>10753.898381115074</v>
      </c>
    </row>
    <row r="526" spans="1:8" x14ac:dyDescent="0.35">
      <c r="A526">
        <v>312570</v>
      </c>
      <c r="B526">
        <v>3125705</v>
      </c>
      <c r="C526" t="s">
        <v>61</v>
      </c>
      <c r="D526">
        <v>2019</v>
      </c>
      <c r="E526" s="7">
        <v>9128.32</v>
      </c>
      <c r="F526" s="8">
        <v>11621.366666303275</v>
      </c>
      <c r="G526" s="7">
        <v>8843.94</v>
      </c>
      <c r="H526" s="7">
        <v>11259.313020721824</v>
      </c>
    </row>
    <row r="527" spans="1:8" x14ac:dyDescent="0.35">
      <c r="A527">
        <v>312570</v>
      </c>
      <c r="B527">
        <v>3125705</v>
      </c>
      <c r="C527" t="s">
        <v>61</v>
      </c>
      <c r="D527">
        <v>2020</v>
      </c>
      <c r="E527" s="7">
        <v>8697.36</v>
      </c>
      <c r="F527" s="8">
        <v>10594.12176894898</v>
      </c>
      <c r="G527" s="7">
        <v>8558.25</v>
      </c>
      <c r="H527" s="7">
        <v>10424.674503327693</v>
      </c>
    </row>
    <row r="528" spans="1:8" x14ac:dyDescent="0.35">
      <c r="A528">
        <v>312570</v>
      </c>
      <c r="B528">
        <v>3125705</v>
      </c>
      <c r="C528" t="s">
        <v>61</v>
      </c>
      <c r="D528">
        <v>2021</v>
      </c>
      <c r="E528" s="7">
        <v>11149.01</v>
      </c>
      <c r="F528" s="8">
        <v>12339.013301007837</v>
      </c>
      <c r="G528" s="7">
        <v>9072.7099999999991</v>
      </c>
      <c r="H528" s="7">
        <v>10041.098876834296</v>
      </c>
    </row>
    <row r="529" spans="1:8" x14ac:dyDescent="0.35">
      <c r="A529">
        <v>312570</v>
      </c>
      <c r="B529">
        <v>3125705</v>
      </c>
      <c r="C529" t="s">
        <v>61</v>
      </c>
      <c r="D529">
        <v>2022</v>
      </c>
      <c r="E529" s="7">
        <v>12498.32</v>
      </c>
      <c r="F529" s="8">
        <v>13075.89111464314</v>
      </c>
      <c r="G529" s="7">
        <v>14188.7</v>
      </c>
      <c r="H529" s="7">
        <v>14844.387539570134</v>
      </c>
    </row>
    <row r="530" spans="1:8" x14ac:dyDescent="0.35">
      <c r="A530">
        <v>312570</v>
      </c>
      <c r="B530">
        <v>3125705</v>
      </c>
      <c r="C530" t="s">
        <v>61</v>
      </c>
      <c r="D530">
        <v>2023</v>
      </c>
      <c r="E530" s="7">
        <v>13326.11</v>
      </c>
      <c r="F530" s="8">
        <v>13326.11</v>
      </c>
      <c r="G530" s="7">
        <v>14484.55</v>
      </c>
      <c r="H530" s="7">
        <v>14484.551391207016</v>
      </c>
    </row>
    <row r="531" spans="1:8" x14ac:dyDescent="0.35">
      <c r="A531">
        <v>312570</v>
      </c>
      <c r="B531">
        <v>3125705</v>
      </c>
      <c r="C531" t="s">
        <v>61</v>
      </c>
      <c r="D531">
        <v>2024</v>
      </c>
      <c r="E531" s="7">
        <v>15063.49</v>
      </c>
      <c r="F531" s="8">
        <v>14369.281728371243</v>
      </c>
      <c r="G531" s="7">
        <v>16743.18</v>
      </c>
      <c r="H531" s="7">
        <v>15971.56063309626</v>
      </c>
    </row>
    <row r="532" spans="1:8" x14ac:dyDescent="0.35">
      <c r="A532">
        <v>312660</v>
      </c>
      <c r="B532">
        <v>3126604</v>
      </c>
      <c r="C532" t="s">
        <v>62</v>
      </c>
      <c r="D532">
        <v>2015</v>
      </c>
      <c r="E532" s="7">
        <v>6847.71</v>
      </c>
      <c r="F532" s="8">
        <v>10322.642747036058</v>
      </c>
      <c r="G532" s="7">
        <v>6719.31</v>
      </c>
      <c r="H532" s="7">
        <v>10129.088847552022</v>
      </c>
    </row>
    <row r="533" spans="1:8" x14ac:dyDescent="0.35">
      <c r="A533">
        <v>312660</v>
      </c>
      <c r="B533">
        <v>3126604</v>
      </c>
      <c r="C533" t="s">
        <v>62</v>
      </c>
      <c r="D533">
        <v>2016</v>
      </c>
      <c r="E533" s="7">
        <v>6925.09</v>
      </c>
      <c r="F533" s="8">
        <v>9821.7024403333544</v>
      </c>
      <c r="G533" s="7">
        <v>8061.46</v>
      </c>
      <c r="H533" s="7">
        <v>11433.38799473389</v>
      </c>
    </row>
    <row r="534" spans="1:8" x14ac:dyDescent="0.35">
      <c r="A534">
        <v>312660</v>
      </c>
      <c r="B534">
        <v>3126604</v>
      </c>
      <c r="C534" t="s">
        <v>62</v>
      </c>
      <c r="D534">
        <v>2017</v>
      </c>
      <c r="E534" s="7">
        <v>7226.51</v>
      </c>
      <c r="F534" s="8">
        <v>9955.7615413732656</v>
      </c>
      <c r="G534" s="7">
        <v>9105.8799999999992</v>
      </c>
      <c r="H534" s="7">
        <v>12544.911470143068</v>
      </c>
    </row>
    <row r="535" spans="1:8" x14ac:dyDescent="0.35">
      <c r="A535">
        <v>312660</v>
      </c>
      <c r="B535">
        <v>3126604</v>
      </c>
      <c r="C535" t="s">
        <v>62</v>
      </c>
      <c r="D535">
        <v>2018</v>
      </c>
      <c r="E535" s="7">
        <v>7574.11</v>
      </c>
      <c r="F535" s="8">
        <v>10057.913080925615</v>
      </c>
      <c r="G535" s="7">
        <v>9874.6299999999992</v>
      </c>
      <c r="H535" s="7">
        <v>13112.852800343637</v>
      </c>
    </row>
    <row r="536" spans="1:8" x14ac:dyDescent="0.35">
      <c r="A536">
        <v>312660</v>
      </c>
      <c r="B536">
        <v>3126604</v>
      </c>
      <c r="C536" t="s">
        <v>62</v>
      </c>
      <c r="D536">
        <v>2019</v>
      </c>
      <c r="E536" s="7">
        <v>7678.31</v>
      </c>
      <c r="F536" s="8">
        <v>9775.3426575254925</v>
      </c>
      <c r="G536" s="7">
        <v>9919.92</v>
      </c>
      <c r="H536" s="7">
        <v>12629.156031219825</v>
      </c>
    </row>
    <row r="537" spans="1:8" x14ac:dyDescent="0.35">
      <c r="A537">
        <v>312660</v>
      </c>
      <c r="B537">
        <v>3126604</v>
      </c>
      <c r="C537" t="s">
        <v>62</v>
      </c>
      <c r="D537">
        <v>2020</v>
      </c>
      <c r="E537" s="7">
        <v>7609.76</v>
      </c>
      <c r="F537" s="8">
        <v>9269.3327713785784</v>
      </c>
      <c r="G537" s="7">
        <v>10324.379999999999</v>
      </c>
      <c r="H537" s="7">
        <v>12575.969480735785</v>
      </c>
    </row>
    <row r="538" spans="1:8" x14ac:dyDescent="0.35">
      <c r="A538">
        <v>312660</v>
      </c>
      <c r="B538">
        <v>3126604</v>
      </c>
      <c r="C538" t="s">
        <v>62</v>
      </c>
      <c r="D538">
        <v>2021</v>
      </c>
      <c r="E538" s="7">
        <v>9261.76</v>
      </c>
      <c r="F538" s="8">
        <v>10250.325350030393</v>
      </c>
      <c r="G538" s="7">
        <v>12038.96</v>
      </c>
      <c r="H538" s="7">
        <v>13323.947723638348</v>
      </c>
    </row>
    <row r="539" spans="1:8" x14ac:dyDescent="0.35">
      <c r="A539">
        <v>312660</v>
      </c>
      <c r="B539">
        <v>3126604</v>
      </c>
      <c r="C539" t="s">
        <v>62</v>
      </c>
      <c r="D539">
        <v>2022</v>
      </c>
      <c r="E539" s="7">
        <v>13044.99</v>
      </c>
      <c r="F539" s="8">
        <v>13647.823774043922</v>
      </c>
      <c r="G539" s="7">
        <v>24825.3</v>
      </c>
      <c r="H539" s="7">
        <v>25972.519416745512</v>
      </c>
    </row>
    <row r="540" spans="1:8" x14ac:dyDescent="0.35">
      <c r="A540">
        <v>312660</v>
      </c>
      <c r="B540">
        <v>3126604</v>
      </c>
      <c r="C540" t="s">
        <v>62</v>
      </c>
      <c r="D540">
        <v>2023</v>
      </c>
      <c r="E540" s="7">
        <v>12753.4</v>
      </c>
      <c r="F540" s="8">
        <v>12753.4</v>
      </c>
      <c r="G540" s="7">
        <v>17905.84</v>
      </c>
      <c r="H540" s="7">
        <v>17905.836480339054</v>
      </c>
    </row>
    <row r="541" spans="1:8" x14ac:dyDescent="0.35">
      <c r="A541">
        <v>312660</v>
      </c>
      <c r="B541">
        <v>3126604</v>
      </c>
      <c r="C541" t="s">
        <v>62</v>
      </c>
      <c r="D541">
        <v>2024</v>
      </c>
      <c r="E541" s="7">
        <v>15537.16</v>
      </c>
      <c r="F541" s="8">
        <v>14821.122415773538</v>
      </c>
      <c r="G541" s="7">
        <v>21123.53</v>
      </c>
      <c r="H541" s="7">
        <v>20150.041410873124</v>
      </c>
    </row>
    <row r="542" spans="1:8" x14ac:dyDescent="0.35">
      <c r="A542">
        <v>312670</v>
      </c>
      <c r="B542">
        <v>3126703</v>
      </c>
      <c r="C542" t="s">
        <v>63</v>
      </c>
      <c r="D542">
        <v>2015</v>
      </c>
      <c r="E542" s="7">
        <v>8076.97</v>
      </c>
      <c r="F542" s="8">
        <v>12175.701919112787</v>
      </c>
      <c r="G542" s="7">
        <v>7972.75</v>
      </c>
      <c r="H542" s="7">
        <v>12018.598997792566</v>
      </c>
    </row>
    <row r="543" spans="1:8" x14ac:dyDescent="0.35">
      <c r="A543">
        <v>312670</v>
      </c>
      <c r="B543">
        <v>3126703</v>
      </c>
      <c r="C543" t="s">
        <v>63</v>
      </c>
      <c r="D543">
        <v>2016</v>
      </c>
      <c r="E543" s="7">
        <v>6755.32</v>
      </c>
      <c r="F543" s="8">
        <v>9580.9213929685702</v>
      </c>
      <c r="G543" s="7">
        <v>8024.08</v>
      </c>
      <c r="H543" s="7">
        <v>11380.373082282695</v>
      </c>
    </row>
    <row r="544" spans="1:8" x14ac:dyDescent="0.35">
      <c r="A544">
        <v>312670</v>
      </c>
      <c r="B544">
        <v>3126703</v>
      </c>
      <c r="C544" t="s">
        <v>63</v>
      </c>
      <c r="D544">
        <v>2017</v>
      </c>
      <c r="E544" s="7">
        <v>6297.42</v>
      </c>
      <c r="F544" s="8">
        <v>8675.780127042628</v>
      </c>
      <c r="G544" s="7">
        <v>8574.4599999999991</v>
      </c>
      <c r="H544" s="7">
        <v>11812.794928886031</v>
      </c>
    </row>
    <row r="545" spans="1:8" x14ac:dyDescent="0.35">
      <c r="A545">
        <v>312670</v>
      </c>
      <c r="B545">
        <v>3126703</v>
      </c>
      <c r="C545" t="s">
        <v>63</v>
      </c>
      <c r="D545">
        <v>2018</v>
      </c>
      <c r="E545" s="7">
        <v>6593.92</v>
      </c>
      <c r="F545" s="8">
        <v>8756.2861144843464</v>
      </c>
      <c r="G545" s="7">
        <v>7705.05</v>
      </c>
      <c r="H545" s="7">
        <v>10231.794863341587</v>
      </c>
    </row>
    <row r="546" spans="1:8" x14ac:dyDescent="0.35">
      <c r="A546">
        <v>312670</v>
      </c>
      <c r="B546">
        <v>3126703</v>
      </c>
      <c r="C546" t="s">
        <v>63</v>
      </c>
      <c r="D546">
        <v>2019</v>
      </c>
      <c r="E546" s="7">
        <v>8553.98</v>
      </c>
      <c r="F546" s="8">
        <v>10890.16796477609</v>
      </c>
      <c r="G546" s="7">
        <v>8253.15</v>
      </c>
      <c r="H546" s="7">
        <v>10507.17277894027</v>
      </c>
    </row>
    <row r="547" spans="1:8" x14ac:dyDescent="0.35">
      <c r="A547">
        <v>312670</v>
      </c>
      <c r="B547">
        <v>3126703</v>
      </c>
      <c r="C547" t="s">
        <v>63</v>
      </c>
      <c r="D547">
        <v>2020</v>
      </c>
      <c r="E547" s="7">
        <v>8841.66</v>
      </c>
      <c r="F547" s="8">
        <v>10769.891401487972</v>
      </c>
      <c r="G547" s="7">
        <v>8045.4</v>
      </c>
      <c r="H547" s="7">
        <v>9799.9813264727291</v>
      </c>
    </row>
    <row r="548" spans="1:8" x14ac:dyDescent="0.35">
      <c r="A548">
        <v>312670</v>
      </c>
      <c r="B548">
        <v>3126703</v>
      </c>
      <c r="C548" t="s">
        <v>63</v>
      </c>
      <c r="D548">
        <v>2021</v>
      </c>
      <c r="E548" s="7">
        <v>11532.42</v>
      </c>
      <c r="F548" s="8">
        <v>12763.347039136999</v>
      </c>
      <c r="G548" s="7">
        <v>10704.53</v>
      </c>
      <c r="H548" s="7">
        <v>11847.096398335669</v>
      </c>
    </row>
    <row r="549" spans="1:8" x14ac:dyDescent="0.35">
      <c r="A549">
        <v>312670</v>
      </c>
      <c r="B549">
        <v>3126703</v>
      </c>
      <c r="C549" t="s">
        <v>63</v>
      </c>
      <c r="D549">
        <v>2022</v>
      </c>
      <c r="E549" s="7">
        <v>15510.99</v>
      </c>
      <c r="F549" s="8">
        <v>16227.782319569238</v>
      </c>
      <c r="G549" s="7">
        <v>16132.02</v>
      </c>
      <c r="H549" s="7">
        <v>16877.509086563849</v>
      </c>
    </row>
    <row r="550" spans="1:8" x14ac:dyDescent="0.35">
      <c r="A550">
        <v>312670</v>
      </c>
      <c r="B550">
        <v>3126703</v>
      </c>
      <c r="C550" t="s">
        <v>63</v>
      </c>
      <c r="D550">
        <v>2023</v>
      </c>
      <c r="E550" s="7">
        <v>14967.65</v>
      </c>
      <c r="F550" s="8">
        <v>14967.65</v>
      </c>
      <c r="G550" s="7">
        <v>19804.13</v>
      </c>
      <c r="H550" s="7">
        <v>19804.126307569262</v>
      </c>
    </row>
    <row r="551" spans="1:8" x14ac:dyDescent="0.35">
      <c r="A551">
        <v>312670</v>
      </c>
      <c r="B551">
        <v>3126703</v>
      </c>
      <c r="C551" t="s">
        <v>63</v>
      </c>
      <c r="D551">
        <v>2024</v>
      </c>
      <c r="E551" s="7">
        <v>13080.99</v>
      </c>
      <c r="F551" s="8">
        <v>12478.146206224914</v>
      </c>
      <c r="G551" s="7">
        <v>24220.29</v>
      </c>
      <c r="H551" s="7">
        <v>23104.082181142578</v>
      </c>
    </row>
    <row r="552" spans="1:8" x14ac:dyDescent="0.35">
      <c r="A552">
        <v>312690</v>
      </c>
      <c r="B552">
        <v>3126901</v>
      </c>
      <c r="C552" t="s">
        <v>64</v>
      </c>
      <c r="D552">
        <v>2015</v>
      </c>
      <c r="E552" s="7">
        <v>4620.88</v>
      </c>
      <c r="F552" s="8">
        <v>6965.787601537445</v>
      </c>
      <c r="G552" s="7">
        <v>4683.3</v>
      </c>
      <c r="H552" s="7">
        <v>7059.880408168443</v>
      </c>
    </row>
    <row r="553" spans="1:8" x14ac:dyDescent="0.35">
      <c r="A553">
        <v>312690</v>
      </c>
      <c r="B553">
        <v>3126901</v>
      </c>
      <c r="C553" t="s">
        <v>64</v>
      </c>
      <c r="D553">
        <v>2016</v>
      </c>
      <c r="E553" s="7">
        <v>6517.52</v>
      </c>
      <c r="F553" s="8">
        <v>9243.6548967481212</v>
      </c>
      <c r="G553" s="7">
        <v>5659.1</v>
      </c>
      <c r="H553" s="7">
        <v>8026.1706539248216</v>
      </c>
    </row>
    <row r="554" spans="1:8" x14ac:dyDescent="0.35">
      <c r="A554">
        <v>312690</v>
      </c>
      <c r="B554">
        <v>3126901</v>
      </c>
      <c r="C554" t="s">
        <v>64</v>
      </c>
      <c r="D554">
        <v>2017</v>
      </c>
      <c r="E554" s="7">
        <v>7195.75</v>
      </c>
      <c r="F554" s="8">
        <v>9913.384346155568</v>
      </c>
      <c r="G554" s="7">
        <v>6303.93</v>
      </c>
      <c r="H554" s="7">
        <v>8684.7526684455206</v>
      </c>
    </row>
    <row r="555" spans="1:8" x14ac:dyDescent="0.35">
      <c r="A555">
        <v>312690</v>
      </c>
      <c r="B555">
        <v>3126901</v>
      </c>
      <c r="C555" t="s">
        <v>64</v>
      </c>
      <c r="D555">
        <v>2018</v>
      </c>
      <c r="E555" s="7">
        <v>7306.26</v>
      </c>
      <c r="F555" s="8">
        <v>9702.2261396578069</v>
      </c>
      <c r="G555" s="7">
        <v>7974.47</v>
      </c>
      <c r="H555" s="7">
        <v>10589.567345849717</v>
      </c>
    </row>
    <row r="556" spans="1:8" x14ac:dyDescent="0.35">
      <c r="A556">
        <v>312690</v>
      </c>
      <c r="B556">
        <v>3126901</v>
      </c>
      <c r="C556" t="s">
        <v>64</v>
      </c>
      <c r="D556">
        <v>2019</v>
      </c>
      <c r="E556" s="7">
        <v>7103.86</v>
      </c>
      <c r="F556" s="8">
        <v>9044.0039137634503</v>
      </c>
      <c r="G556" s="7">
        <v>8155.11</v>
      </c>
      <c r="H556" s="7">
        <v>10382.364342810304</v>
      </c>
    </row>
    <row r="557" spans="1:8" x14ac:dyDescent="0.35">
      <c r="A557">
        <v>312690</v>
      </c>
      <c r="B557">
        <v>3126901</v>
      </c>
      <c r="C557" t="s">
        <v>64</v>
      </c>
      <c r="D557">
        <v>2020</v>
      </c>
      <c r="E557" s="7">
        <v>6333.42</v>
      </c>
      <c r="F557" s="8">
        <v>7714.6424540201679</v>
      </c>
      <c r="G557" s="7">
        <v>8303.98</v>
      </c>
      <c r="H557" s="7">
        <v>10114.948677625851</v>
      </c>
    </row>
    <row r="558" spans="1:8" x14ac:dyDescent="0.35">
      <c r="A558">
        <v>312690</v>
      </c>
      <c r="B558">
        <v>3126901</v>
      </c>
      <c r="C558" t="s">
        <v>64</v>
      </c>
      <c r="D558">
        <v>2021</v>
      </c>
      <c r="E558" s="7">
        <v>10278.02</v>
      </c>
      <c r="F558" s="8">
        <v>11375.057111620186</v>
      </c>
      <c r="G558" s="7">
        <v>8927.65</v>
      </c>
      <c r="H558" s="7">
        <v>9880.5517852388439</v>
      </c>
    </row>
    <row r="559" spans="1:8" x14ac:dyDescent="0.35">
      <c r="A559">
        <v>312690</v>
      </c>
      <c r="B559">
        <v>3126901</v>
      </c>
      <c r="C559" t="s">
        <v>64</v>
      </c>
      <c r="D559">
        <v>2022</v>
      </c>
      <c r="E559" s="7">
        <v>14302.08</v>
      </c>
      <c r="F559" s="8">
        <v>14963.006291478805</v>
      </c>
      <c r="G559" s="7">
        <v>11761.28</v>
      </c>
      <c r="H559" s="7">
        <v>12304.792486916553</v>
      </c>
    </row>
    <row r="560" spans="1:8" x14ac:dyDescent="0.35">
      <c r="A560">
        <v>312690</v>
      </c>
      <c r="B560">
        <v>3126901</v>
      </c>
      <c r="C560" t="s">
        <v>64</v>
      </c>
      <c r="D560">
        <v>2023</v>
      </c>
      <c r="E560" s="7">
        <v>11207.49</v>
      </c>
      <c r="F560" s="8">
        <v>11207.49</v>
      </c>
      <c r="G560" s="7">
        <v>15307.49</v>
      </c>
      <c r="H560" s="7">
        <v>15307.486202411741</v>
      </c>
    </row>
    <row r="561" spans="1:8" x14ac:dyDescent="0.35">
      <c r="A561">
        <v>312690</v>
      </c>
      <c r="B561">
        <v>3126901</v>
      </c>
      <c r="C561" t="s">
        <v>64</v>
      </c>
      <c r="D561">
        <v>2024</v>
      </c>
      <c r="E561" s="7">
        <v>15292.01</v>
      </c>
      <c r="F561" s="8">
        <v>14587.270272896276</v>
      </c>
      <c r="G561" s="7">
        <v>16814.12</v>
      </c>
      <c r="H561" s="7">
        <v>16039.235623329594</v>
      </c>
    </row>
    <row r="562" spans="1:8" x14ac:dyDescent="0.35">
      <c r="A562">
        <v>312707</v>
      </c>
      <c r="B562">
        <v>3127073</v>
      </c>
      <c r="C562" t="s">
        <v>65</v>
      </c>
      <c r="D562">
        <v>2015</v>
      </c>
      <c r="E562" s="7">
        <v>8339.93</v>
      </c>
      <c r="F562" s="8">
        <v>12572.103363794382</v>
      </c>
      <c r="G562" s="7">
        <v>9098.5400000000009</v>
      </c>
      <c r="H562" s="7">
        <v>13715.669599283487</v>
      </c>
    </row>
    <row r="563" spans="1:8" x14ac:dyDescent="0.35">
      <c r="A563">
        <v>312707</v>
      </c>
      <c r="B563">
        <v>3127073</v>
      </c>
      <c r="C563" t="s">
        <v>65</v>
      </c>
      <c r="D563">
        <v>2016</v>
      </c>
      <c r="E563" s="7">
        <v>8528.09</v>
      </c>
      <c r="F563" s="8">
        <v>12095.201992231507</v>
      </c>
      <c r="G563" s="7">
        <v>11820.94</v>
      </c>
      <c r="H563" s="7">
        <v>16765.383983197909</v>
      </c>
    </row>
    <row r="564" spans="1:8" x14ac:dyDescent="0.35">
      <c r="A564">
        <v>312707</v>
      </c>
      <c r="B564">
        <v>3127073</v>
      </c>
      <c r="C564" t="s">
        <v>65</v>
      </c>
      <c r="D564">
        <v>2017</v>
      </c>
      <c r="E564" s="7">
        <v>8737.35</v>
      </c>
      <c r="F564" s="8">
        <v>12037.20372676682</v>
      </c>
      <c r="G564" s="7">
        <v>11405.33</v>
      </c>
      <c r="H564" s="7">
        <v>15712.809665730671</v>
      </c>
    </row>
    <row r="565" spans="1:8" x14ac:dyDescent="0.35">
      <c r="A565">
        <v>312707</v>
      </c>
      <c r="B565">
        <v>3127073</v>
      </c>
      <c r="C565" t="s">
        <v>65</v>
      </c>
      <c r="D565">
        <v>2018</v>
      </c>
      <c r="E565" s="7">
        <v>7357.82</v>
      </c>
      <c r="F565" s="8">
        <v>9770.694381926869</v>
      </c>
      <c r="G565" s="7">
        <v>9820.15</v>
      </c>
      <c r="H565" s="7">
        <v>13040.499757795285</v>
      </c>
    </row>
    <row r="566" spans="1:8" x14ac:dyDescent="0.35">
      <c r="A566">
        <v>312707</v>
      </c>
      <c r="B566">
        <v>3127073</v>
      </c>
      <c r="C566" t="s">
        <v>65</v>
      </c>
      <c r="D566">
        <v>2019</v>
      </c>
      <c r="E566" s="7">
        <v>8836.84</v>
      </c>
      <c r="F566" s="8">
        <v>11250.280206155727</v>
      </c>
      <c r="G566" s="7">
        <v>15984.22</v>
      </c>
      <c r="H566" s="7">
        <v>20349.691519229633</v>
      </c>
    </row>
    <row r="567" spans="1:8" x14ac:dyDescent="0.35">
      <c r="A567">
        <v>312707</v>
      </c>
      <c r="B567">
        <v>3127073</v>
      </c>
      <c r="C567" t="s">
        <v>65</v>
      </c>
      <c r="D567">
        <v>2020</v>
      </c>
      <c r="E567" s="7">
        <v>10950.31</v>
      </c>
      <c r="F567" s="8">
        <v>13338.405855080127</v>
      </c>
      <c r="G567" s="7">
        <v>10168.16</v>
      </c>
      <c r="H567" s="7">
        <v>12385.686505835221</v>
      </c>
    </row>
    <row r="568" spans="1:8" x14ac:dyDescent="0.35">
      <c r="A568">
        <v>312707</v>
      </c>
      <c r="B568">
        <v>3127073</v>
      </c>
      <c r="C568" t="s">
        <v>65</v>
      </c>
      <c r="D568">
        <v>2021</v>
      </c>
      <c r="E568" s="7">
        <v>8316.8799999999992</v>
      </c>
      <c r="F568" s="8">
        <v>9204.5924205724132</v>
      </c>
      <c r="G568" s="7">
        <v>7801.14</v>
      </c>
      <c r="H568" s="7">
        <v>8633.8052612695228</v>
      </c>
    </row>
    <row r="569" spans="1:8" x14ac:dyDescent="0.35">
      <c r="A569">
        <v>312707</v>
      </c>
      <c r="B569">
        <v>3127073</v>
      </c>
      <c r="C569" t="s">
        <v>65</v>
      </c>
      <c r="D569">
        <v>2022</v>
      </c>
      <c r="E569" s="7">
        <v>12114</v>
      </c>
      <c r="F569" s="8">
        <v>12673.81095721561</v>
      </c>
      <c r="G569" s="7">
        <v>21175.64</v>
      </c>
      <c r="H569" s="7">
        <v>22154.202446997449</v>
      </c>
    </row>
    <row r="570" spans="1:8" x14ac:dyDescent="0.35">
      <c r="A570">
        <v>312707</v>
      </c>
      <c r="B570">
        <v>3127073</v>
      </c>
      <c r="C570" t="s">
        <v>65</v>
      </c>
      <c r="D570">
        <v>2023</v>
      </c>
      <c r="E570" s="7">
        <v>11720.23</v>
      </c>
      <c r="F570" s="8">
        <v>11720.23</v>
      </c>
      <c r="G570" s="7">
        <v>19689.22</v>
      </c>
      <c r="H570" s="7">
        <v>19689.22072322046</v>
      </c>
    </row>
    <row r="571" spans="1:8" x14ac:dyDescent="0.35">
      <c r="A571">
        <v>312707</v>
      </c>
      <c r="B571">
        <v>3127073</v>
      </c>
      <c r="C571" t="s">
        <v>65</v>
      </c>
      <c r="D571">
        <v>2024</v>
      </c>
      <c r="E571" s="7">
        <v>14582.35</v>
      </c>
      <c r="F571" s="8">
        <v>13910.315299556371</v>
      </c>
      <c r="G571" s="7">
        <v>23574.799999999999</v>
      </c>
      <c r="H571" s="7">
        <v>22488.342410935391</v>
      </c>
    </row>
    <row r="572" spans="1:8" x14ac:dyDescent="0.35">
      <c r="A572">
        <v>312735</v>
      </c>
      <c r="B572">
        <v>3127354</v>
      </c>
      <c r="C572" t="s">
        <v>66</v>
      </c>
      <c r="D572">
        <v>2015</v>
      </c>
      <c r="E572" s="7">
        <v>8198.1200000000008</v>
      </c>
      <c r="F572" s="8">
        <v>12358.33058896058</v>
      </c>
      <c r="G572" s="7">
        <v>9758.77</v>
      </c>
      <c r="H572" s="7">
        <v>14710.942410980222</v>
      </c>
    </row>
    <row r="573" spans="1:8" x14ac:dyDescent="0.35">
      <c r="A573">
        <v>312735</v>
      </c>
      <c r="B573">
        <v>3127354</v>
      </c>
      <c r="C573" t="s">
        <v>66</v>
      </c>
      <c r="D573">
        <v>2016</v>
      </c>
      <c r="E573" s="7">
        <v>8693.67</v>
      </c>
      <c r="F573" s="8">
        <v>12330.040454990893</v>
      </c>
      <c r="G573" s="7">
        <v>11531.48</v>
      </c>
      <c r="H573" s="7">
        <v>16354.846236251791</v>
      </c>
    </row>
    <row r="574" spans="1:8" x14ac:dyDescent="0.35">
      <c r="A574">
        <v>312735</v>
      </c>
      <c r="B574">
        <v>3127354</v>
      </c>
      <c r="C574" t="s">
        <v>66</v>
      </c>
      <c r="D574">
        <v>2017</v>
      </c>
      <c r="E574" s="7">
        <v>7825.49</v>
      </c>
      <c r="F574" s="8">
        <v>10780.959603515537</v>
      </c>
      <c r="G574" s="7">
        <v>8928.2999999999993</v>
      </c>
      <c r="H574" s="7">
        <v>12300.267127876796</v>
      </c>
    </row>
    <row r="575" spans="1:8" x14ac:dyDescent="0.35">
      <c r="A575">
        <v>312735</v>
      </c>
      <c r="B575">
        <v>3127354</v>
      </c>
      <c r="C575" t="s">
        <v>66</v>
      </c>
      <c r="D575">
        <v>2018</v>
      </c>
      <c r="E575" s="7">
        <v>6584.77</v>
      </c>
      <c r="F575" s="8">
        <v>8744.1355245549075</v>
      </c>
      <c r="G575" s="7">
        <v>11375.92</v>
      </c>
      <c r="H575" s="7">
        <v>15106.456799884436</v>
      </c>
    </row>
    <row r="576" spans="1:8" x14ac:dyDescent="0.35">
      <c r="A576">
        <v>312735</v>
      </c>
      <c r="B576">
        <v>3127354</v>
      </c>
      <c r="C576" t="s">
        <v>66</v>
      </c>
      <c r="D576">
        <v>2019</v>
      </c>
      <c r="E576" s="7">
        <v>9736.64</v>
      </c>
      <c r="F576" s="8">
        <v>12395.825687289131</v>
      </c>
      <c r="G576" s="7">
        <v>11849.36</v>
      </c>
      <c r="H576" s="7">
        <v>15085.552926118684</v>
      </c>
    </row>
    <row r="577" spans="1:8" x14ac:dyDescent="0.35">
      <c r="A577">
        <v>312735</v>
      </c>
      <c r="B577">
        <v>3127354</v>
      </c>
      <c r="C577" t="s">
        <v>66</v>
      </c>
      <c r="D577">
        <v>2020</v>
      </c>
      <c r="E577" s="7">
        <v>9892.3799999999992</v>
      </c>
      <c r="F577" s="8">
        <v>12049.757432682503</v>
      </c>
      <c r="G577" s="7">
        <v>11684.48</v>
      </c>
      <c r="H577" s="7">
        <v>14232.686370172336</v>
      </c>
    </row>
    <row r="578" spans="1:8" x14ac:dyDescent="0.35">
      <c r="A578">
        <v>312735</v>
      </c>
      <c r="B578">
        <v>3127354</v>
      </c>
      <c r="C578" t="s">
        <v>66</v>
      </c>
      <c r="D578">
        <v>2021</v>
      </c>
      <c r="E578" s="7">
        <v>12656.66</v>
      </c>
      <c r="F578" s="8">
        <v>14007.584178894256</v>
      </c>
      <c r="G578" s="7">
        <v>13023.64</v>
      </c>
      <c r="H578" s="7">
        <v>14413.739330559582</v>
      </c>
    </row>
    <row r="579" spans="1:8" x14ac:dyDescent="0.35">
      <c r="A579">
        <v>312735</v>
      </c>
      <c r="B579">
        <v>3127354</v>
      </c>
      <c r="C579" t="s">
        <v>66</v>
      </c>
      <c r="D579">
        <v>2022</v>
      </c>
      <c r="E579" s="7">
        <v>14761.11</v>
      </c>
      <c r="F579" s="8">
        <v>15443.248939959132</v>
      </c>
      <c r="G579" s="7">
        <v>20939.16</v>
      </c>
      <c r="H579" s="7">
        <v>21906.7976348843</v>
      </c>
    </row>
    <row r="580" spans="1:8" x14ac:dyDescent="0.35">
      <c r="A580">
        <v>312735</v>
      </c>
      <c r="B580">
        <v>3127354</v>
      </c>
      <c r="C580" t="s">
        <v>66</v>
      </c>
      <c r="D580">
        <v>2023</v>
      </c>
      <c r="E580" s="7">
        <v>17000</v>
      </c>
      <c r="F580" s="8">
        <v>17000</v>
      </c>
      <c r="G580" s="7">
        <v>29422.65</v>
      </c>
      <c r="H580" s="7">
        <v>29422.652283950618</v>
      </c>
    </row>
    <row r="581" spans="1:8" x14ac:dyDescent="0.35">
      <c r="A581">
        <v>312735</v>
      </c>
      <c r="B581">
        <v>3127354</v>
      </c>
      <c r="C581" t="s">
        <v>66</v>
      </c>
      <c r="D581">
        <v>2024</v>
      </c>
      <c r="E581" s="7">
        <v>19982.18</v>
      </c>
      <c r="F581" s="8">
        <v>19061.291504626435</v>
      </c>
      <c r="G581" s="7">
        <v>34205.29</v>
      </c>
      <c r="H581" s="7">
        <v>32628.926253362439</v>
      </c>
    </row>
    <row r="582" spans="1:8" x14ac:dyDescent="0.35">
      <c r="A582">
        <v>312750</v>
      </c>
      <c r="B582">
        <v>3127503</v>
      </c>
      <c r="C582" t="s">
        <v>67</v>
      </c>
      <c r="D582">
        <v>2015</v>
      </c>
      <c r="E582" s="7">
        <v>5766.84</v>
      </c>
      <c r="F582" s="8">
        <v>8693.2754306647657</v>
      </c>
      <c r="G582" s="7">
        <v>6556.49</v>
      </c>
      <c r="H582" s="7">
        <v>9883.6479584755543</v>
      </c>
    </row>
    <row r="583" spans="1:8" x14ac:dyDescent="0.35">
      <c r="A583">
        <v>312750</v>
      </c>
      <c r="B583">
        <v>3127503</v>
      </c>
      <c r="C583" t="s">
        <v>67</v>
      </c>
      <c r="D583">
        <v>2016</v>
      </c>
      <c r="E583" s="7">
        <v>5381.74</v>
      </c>
      <c r="F583" s="8">
        <v>7632.8031680800723</v>
      </c>
      <c r="G583" s="7">
        <v>7448.45</v>
      </c>
      <c r="H583" s="7">
        <v>10563.969159319207</v>
      </c>
    </row>
    <row r="584" spans="1:8" x14ac:dyDescent="0.35">
      <c r="A584">
        <v>312750</v>
      </c>
      <c r="B584">
        <v>3127503</v>
      </c>
      <c r="C584" t="s">
        <v>67</v>
      </c>
      <c r="D584">
        <v>2017</v>
      </c>
      <c r="E584" s="7">
        <v>6496.8</v>
      </c>
      <c r="F584" s="8">
        <v>8950.4603995557791</v>
      </c>
      <c r="G584" s="7">
        <v>8043.16</v>
      </c>
      <c r="H584" s="7">
        <v>11080.837355566624</v>
      </c>
    </row>
    <row r="585" spans="1:8" x14ac:dyDescent="0.35">
      <c r="A585">
        <v>312750</v>
      </c>
      <c r="B585">
        <v>3127503</v>
      </c>
      <c r="C585" t="s">
        <v>67</v>
      </c>
      <c r="D585">
        <v>2018</v>
      </c>
      <c r="E585" s="7">
        <v>6724.51</v>
      </c>
      <c r="F585" s="8">
        <v>8929.7009274773027</v>
      </c>
      <c r="G585" s="7">
        <v>8191.98</v>
      </c>
      <c r="H585" s="7">
        <v>10878.399340246688</v>
      </c>
    </row>
    <row r="586" spans="1:8" x14ac:dyDescent="0.35">
      <c r="A586">
        <v>312750</v>
      </c>
      <c r="B586">
        <v>3127503</v>
      </c>
      <c r="C586" t="s">
        <v>67</v>
      </c>
      <c r="D586">
        <v>2019</v>
      </c>
      <c r="E586" s="7">
        <v>7226.09</v>
      </c>
      <c r="F586" s="8">
        <v>9199.616298914525</v>
      </c>
      <c r="G586" s="7">
        <v>8142.54</v>
      </c>
      <c r="H586" s="7">
        <v>10366.353780786158</v>
      </c>
    </row>
    <row r="587" spans="1:8" x14ac:dyDescent="0.35">
      <c r="A587">
        <v>312750</v>
      </c>
      <c r="B587">
        <v>3127503</v>
      </c>
      <c r="C587" t="s">
        <v>67</v>
      </c>
      <c r="D587">
        <v>2020</v>
      </c>
      <c r="E587" s="7">
        <v>8822.98</v>
      </c>
      <c r="F587" s="8">
        <v>10747.137577954858</v>
      </c>
      <c r="G587" s="7">
        <v>10199.82</v>
      </c>
      <c r="H587" s="7">
        <v>12424.24981767954</v>
      </c>
    </row>
    <row r="588" spans="1:8" x14ac:dyDescent="0.35">
      <c r="A588">
        <v>312750</v>
      </c>
      <c r="B588">
        <v>3127503</v>
      </c>
      <c r="C588" t="s">
        <v>67</v>
      </c>
      <c r="D588">
        <v>2021</v>
      </c>
      <c r="E588" s="7">
        <v>10869.63</v>
      </c>
      <c r="F588" s="8">
        <v>12029.813332935732</v>
      </c>
      <c r="G588" s="7">
        <v>11396.06</v>
      </c>
      <c r="H588" s="7">
        <v>12612.43302389583</v>
      </c>
    </row>
    <row r="589" spans="1:8" x14ac:dyDescent="0.35">
      <c r="A589">
        <v>312750</v>
      </c>
      <c r="B589">
        <v>3127503</v>
      </c>
      <c r="C589" t="s">
        <v>67</v>
      </c>
      <c r="D589">
        <v>2022</v>
      </c>
      <c r="E589" s="7">
        <v>12998.17</v>
      </c>
      <c r="F589" s="8">
        <v>13598.840132883543</v>
      </c>
      <c r="G589" s="7">
        <v>19360.48</v>
      </c>
      <c r="H589" s="7">
        <v>20255.166659490682</v>
      </c>
    </row>
    <row r="590" spans="1:8" x14ac:dyDescent="0.35">
      <c r="A590">
        <v>312750</v>
      </c>
      <c r="B590">
        <v>3127503</v>
      </c>
      <c r="C590" t="s">
        <v>67</v>
      </c>
      <c r="D590">
        <v>2023</v>
      </c>
      <c r="E590" s="7">
        <v>12467.58</v>
      </c>
      <c r="F590" s="8">
        <v>12467.58</v>
      </c>
      <c r="G590" s="7">
        <v>17958.22</v>
      </c>
      <c r="H590" s="7">
        <v>17958.215689934124</v>
      </c>
    </row>
    <row r="591" spans="1:8" x14ac:dyDescent="0.35">
      <c r="A591">
        <v>312750</v>
      </c>
      <c r="B591">
        <v>3127503</v>
      </c>
      <c r="C591" t="s">
        <v>67</v>
      </c>
      <c r="D591">
        <v>2024</v>
      </c>
      <c r="E591" s="7">
        <v>15608.73</v>
      </c>
      <c r="F591" s="8">
        <v>14889.394077473418</v>
      </c>
      <c r="G591" s="7">
        <v>19783.39</v>
      </c>
      <c r="H591" s="7">
        <v>18871.658097937903</v>
      </c>
    </row>
    <row r="592" spans="1:8" x14ac:dyDescent="0.35">
      <c r="A592">
        <v>312760</v>
      </c>
      <c r="B592">
        <v>3127602</v>
      </c>
      <c r="C592" t="s">
        <v>68</v>
      </c>
      <c r="D592">
        <v>2015</v>
      </c>
      <c r="E592" s="7">
        <v>7565.03</v>
      </c>
      <c r="F592" s="8">
        <v>11403.973307954073</v>
      </c>
      <c r="G592" s="7">
        <v>4598.74</v>
      </c>
      <c r="H592" s="7">
        <v>6932.4175450976227</v>
      </c>
    </row>
    <row r="593" spans="1:8" x14ac:dyDescent="0.35">
      <c r="A593">
        <v>312760</v>
      </c>
      <c r="B593">
        <v>3127602</v>
      </c>
      <c r="C593" t="s">
        <v>68</v>
      </c>
      <c r="D593">
        <v>2016</v>
      </c>
      <c r="E593" s="7">
        <v>3949.89</v>
      </c>
      <c r="F593" s="8">
        <v>5602.0418871160255</v>
      </c>
      <c r="G593" s="7">
        <v>4930.45</v>
      </c>
      <c r="H593" s="7">
        <v>6992.7486352718961</v>
      </c>
    </row>
    <row r="594" spans="1:8" x14ac:dyDescent="0.35">
      <c r="A594">
        <v>312760</v>
      </c>
      <c r="B594">
        <v>3127602</v>
      </c>
      <c r="C594" t="s">
        <v>68</v>
      </c>
      <c r="D594">
        <v>2017</v>
      </c>
      <c r="E594" s="7">
        <v>4162.62</v>
      </c>
      <c r="F594" s="8">
        <v>5734.7256292942484</v>
      </c>
      <c r="G594" s="7">
        <v>4961.76</v>
      </c>
      <c r="H594" s="7">
        <v>6835.6750299062578</v>
      </c>
    </row>
    <row r="595" spans="1:8" x14ac:dyDescent="0.35">
      <c r="A595">
        <v>312760</v>
      </c>
      <c r="B595">
        <v>3127602</v>
      </c>
      <c r="C595" t="s">
        <v>68</v>
      </c>
      <c r="D595">
        <v>2018</v>
      </c>
      <c r="E595" s="7">
        <v>4414.3500000000004</v>
      </c>
      <c r="F595" s="8">
        <v>5861.9624759587587</v>
      </c>
      <c r="G595" s="7">
        <v>4858.51</v>
      </c>
      <c r="H595" s="7">
        <v>6451.7713091798223</v>
      </c>
    </row>
    <row r="596" spans="1:8" x14ac:dyDescent="0.35">
      <c r="A596">
        <v>312760</v>
      </c>
      <c r="B596">
        <v>3127602</v>
      </c>
      <c r="C596" t="s">
        <v>68</v>
      </c>
      <c r="D596">
        <v>2019</v>
      </c>
      <c r="E596" s="7">
        <v>4392.75</v>
      </c>
      <c r="F596" s="8">
        <v>5592.4593379070529</v>
      </c>
      <c r="G596" s="7">
        <v>5987.83</v>
      </c>
      <c r="H596" s="7">
        <v>7623.1696044054906</v>
      </c>
    </row>
    <row r="597" spans="1:8" x14ac:dyDescent="0.35">
      <c r="A597">
        <v>312760</v>
      </c>
      <c r="B597">
        <v>3127602</v>
      </c>
      <c r="C597" t="s">
        <v>68</v>
      </c>
      <c r="D597">
        <v>2020</v>
      </c>
      <c r="E597" s="7">
        <v>5121.82</v>
      </c>
      <c r="F597" s="8">
        <v>6238.8109447738461</v>
      </c>
      <c r="G597" s="7">
        <v>5574.98</v>
      </c>
      <c r="H597" s="7">
        <v>6790.8040542094404</v>
      </c>
    </row>
    <row r="598" spans="1:8" x14ac:dyDescent="0.35">
      <c r="A598">
        <v>312760</v>
      </c>
      <c r="B598">
        <v>3127602</v>
      </c>
      <c r="C598" t="s">
        <v>68</v>
      </c>
      <c r="D598">
        <v>2021</v>
      </c>
      <c r="E598" s="7">
        <v>6220.16</v>
      </c>
      <c r="F598" s="8">
        <v>6884.0764313958734</v>
      </c>
      <c r="G598" s="7">
        <v>5915.31</v>
      </c>
      <c r="H598" s="7">
        <v>6546.6877082538967</v>
      </c>
    </row>
    <row r="599" spans="1:8" x14ac:dyDescent="0.35">
      <c r="A599">
        <v>312760</v>
      </c>
      <c r="B599">
        <v>3127602</v>
      </c>
      <c r="C599" t="s">
        <v>68</v>
      </c>
      <c r="D599">
        <v>2022</v>
      </c>
      <c r="E599" s="7">
        <v>7203.49</v>
      </c>
      <c r="F599" s="8">
        <v>7536.3769598970675</v>
      </c>
      <c r="G599" s="7">
        <v>9396.2900000000009</v>
      </c>
      <c r="H599" s="7">
        <v>9830.5134239228682</v>
      </c>
    </row>
    <row r="600" spans="1:8" x14ac:dyDescent="0.35">
      <c r="A600">
        <v>312760</v>
      </c>
      <c r="B600">
        <v>3127602</v>
      </c>
      <c r="C600" t="s">
        <v>68</v>
      </c>
      <c r="D600">
        <v>2023</v>
      </c>
      <c r="E600" s="7">
        <v>5765.86</v>
      </c>
      <c r="F600" s="8">
        <v>5765.86</v>
      </c>
      <c r="G600" s="7">
        <v>7583.71</v>
      </c>
      <c r="H600" s="7">
        <v>7583.7133277524035</v>
      </c>
    </row>
    <row r="601" spans="1:8" x14ac:dyDescent="0.35">
      <c r="A601">
        <v>312760</v>
      </c>
      <c r="B601">
        <v>3127602</v>
      </c>
      <c r="C601" t="s">
        <v>68</v>
      </c>
      <c r="D601">
        <v>2024</v>
      </c>
      <c r="E601" s="7">
        <v>7305.75</v>
      </c>
      <c r="F601" s="8">
        <v>6969.0609538060708</v>
      </c>
      <c r="G601" s="7">
        <v>9144.93</v>
      </c>
      <c r="H601" s="7">
        <v>8723.4838276284645</v>
      </c>
    </row>
    <row r="602" spans="1:8" x14ac:dyDescent="0.35">
      <c r="A602">
        <v>312770</v>
      </c>
      <c r="B602">
        <v>3127701</v>
      </c>
      <c r="C602" t="s">
        <v>69</v>
      </c>
      <c r="D602">
        <v>2015</v>
      </c>
      <c r="E602" s="7">
        <v>7863.3</v>
      </c>
      <c r="F602" s="8">
        <v>11853.603133422506</v>
      </c>
      <c r="G602" s="7">
        <v>6678.32</v>
      </c>
      <c r="H602" s="7">
        <v>10067.290177408946</v>
      </c>
    </row>
    <row r="603" spans="1:8" x14ac:dyDescent="0.35">
      <c r="A603">
        <v>312770</v>
      </c>
      <c r="B603">
        <v>3127701</v>
      </c>
      <c r="C603" t="s">
        <v>69</v>
      </c>
      <c r="D603">
        <v>2016</v>
      </c>
      <c r="E603" s="7">
        <v>7057.8</v>
      </c>
      <c r="F603" s="8">
        <v>10009.922106916265</v>
      </c>
      <c r="G603" s="7">
        <v>6450.02</v>
      </c>
      <c r="H603" s="7">
        <v>9147.9268663468429</v>
      </c>
    </row>
    <row r="604" spans="1:8" x14ac:dyDescent="0.35">
      <c r="A604">
        <v>312770</v>
      </c>
      <c r="B604">
        <v>3127701</v>
      </c>
      <c r="C604" t="s">
        <v>69</v>
      </c>
      <c r="D604">
        <v>2017</v>
      </c>
      <c r="E604" s="7">
        <v>6478.42</v>
      </c>
      <c r="F604" s="8">
        <v>8925.1387855082721</v>
      </c>
      <c r="G604" s="7">
        <v>6163.69</v>
      </c>
      <c r="H604" s="7">
        <v>8491.5400125655615</v>
      </c>
    </row>
    <row r="605" spans="1:8" x14ac:dyDescent="0.35">
      <c r="A605">
        <v>312770</v>
      </c>
      <c r="B605">
        <v>3127701</v>
      </c>
      <c r="C605" t="s">
        <v>69</v>
      </c>
      <c r="D605">
        <v>2018</v>
      </c>
      <c r="E605" s="7">
        <v>5735.35</v>
      </c>
      <c r="F605" s="8">
        <v>7616.1623991052065</v>
      </c>
      <c r="G605" s="7">
        <v>6566.04</v>
      </c>
      <c r="H605" s="7">
        <v>8719.2567515044757</v>
      </c>
    </row>
    <row r="606" spans="1:8" x14ac:dyDescent="0.35">
      <c r="A606">
        <v>312770</v>
      </c>
      <c r="B606">
        <v>3127701</v>
      </c>
      <c r="C606" t="s">
        <v>69</v>
      </c>
      <c r="D606">
        <v>2019</v>
      </c>
      <c r="E606" s="7">
        <v>6950.58</v>
      </c>
      <c r="F606" s="8">
        <v>8848.8614250458158</v>
      </c>
      <c r="G606" s="7">
        <v>6318.49</v>
      </c>
      <c r="H606" s="7">
        <v>8044.1421688247829</v>
      </c>
    </row>
    <row r="607" spans="1:8" x14ac:dyDescent="0.35">
      <c r="A607">
        <v>312770</v>
      </c>
      <c r="B607">
        <v>3127701</v>
      </c>
      <c r="C607" t="s">
        <v>69</v>
      </c>
      <c r="D607">
        <v>2020</v>
      </c>
      <c r="E607" s="7">
        <v>7723.95</v>
      </c>
      <c r="F607" s="8">
        <v>9408.4258714452972</v>
      </c>
      <c r="G607" s="7">
        <v>6833.41</v>
      </c>
      <c r="H607" s="7">
        <v>8323.6683403229817</v>
      </c>
    </row>
    <row r="608" spans="1:8" x14ac:dyDescent="0.35">
      <c r="A608">
        <v>312770</v>
      </c>
      <c r="B608">
        <v>3127701</v>
      </c>
      <c r="C608" t="s">
        <v>69</v>
      </c>
      <c r="D608">
        <v>2021</v>
      </c>
      <c r="E608" s="7">
        <v>7225.09</v>
      </c>
      <c r="F608" s="8">
        <v>7996.2688714943042</v>
      </c>
      <c r="G608" s="7">
        <v>6778.98</v>
      </c>
      <c r="H608" s="7">
        <v>7502.5477475398511</v>
      </c>
    </row>
    <row r="609" spans="1:8" x14ac:dyDescent="0.35">
      <c r="A609">
        <v>312770</v>
      </c>
      <c r="B609">
        <v>3127701</v>
      </c>
      <c r="C609" t="s">
        <v>69</v>
      </c>
      <c r="D609">
        <v>2022</v>
      </c>
      <c r="E609" s="7">
        <v>11293.89</v>
      </c>
      <c r="F609" s="8">
        <v>11815.802115864934</v>
      </c>
      <c r="G609" s="7">
        <v>10699.97</v>
      </c>
      <c r="H609" s="7">
        <v>11194.431064493032</v>
      </c>
    </row>
    <row r="610" spans="1:8" x14ac:dyDescent="0.35">
      <c r="A610">
        <v>312770</v>
      </c>
      <c r="B610">
        <v>3127701</v>
      </c>
      <c r="C610" t="s">
        <v>69</v>
      </c>
      <c r="D610">
        <v>2023</v>
      </c>
      <c r="E610" s="7">
        <v>12457.44</v>
      </c>
      <c r="F610" s="8">
        <v>12457.44</v>
      </c>
      <c r="G610" s="7">
        <v>12084.71</v>
      </c>
      <c r="H610" s="7">
        <v>12084.709300022763</v>
      </c>
    </row>
    <row r="611" spans="1:8" x14ac:dyDescent="0.35">
      <c r="A611">
        <v>312770</v>
      </c>
      <c r="B611">
        <v>3127701</v>
      </c>
      <c r="C611" t="s">
        <v>69</v>
      </c>
      <c r="D611">
        <v>2024</v>
      </c>
      <c r="E611" s="7">
        <v>14011.3</v>
      </c>
      <c r="F611" s="8">
        <v>13365.582416872052</v>
      </c>
      <c r="G611" s="7">
        <v>14759.19</v>
      </c>
      <c r="H611" s="7">
        <v>14079.00137439438</v>
      </c>
    </row>
    <row r="612" spans="1:8" x14ac:dyDescent="0.35">
      <c r="A612">
        <v>312800</v>
      </c>
      <c r="B612">
        <v>3128006</v>
      </c>
      <c r="C612" t="s">
        <v>70</v>
      </c>
      <c r="D612">
        <v>2015</v>
      </c>
      <c r="E612" s="7">
        <v>10062.31</v>
      </c>
      <c r="F612" s="8">
        <v>15168.520766786032</v>
      </c>
      <c r="G612" s="7">
        <v>8845.09</v>
      </c>
      <c r="H612" s="7">
        <v>13333.615634560072</v>
      </c>
    </row>
    <row r="613" spans="1:8" x14ac:dyDescent="0.35">
      <c r="A613">
        <v>312800</v>
      </c>
      <c r="B613">
        <v>3128006</v>
      </c>
      <c r="C613" t="s">
        <v>70</v>
      </c>
      <c r="D613">
        <v>2016</v>
      </c>
      <c r="E613" s="7">
        <v>6700.31</v>
      </c>
      <c r="F613" s="8">
        <v>9502.901923006053</v>
      </c>
      <c r="G613" s="7">
        <v>8165.68</v>
      </c>
      <c r="H613" s="7">
        <v>11581.205056119314</v>
      </c>
    </row>
    <row r="614" spans="1:8" x14ac:dyDescent="0.35">
      <c r="A614">
        <v>312800</v>
      </c>
      <c r="B614">
        <v>3128006</v>
      </c>
      <c r="C614" t="s">
        <v>70</v>
      </c>
      <c r="D614">
        <v>2017</v>
      </c>
      <c r="E614" s="7">
        <v>8005.03</v>
      </c>
      <c r="F614" s="8">
        <v>11028.306860647703</v>
      </c>
      <c r="G614" s="7">
        <v>7562.58</v>
      </c>
      <c r="H614" s="7">
        <v>10418.752581115077</v>
      </c>
    </row>
    <row r="615" spans="1:8" x14ac:dyDescent="0.35">
      <c r="A615">
        <v>312800</v>
      </c>
      <c r="B615">
        <v>3128006</v>
      </c>
      <c r="C615" t="s">
        <v>70</v>
      </c>
      <c r="D615">
        <v>2018</v>
      </c>
      <c r="E615" s="7">
        <v>7406.19</v>
      </c>
      <c r="F615" s="8">
        <v>9834.9265168871971</v>
      </c>
      <c r="G615" s="7">
        <v>7337.29</v>
      </c>
      <c r="H615" s="7">
        <v>9743.4285759418453</v>
      </c>
    </row>
    <row r="616" spans="1:8" x14ac:dyDescent="0.35">
      <c r="A616">
        <v>312800</v>
      </c>
      <c r="B616">
        <v>3128006</v>
      </c>
      <c r="C616" t="s">
        <v>70</v>
      </c>
      <c r="D616">
        <v>2019</v>
      </c>
      <c r="E616" s="7">
        <v>7953.32</v>
      </c>
      <c r="F616" s="8">
        <v>10125.460975781212</v>
      </c>
      <c r="G616" s="7">
        <v>8407.25</v>
      </c>
      <c r="H616" s="7">
        <v>10703.370507133905</v>
      </c>
    </row>
    <row r="617" spans="1:8" x14ac:dyDescent="0.35">
      <c r="A617">
        <v>312800</v>
      </c>
      <c r="B617">
        <v>3128006</v>
      </c>
      <c r="C617" t="s">
        <v>70</v>
      </c>
      <c r="D617">
        <v>2020</v>
      </c>
      <c r="E617" s="7">
        <v>8893.31</v>
      </c>
      <c r="F617" s="8">
        <v>10832.805479940078</v>
      </c>
      <c r="G617" s="7">
        <v>6340.17</v>
      </c>
      <c r="H617" s="7">
        <v>7722.8665988641342</v>
      </c>
    </row>
    <row r="618" spans="1:8" x14ac:dyDescent="0.35">
      <c r="A618">
        <v>312800</v>
      </c>
      <c r="B618">
        <v>3128006</v>
      </c>
      <c r="C618" t="s">
        <v>70</v>
      </c>
      <c r="D618">
        <v>2021</v>
      </c>
      <c r="E618" s="7">
        <v>12160.8</v>
      </c>
      <c r="F618" s="8">
        <v>13458.797951647375</v>
      </c>
      <c r="G618" s="7">
        <v>10944.7</v>
      </c>
      <c r="H618" s="7">
        <v>12112.895538019013</v>
      </c>
    </row>
    <row r="619" spans="1:8" x14ac:dyDescent="0.35">
      <c r="A619">
        <v>312800</v>
      </c>
      <c r="B619">
        <v>3128006</v>
      </c>
      <c r="C619" t="s">
        <v>70</v>
      </c>
      <c r="D619">
        <v>2022</v>
      </c>
      <c r="E619" s="7">
        <v>15157.26</v>
      </c>
      <c r="F619" s="8">
        <v>15857.705784164264</v>
      </c>
      <c r="G619" s="7">
        <v>11517.4</v>
      </c>
      <c r="H619" s="7">
        <v>12049.640813831858</v>
      </c>
    </row>
    <row r="620" spans="1:8" x14ac:dyDescent="0.35">
      <c r="A620">
        <v>312800</v>
      </c>
      <c r="B620">
        <v>3128006</v>
      </c>
      <c r="C620" t="s">
        <v>70</v>
      </c>
      <c r="D620">
        <v>2023</v>
      </c>
      <c r="E620" s="7">
        <v>17713.509999999998</v>
      </c>
      <c r="F620" s="8">
        <v>17713.509999999998</v>
      </c>
      <c r="G620" s="7">
        <v>18866.72</v>
      </c>
      <c r="H620" s="7">
        <v>18866.717239747635</v>
      </c>
    </row>
    <row r="621" spans="1:8" x14ac:dyDescent="0.35">
      <c r="A621">
        <v>312800</v>
      </c>
      <c r="B621">
        <v>3128006</v>
      </c>
      <c r="C621" t="s">
        <v>70</v>
      </c>
      <c r="D621">
        <v>2024</v>
      </c>
      <c r="E621" s="7">
        <v>19253.93</v>
      </c>
      <c r="F621" s="8">
        <v>18366.6032604887</v>
      </c>
      <c r="G621" s="7">
        <v>25511.7</v>
      </c>
      <c r="H621" s="7">
        <v>24335.977977307197</v>
      </c>
    </row>
    <row r="622" spans="1:8" x14ac:dyDescent="0.35">
      <c r="A622">
        <v>312825</v>
      </c>
      <c r="B622">
        <v>3128253</v>
      </c>
      <c r="C622" t="s">
        <v>71</v>
      </c>
      <c r="D622">
        <v>2015</v>
      </c>
      <c r="E622" s="7">
        <v>6977.3</v>
      </c>
      <c r="F622" s="8">
        <v>10517.994371679682</v>
      </c>
      <c r="G622" s="7">
        <v>6822.31</v>
      </c>
      <c r="H622" s="7">
        <v>10284.360702940134</v>
      </c>
    </row>
    <row r="623" spans="1:8" x14ac:dyDescent="0.35">
      <c r="A623">
        <v>312825</v>
      </c>
      <c r="B623">
        <v>3128253</v>
      </c>
      <c r="C623" t="s">
        <v>71</v>
      </c>
      <c r="D623">
        <v>2016</v>
      </c>
      <c r="E623" s="7">
        <v>6606.54</v>
      </c>
      <c r="F623" s="8">
        <v>9369.9099997487283</v>
      </c>
      <c r="G623" s="7">
        <v>7429.39</v>
      </c>
      <c r="H623" s="7">
        <v>10536.938722515179</v>
      </c>
    </row>
    <row r="624" spans="1:8" x14ac:dyDescent="0.35">
      <c r="A624">
        <v>312825</v>
      </c>
      <c r="B624">
        <v>3128253</v>
      </c>
      <c r="C624" t="s">
        <v>71</v>
      </c>
      <c r="D624">
        <v>2017</v>
      </c>
      <c r="E624" s="7">
        <v>6950.01</v>
      </c>
      <c r="F624" s="8">
        <v>9574.8351929437049</v>
      </c>
      <c r="G624" s="7">
        <v>8092.05</v>
      </c>
      <c r="H624" s="7">
        <v>11148.186350026532</v>
      </c>
    </row>
    <row r="625" spans="1:8" x14ac:dyDescent="0.35">
      <c r="A625">
        <v>312825</v>
      </c>
      <c r="B625">
        <v>3128253</v>
      </c>
      <c r="C625" t="s">
        <v>71</v>
      </c>
      <c r="D625">
        <v>2018</v>
      </c>
      <c r="E625" s="7">
        <v>7705.39</v>
      </c>
      <c r="F625" s="8">
        <v>10232.244167913252</v>
      </c>
      <c r="G625" s="7">
        <v>9299.58</v>
      </c>
      <c r="H625" s="7">
        <v>12349.227921757525</v>
      </c>
    </row>
    <row r="626" spans="1:8" x14ac:dyDescent="0.35">
      <c r="A626">
        <v>312825</v>
      </c>
      <c r="B626">
        <v>3128253</v>
      </c>
      <c r="C626" t="s">
        <v>71</v>
      </c>
      <c r="D626">
        <v>2019</v>
      </c>
      <c r="E626" s="7">
        <v>6878.73</v>
      </c>
      <c r="F626" s="8">
        <v>8757.3883834594235</v>
      </c>
      <c r="G626" s="7">
        <v>8620</v>
      </c>
      <c r="H626" s="7">
        <v>10974.216639123104</v>
      </c>
    </row>
    <row r="627" spans="1:8" x14ac:dyDescent="0.35">
      <c r="A627">
        <v>312825</v>
      </c>
      <c r="B627">
        <v>3128253</v>
      </c>
      <c r="C627" t="s">
        <v>71</v>
      </c>
      <c r="D627">
        <v>2020</v>
      </c>
      <c r="E627" s="7">
        <v>7280.46</v>
      </c>
      <c r="F627" s="8">
        <v>8868.2174560972853</v>
      </c>
      <c r="G627" s="7">
        <v>8490.1200000000008</v>
      </c>
      <c r="H627" s="7">
        <v>10341.689430697799</v>
      </c>
    </row>
    <row r="628" spans="1:8" x14ac:dyDescent="0.35">
      <c r="A628">
        <v>312825</v>
      </c>
      <c r="B628">
        <v>3128253</v>
      </c>
      <c r="C628" t="s">
        <v>71</v>
      </c>
      <c r="D628">
        <v>2021</v>
      </c>
      <c r="E628" s="7">
        <v>7144.56</v>
      </c>
      <c r="F628" s="8">
        <v>7907.1434028535768</v>
      </c>
      <c r="G628" s="7">
        <v>8833.94</v>
      </c>
      <c r="H628" s="7">
        <v>9776.8460428840572</v>
      </c>
    </row>
    <row r="629" spans="1:8" x14ac:dyDescent="0.35">
      <c r="A629">
        <v>312825</v>
      </c>
      <c r="B629">
        <v>3128253</v>
      </c>
      <c r="C629" t="s">
        <v>71</v>
      </c>
      <c r="D629">
        <v>2022</v>
      </c>
      <c r="E629" s="7">
        <v>9747.5400000000009</v>
      </c>
      <c r="F629" s="8">
        <v>10197.992344221353</v>
      </c>
      <c r="G629" s="7">
        <v>12813.12</v>
      </c>
      <c r="H629" s="7">
        <v>13405.234475563942</v>
      </c>
    </row>
    <row r="630" spans="1:8" x14ac:dyDescent="0.35">
      <c r="A630">
        <v>312825</v>
      </c>
      <c r="B630">
        <v>3128253</v>
      </c>
      <c r="C630" t="s">
        <v>71</v>
      </c>
      <c r="D630">
        <v>2023</v>
      </c>
      <c r="E630" s="7">
        <v>12452.26</v>
      </c>
      <c r="F630" s="8">
        <v>12452.26</v>
      </c>
      <c r="G630" s="7">
        <v>18131.59</v>
      </c>
      <c r="H630" s="7">
        <v>18131.592519915517</v>
      </c>
    </row>
    <row r="631" spans="1:8" x14ac:dyDescent="0.35">
      <c r="A631">
        <v>312825</v>
      </c>
      <c r="B631">
        <v>3128253</v>
      </c>
      <c r="C631" t="s">
        <v>71</v>
      </c>
      <c r="D631">
        <v>2024</v>
      </c>
      <c r="E631" s="7">
        <v>13975.94</v>
      </c>
      <c r="F631" s="8">
        <v>13331.851999690163</v>
      </c>
      <c r="G631" s="7">
        <v>17082.45</v>
      </c>
      <c r="H631" s="7">
        <v>16295.192720767212</v>
      </c>
    </row>
    <row r="632" spans="1:8" x14ac:dyDescent="0.35">
      <c r="A632">
        <v>312965</v>
      </c>
      <c r="B632">
        <v>3129657</v>
      </c>
      <c r="C632" t="s">
        <v>72</v>
      </c>
      <c r="D632">
        <v>2015</v>
      </c>
      <c r="E632" s="7">
        <v>6326.74</v>
      </c>
      <c r="F632" s="8">
        <v>9537.301780213078</v>
      </c>
      <c r="G632" s="7">
        <v>9040</v>
      </c>
      <c r="H632" s="7">
        <v>13627.428399054448</v>
      </c>
    </row>
    <row r="633" spans="1:8" x14ac:dyDescent="0.35">
      <c r="A633">
        <v>312965</v>
      </c>
      <c r="B633">
        <v>3129657</v>
      </c>
      <c r="C633" t="s">
        <v>72</v>
      </c>
      <c r="D633">
        <v>2016</v>
      </c>
      <c r="E633" s="7">
        <v>6796.01</v>
      </c>
      <c r="F633" s="8">
        <v>9638.6311227045262</v>
      </c>
      <c r="G633" s="7">
        <v>9262.56</v>
      </c>
      <c r="H633" s="7">
        <v>13136.884602688746</v>
      </c>
    </row>
    <row r="634" spans="1:8" x14ac:dyDescent="0.35">
      <c r="A634">
        <v>312965</v>
      </c>
      <c r="B634">
        <v>3129657</v>
      </c>
      <c r="C634" t="s">
        <v>72</v>
      </c>
      <c r="D634">
        <v>2017</v>
      </c>
      <c r="E634" s="7">
        <v>7142.69</v>
      </c>
      <c r="F634" s="8">
        <v>9840.285062077186</v>
      </c>
      <c r="G634" s="7">
        <v>12007.52</v>
      </c>
      <c r="H634" s="7">
        <v>16542.424135215526</v>
      </c>
    </row>
    <row r="635" spans="1:8" x14ac:dyDescent="0.35">
      <c r="A635">
        <v>312965</v>
      </c>
      <c r="B635">
        <v>3129657</v>
      </c>
      <c r="C635" t="s">
        <v>72</v>
      </c>
      <c r="D635">
        <v>2018</v>
      </c>
      <c r="E635" s="7">
        <v>6142.77</v>
      </c>
      <c r="F635" s="8">
        <v>8157.1889946300553</v>
      </c>
      <c r="G635" s="7">
        <v>11194.24</v>
      </c>
      <c r="H635" s="7">
        <v>14865.205999669799</v>
      </c>
    </row>
    <row r="636" spans="1:8" x14ac:dyDescent="0.35">
      <c r="A636">
        <v>312965</v>
      </c>
      <c r="B636">
        <v>3129657</v>
      </c>
      <c r="C636" t="s">
        <v>72</v>
      </c>
      <c r="D636">
        <v>2019</v>
      </c>
      <c r="E636" s="7">
        <v>7440.08</v>
      </c>
      <c r="F636" s="8">
        <v>9472.0493701611776</v>
      </c>
      <c r="G636" s="7">
        <v>13139.69</v>
      </c>
      <c r="H636" s="7">
        <v>16728.290646011294</v>
      </c>
    </row>
    <row r="637" spans="1:8" x14ac:dyDescent="0.35">
      <c r="A637">
        <v>312965</v>
      </c>
      <c r="B637">
        <v>3129657</v>
      </c>
      <c r="C637" t="s">
        <v>72</v>
      </c>
      <c r="D637">
        <v>2020</v>
      </c>
      <c r="E637" s="7">
        <v>6516.87</v>
      </c>
      <c r="F637" s="8">
        <v>7938.1001053665168</v>
      </c>
      <c r="G637" s="7">
        <v>11335.45</v>
      </c>
      <c r="H637" s="7">
        <v>13807.542246896059</v>
      </c>
    </row>
    <row r="638" spans="1:8" x14ac:dyDescent="0.35">
      <c r="A638">
        <v>312965</v>
      </c>
      <c r="B638">
        <v>3129657</v>
      </c>
      <c r="C638" t="s">
        <v>72</v>
      </c>
      <c r="D638">
        <v>2021</v>
      </c>
      <c r="E638" s="7">
        <v>10665.84</v>
      </c>
      <c r="F638" s="8">
        <v>11804.271556525775</v>
      </c>
      <c r="G638" s="7">
        <v>10867.71</v>
      </c>
      <c r="H638" s="7">
        <v>12027.691535526741</v>
      </c>
    </row>
    <row r="639" spans="1:8" x14ac:dyDescent="0.35">
      <c r="A639">
        <v>312965</v>
      </c>
      <c r="B639">
        <v>3129657</v>
      </c>
      <c r="C639" t="s">
        <v>72</v>
      </c>
      <c r="D639">
        <v>2022</v>
      </c>
      <c r="E639" s="7">
        <v>12485.5</v>
      </c>
      <c r="F639" s="8">
        <v>13062.47867808449</v>
      </c>
      <c r="G639" s="7">
        <v>16381.13</v>
      </c>
      <c r="H639" s="7">
        <v>17138.131814468172</v>
      </c>
    </row>
    <row r="640" spans="1:8" x14ac:dyDescent="0.35">
      <c r="A640">
        <v>312965</v>
      </c>
      <c r="B640">
        <v>3129657</v>
      </c>
      <c r="C640" t="s">
        <v>72</v>
      </c>
      <c r="D640">
        <v>2023</v>
      </c>
      <c r="E640" s="7">
        <v>14848.5</v>
      </c>
      <c r="F640" s="8">
        <v>14848.5</v>
      </c>
      <c r="G640" s="7">
        <v>22251.119999999999</v>
      </c>
      <c r="H640" s="7">
        <v>22251.124697226969</v>
      </c>
    </row>
    <row r="641" spans="1:8" x14ac:dyDescent="0.35">
      <c r="A641">
        <v>312965</v>
      </c>
      <c r="B641">
        <v>3129657</v>
      </c>
      <c r="C641" t="s">
        <v>72</v>
      </c>
      <c r="D641">
        <v>2024</v>
      </c>
      <c r="E641" s="7">
        <v>15984.74</v>
      </c>
      <c r="F641" s="8">
        <v>15248.075473530034</v>
      </c>
      <c r="G641" s="7">
        <v>21004.71</v>
      </c>
      <c r="H641" s="7">
        <v>20036.693736211484</v>
      </c>
    </row>
    <row r="642" spans="1:8" x14ac:dyDescent="0.35">
      <c r="A642">
        <v>313005</v>
      </c>
      <c r="B642">
        <v>3130051</v>
      </c>
      <c r="C642" t="s">
        <v>73</v>
      </c>
      <c r="D642">
        <v>2015</v>
      </c>
      <c r="E642" s="7">
        <v>6687.09</v>
      </c>
      <c r="F642" s="8">
        <v>10080.514666549452</v>
      </c>
      <c r="G642" s="7">
        <v>7827.48</v>
      </c>
      <c r="H642" s="7">
        <v>11799.601142103829</v>
      </c>
    </row>
    <row r="643" spans="1:8" x14ac:dyDescent="0.35">
      <c r="A643">
        <v>313005</v>
      </c>
      <c r="B643">
        <v>3130051</v>
      </c>
      <c r="C643" t="s">
        <v>73</v>
      </c>
      <c r="D643">
        <v>2016</v>
      </c>
      <c r="E643" s="7">
        <v>6075.13</v>
      </c>
      <c r="F643" s="8">
        <v>8616.2229149862851</v>
      </c>
      <c r="G643" s="7">
        <v>10004.77</v>
      </c>
      <c r="H643" s="7">
        <v>14189.551518875694</v>
      </c>
    </row>
    <row r="644" spans="1:8" x14ac:dyDescent="0.35">
      <c r="A644">
        <v>313005</v>
      </c>
      <c r="B644">
        <v>3130051</v>
      </c>
      <c r="C644" t="s">
        <v>73</v>
      </c>
      <c r="D644">
        <v>2017</v>
      </c>
      <c r="E644" s="7">
        <v>6738.29</v>
      </c>
      <c r="F644" s="8">
        <v>9283.1544461462108</v>
      </c>
      <c r="G644" s="7">
        <v>9636.74</v>
      </c>
      <c r="H644" s="7">
        <v>13276.274979466198</v>
      </c>
    </row>
    <row r="645" spans="1:8" x14ac:dyDescent="0.35">
      <c r="A645">
        <v>313005</v>
      </c>
      <c r="B645">
        <v>3130051</v>
      </c>
      <c r="C645" t="s">
        <v>73</v>
      </c>
      <c r="D645">
        <v>2018</v>
      </c>
      <c r="E645" s="7">
        <v>4368.76</v>
      </c>
      <c r="F645" s="8">
        <v>5801.4219956436591</v>
      </c>
      <c r="G645" s="7">
        <v>7429.35</v>
      </c>
      <c r="H645" s="7">
        <v>9865.6758341073619</v>
      </c>
    </row>
    <row r="646" spans="1:8" x14ac:dyDescent="0.35">
      <c r="A646">
        <v>313005</v>
      </c>
      <c r="B646">
        <v>3130051</v>
      </c>
      <c r="C646" t="s">
        <v>73</v>
      </c>
      <c r="D646">
        <v>2019</v>
      </c>
      <c r="E646" s="7">
        <v>5502.97</v>
      </c>
      <c r="F646" s="8">
        <v>7005.8928832103757</v>
      </c>
      <c r="G646" s="7">
        <v>8558.3799999999992</v>
      </c>
      <c r="H646" s="7">
        <v>10895.774416299548</v>
      </c>
    </row>
    <row r="647" spans="1:8" x14ac:dyDescent="0.35">
      <c r="A647">
        <v>313005</v>
      </c>
      <c r="B647">
        <v>3130051</v>
      </c>
      <c r="C647" t="s">
        <v>73</v>
      </c>
      <c r="D647">
        <v>2020</v>
      </c>
      <c r="E647" s="7">
        <v>5050.6899999999996</v>
      </c>
      <c r="F647" s="8">
        <v>6152.1685749713606</v>
      </c>
      <c r="G647" s="7">
        <v>5560.16</v>
      </c>
      <c r="H647" s="7">
        <v>6772.7481068410953</v>
      </c>
    </row>
    <row r="648" spans="1:8" x14ac:dyDescent="0.35">
      <c r="A648">
        <v>313005</v>
      </c>
      <c r="B648">
        <v>3130051</v>
      </c>
      <c r="C648" t="s">
        <v>73</v>
      </c>
      <c r="D648">
        <v>2021</v>
      </c>
      <c r="E648" s="7">
        <v>6597.12</v>
      </c>
      <c r="F648" s="8">
        <v>7301.2717208384256</v>
      </c>
      <c r="G648" s="7">
        <v>6422.98</v>
      </c>
      <c r="H648" s="7">
        <v>7108.546018097104</v>
      </c>
    </row>
    <row r="649" spans="1:8" x14ac:dyDescent="0.35">
      <c r="A649">
        <v>313005</v>
      </c>
      <c r="B649">
        <v>3130051</v>
      </c>
      <c r="C649" t="s">
        <v>73</v>
      </c>
      <c r="D649">
        <v>2022</v>
      </c>
      <c r="E649" s="7">
        <v>10520.67</v>
      </c>
      <c r="F649" s="8">
        <v>11006.85015050764</v>
      </c>
      <c r="G649" s="7">
        <v>14063.55</v>
      </c>
      <c r="H649" s="7">
        <v>14713.455921721219</v>
      </c>
    </row>
    <row r="650" spans="1:8" x14ac:dyDescent="0.35">
      <c r="A650">
        <v>313005</v>
      </c>
      <c r="B650">
        <v>3130051</v>
      </c>
      <c r="C650" t="s">
        <v>73</v>
      </c>
      <c r="D650">
        <v>2023</v>
      </c>
      <c r="E650" s="7">
        <v>9667.7900000000009</v>
      </c>
      <c r="F650" s="8">
        <v>9667.7900000000009</v>
      </c>
      <c r="G650" s="7">
        <v>22174.959999999999</v>
      </c>
      <c r="H650" s="7">
        <v>22174.961071631529</v>
      </c>
    </row>
    <row r="651" spans="1:8" x14ac:dyDescent="0.35">
      <c r="A651">
        <v>313005</v>
      </c>
      <c r="B651">
        <v>3130051</v>
      </c>
      <c r="C651" t="s">
        <v>73</v>
      </c>
      <c r="D651">
        <v>2024</v>
      </c>
      <c r="E651" s="7">
        <v>14303.67</v>
      </c>
      <c r="F651" s="8">
        <v>13644.478403056124</v>
      </c>
      <c r="G651" s="7">
        <v>23553.89</v>
      </c>
      <c r="H651" s="7">
        <v>22468.397088382932</v>
      </c>
    </row>
    <row r="652" spans="1:8" x14ac:dyDescent="0.35">
      <c r="A652">
        <v>313055</v>
      </c>
      <c r="B652">
        <v>3130556</v>
      </c>
      <c r="C652" t="s">
        <v>74</v>
      </c>
      <c r="D652">
        <v>2015</v>
      </c>
      <c r="E652" s="7">
        <v>4103.93</v>
      </c>
      <c r="F652" s="8">
        <v>6186.5066202925782</v>
      </c>
      <c r="G652" s="7">
        <v>4827.22</v>
      </c>
      <c r="H652" s="7">
        <v>7276.8397999986946</v>
      </c>
    </row>
    <row r="653" spans="1:8" x14ac:dyDescent="0.35">
      <c r="A653">
        <v>313055</v>
      </c>
      <c r="B653">
        <v>3130556</v>
      </c>
      <c r="C653" t="s">
        <v>74</v>
      </c>
      <c r="D653">
        <v>2016</v>
      </c>
      <c r="E653" s="7">
        <v>4490.21</v>
      </c>
      <c r="F653" s="8">
        <v>6368.3658284021194</v>
      </c>
      <c r="G653" s="7">
        <v>5511.32</v>
      </c>
      <c r="H653" s="7">
        <v>7816.5879165056231</v>
      </c>
    </row>
    <row r="654" spans="1:8" x14ac:dyDescent="0.35">
      <c r="A654">
        <v>313055</v>
      </c>
      <c r="B654">
        <v>3130556</v>
      </c>
      <c r="C654" t="s">
        <v>74</v>
      </c>
      <c r="D654">
        <v>2017</v>
      </c>
      <c r="E654" s="7">
        <v>5434.48</v>
      </c>
      <c r="F654" s="8">
        <v>7486.9317251843804</v>
      </c>
      <c r="G654" s="7">
        <v>6012.98</v>
      </c>
      <c r="H654" s="7">
        <v>8283.9185666026679</v>
      </c>
    </row>
    <row r="655" spans="1:8" x14ac:dyDescent="0.35">
      <c r="A655">
        <v>313055</v>
      </c>
      <c r="B655">
        <v>3130556</v>
      </c>
      <c r="C655" t="s">
        <v>74</v>
      </c>
      <c r="D655">
        <v>2018</v>
      </c>
      <c r="E655" s="7">
        <v>5407.06</v>
      </c>
      <c r="F655" s="8">
        <v>7180.215167636813</v>
      </c>
      <c r="G655" s="7">
        <v>6268.47</v>
      </c>
      <c r="H655" s="7">
        <v>8324.1149573237926</v>
      </c>
    </row>
    <row r="656" spans="1:8" x14ac:dyDescent="0.35">
      <c r="A656">
        <v>313055</v>
      </c>
      <c r="B656">
        <v>3130556</v>
      </c>
      <c r="C656" t="s">
        <v>74</v>
      </c>
      <c r="D656">
        <v>2019</v>
      </c>
      <c r="E656" s="7">
        <v>5830.59</v>
      </c>
      <c r="F656" s="8">
        <v>7422.9895830647056</v>
      </c>
      <c r="G656" s="7">
        <v>7549.36</v>
      </c>
      <c r="H656" s="7">
        <v>9611.1730810705194</v>
      </c>
    </row>
    <row r="657" spans="1:8" x14ac:dyDescent="0.35">
      <c r="A657">
        <v>313055</v>
      </c>
      <c r="B657">
        <v>3130556</v>
      </c>
      <c r="C657" t="s">
        <v>74</v>
      </c>
      <c r="D657">
        <v>2020</v>
      </c>
      <c r="E657" s="7">
        <v>5697.98</v>
      </c>
      <c r="F657" s="8">
        <v>6940.6226667673754</v>
      </c>
      <c r="G657" s="7">
        <v>6327.28</v>
      </c>
      <c r="H657" s="7">
        <v>7707.1686074073523</v>
      </c>
    </row>
    <row r="658" spans="1:8" x14ac:dyDescent="0.35">
      <c r="A658">
        <v>313055</v>
      </c>
      <c r="B658">
        <v>3130556</v>
      </c>
      <c r="C658" t="s">
        <v>74</v>
      </c>
      <c r="D658">
        <v>2021</v>
      </c>
      <c r="E658" s="7">
        <v>7440.93</v>
      </c>
      <c r="F658" s="8">
        <v>8235.1468194815734</v>
      </c>
      <c r="G658" s="7">
        <v>9629.51</v>
      </c>
      <c r="H658" s="7">
        <v>10657.332721468672</v>
      </c>
    </row>
    <row r="659" spans="1:8" x14ac:dyDescent="0.35">
      <c r="A659">
        <v>313055</v>
      </c>
      <c r="B659">
        <v>3130556</v>
      </c>
      <c r="C659" t="s">
        <v>74</v>
      </c>
      <c r="D659">
        <v>2022</v>
      </c>
      <c r="E659" s="7">
        <v>8525.42</v>
      </c>
      <c r="F659" s="8">
        <v>8919.3958569312454</v>
      </c>
      <c r="G659" s="7">
        <v>14116.78</v>
      </c>
      <c r="H659" s="7">
        <v>14769.146375445156</v>
      </c>
    </row>
    <row r="660" spans="1:8" x14ac:dyDescent="0.35">
      <c r="A660">
        <v>313055</v>
      </c>
      <c r="B660">
        <v>3130556</v>
      </c>
      <c r="C660" t="s">
        <v>74</v>
      </c>
      <c r="D660">
        <v>2023</v>
      </c>
      <c r="E660" s="7">
        <v>10027.94</v>
      </c>
      <c r="F660" s="8">
        <v>10027.94</v>
      </c>
      <c r="G660" s="7">
        <v>16142.44</v>
      </c>
      <c r="H660" s="7">
        <v>16142.44323759791</v>
      </c>
    </row>
    <row r="661" spans="1:8" x14ac:dyDescent="0.35">
      <c r="A661">
        <v>313055</v>
      </c>
      <c r="B661">
        <v>3130556</v>
      </c>
      <c r="C661" t="s">
        <v>74</v>
      </c>
      <c r="D661">
        <v>2024</v>
      </c>
      <c r="E661" s="7">
        <v>14127.08</v>
      </c>
      <c r="F661" s="8">
        <v>13476.026639194424</v>
      </c>
      <c r="G661" s="7">
        <v>14944.47</v>
      </c>
      <c r="H661" s="7">
        <v>14255.750934727037</v>
      </c>
    </row>
    <row r="662" spans="1:8" x14ac:dyDescent="0.35">
      <c r="A662">
        <v>313065</v>
      </c>
      <c r="B662">
        <v>3130655</v>
      </c>
      <c r="C662" t="s">
        <v>75</v>
      </c>
      <c r="D662">
        <v>2015</v>
      </c>
      <c r="E662" s="7">
        <v>6548.6</v>
      </c>
      <c r="F662" s="8">
        <v>9871.7466559244367</v>
      </c>
      <c r="G662" s="7">
        <v>7394.53</v>
      </c>
      <c r="H662" s="7">
        <v>11146.945125602484</v>
      </c>
    </row>
    <row r="663" spans="1:8" x14ac:dyDescent="0.35">
      <c r="A663">
        <v>313065</v>
      </c>
      <c r="B663">
        <v>3130655</v>
      </c>
      <c r="C663" t="s">
        <v>75</v>
      </c>
      <c r="D663">
        <v>2016</v>
      </c>
      <c r="E663" s="7">
        <v>6680.76</v>
      </c>
      <c r="F663" s="8">
        <v>9475.174589107357</v>
      </c>
      <c r="G663" s="7">
        <v>9281.35</v>
      </c>
      <c r="H663" s="7">
        <v>13163.538428114734</v>
      </c>
    </row>
    <row r="664" spans="1:8" x14ac:dyDescent="0.35">
      <c r="A664">
        <v>313065</v>
      </c>
      <c r="B664">
        <v>3130655</v>
      </c>
      <c r="C664" t="s">
        <v>75</v>
      </c>
      <c r="D664">
        <v>2017</v>
      </c>
      <c r="E664" s="7">
        <v>5856.96</v>
      </c>
      <c r="F664" s="8">
        <v>8068.9706535189953</v>
      </c>
      <c r="G664" s="7">
        <v>8138.11</v>
      </c>
      <c r="H664" s="7">
        <v>11211.654078568261</v>
      </c>
    </row>
    <row r="665" spans="1:8" x14ac:dyDescent="0.35">
      <c r="A665">
        <v>313065</v>
      </c>
      <c r="B665">
        <v>3130655</v>
      </c>
      <c r="C665" t="s">
        <v>75</v>
      </c>
      <c r="D665">
        <v>2018</v>
      </c>
      <c r="E665" s="7">
        <v>6360.51</v>
      </c>
      <c r="F665" s="8">
        <v>8446.3331969509545</v>
      </c>
      <c r="G665" s="7">
        <v>8232.98</v>
      </c>
      <c r="H665" s="7">
        <v>10932.851085500548</v>
      </c>
    </row>
    <row r="666" spans="1:8" x14ac:dyDescent="0.35">
      <c r="A666">
        <v>313065</v>
      </c>
      <c r="B666">
        <v>3130655</v>
      </c>
      <c r="C666" t="s">
        <v>75</v>
      </c>
      <c r="D666">
        <v>2019</v>
      </c>
      <c r="E666" s="7">
        <v>7019.5</v>
      </c>
      <c r="F666" s="8">
        <v>8936.6042507400962</v>
      </c>
      <c r="G666" s="7">
        <v>10083.75</v>
      </c>
      <c r="H666" s="7">
        <v>12837.733561465773</v>
      </c>
    </row>
    <row r="667" spans="1:8" x14ac:dyDescent="0.35">
      <c r="A667">
        <v>313065</v>
      </c>
      <c r="B667">
        <v>3130655</v>
      </c>
      <c r="C667" t="s">
        <v>75</v>
      </c>
      <c r="D667">
        <v>2020</v>
      </c>
      <c r="E667" s="7">
        <v>8829.81</v>
      </c>
      <c r="F667" s="8">
        <v>10755.457096944749</v>
      </c>
      <c r="G667" s="7">
        <v>9815.6299999999992</v>
      </c>
      <c r="H667" s="7">
        <v>11956.273638993413</v>
      </c>
    </row>
    <row r="668" spans="1:8" x14ac:dyDescent="0.35">
      <c r="A668">
        <v>313065</v>
      </c>
      <c r="B668">
        <v>3130655</v>
      </c>
      <c r="C668" t="s">
        <v>75</v>
      </c>
      <c r="D668">
        <v>2021</v>
      </c>
      <c r="E668" s="7">
        <v>11053.08</v>
      </c>
      <c r="F668" s="8">
        <v>12232.844094417684</v>
      </c>
      <c r="G668" s="7">
        <v>12018.3</v>
      </c>
      <c r="H668" s="7">
        <v>13301.090159835487</v>
      </c>
    </row>
    <row r="669" spans="1:8" x14ac:dyDescent="0.35">
      <c r="A669">
        <v>313065</v>
      </c>
      <c r="B669">
        <v>3130655</v>
      </c>
      <c r="C669" t="s">
        <v>75</v>
      </c>
      <c r="D669">
        <v>2022</v>
      </c>
      <c r="E669" s="7">
        <v>12465.98</v>
      </c>
      <c r="F669" s="8">
        <v>13042.056621795497</v>
      </c>
      <c r="G669" s="7">
        <v>20436.060000000001</v>
      </c>
      <c r="H669" s="7">
        <v>21380.447162690096</v>
      </c>
    </row>
    <row r="670" spans="1:8" x14ac:dyDescent="0.35">
      <c r="A670">
        <v>313065</v>
      </c>
      <c r="B670">
        <v>3130655</v>
      </c>
      <c r="C670" t="s">
        <v>75</v>
      </c>
      <c r="D670">
        <v>2023</v>
      </c>
      <c r="E670" s="7">
        <v>14482.31</v>
      </c>
      <c r="F670" s="8">
        <v>14482.31</v>
      </c>
      <c r="G670" s="7">
        <v>23739.86</v>
      </c>
      <c r="H670" s="7">
        <v>23739.863805208042</v>
      </c>
    </row>
    <row r="671" spans="1:8" x14ac:dyDescent="0.35">
      <c r="A671">
        <v>313065</v>
      </c>
      <c r="B671">
        <v>3130655</v>
      </c>
      <c r="C671" t="s">
        <v>75</v>
      </c>
      <c r="D671">
        <v>2024</v>
      </c>
      <c r="E671" s="7">
        <v>14729.4</v>
      </c>
      <c r="F671" s="8">
        <v>14050.588428702205</v>
      </c>
      <c r="G671" s="7">
        <v>23739.82</v>
      </c>
      <c r="H671" s="7">
        <v>22645.760805834114</v>
      </c>
    </row>
    <row r="672" spans="1:8" x14ac:dyDescent="0.35">
      <c r="A672">
        <v>313090</v>
      </c>
      <c r="B672">
        <v>3130903</v>
      </c>
      <c r="C672" t="s">
        <v>76</v>
      </c>
      <c r="D672">
        <v>2015</v>
      </c>
      <c r="E672" s="7">
        <v>6697.56</v>
      </c>
      <c r="F672" s="8">
        <v>10096.297763316323</v>
      </c>
      <c r="G672" s="7">
        <v>5760.39</v>
      </c>
      <c r="H672" s="7">
        <v>8683.5470710690843</v>
      </c>
    </row>
    <row r="673" spans="1:8" x14ac:dyDescent="0.35">
      <c r="A673">
        <v>313090</v>
      </c>
      <c r="B673">
        <v>3130903</v>
      </c>
      <c r="C673" t="s">
        <v>76</v>
      </c>
      <c r="D673">
        <v>2016</v>
      </c>
      <c r="E673" s="7">
        <v>6064.56</v>
      </c>
      <c r="F673" s="8">
        <v>8601.2317170676561</v>
      </c>
      <c r="G673" s="7">
        <v>7818.73</v>
      </c>
      <c r="H673" s="7">
        <v>11089.129890560636</v>
      </c>
    </row>
    <row r="674" spans="1:8" x14ac:dyDescent="0.35">
      <c r="A674">
        <v>313090</v>
      </c>
      <c r="B674">
        <v>3130903</v>
      </c>
      <c r="C674" t="s">
        <v>76</v>
      </c>
      <c r="D674">
        <v>2017</v>
      </c>
      <c r="E674" s="7">
        <v>4894.51</v>
      </c>
      <c r="F674" s="8">
        <v>6743.0300963904929</v>
      </c>
      <c r="G674" s="7">
        <v>6293.92</v>
      </c>
      <c r="H674" s="7">
        <v>8670.9585123307224</v>
      </c>
    </row>
    <row r="675" spans="1:8" x14ac:dyDescent="0.35">
      <c r="A675">
        <v>313090</v>
      </c>
      <c r="B675">
        <v>3130903</v>
      </c>
      <c r="C675" t="s">
        <v>76</v>
      </c>
      <c r="D675">
        <v>2018</v>
      </c>
      <c r="E675" s="7">
        <v>5238.59</v>
      </c>
      <c r="F675" s="8">
        <v>6956.4982402693022</v>
      </c>
      <c r="G675" s="7">
        <v>5313.6</v>
      </c>
      <c r="H675" s="7">
        <v>7056.1061927423734</v>
      </c>
    </row>
    <row r="676" spans="1:8" x14ac:dyDescent="0.35">
      <c r="A676">
        <v>313090</v>
      </c>
      <c r="B676">
        <v>3130903</v>
      </c>
      <c r="C676" t="s">
        <v>76</v>
      </c>
      <c r="D676">
        <v>2019</v>
      </c>
      <c r="E676" s="7">
        <v>6582.35</v>
      </c>
      <c r="F676" s="8">
        <v>8380.063678304592</v>
      </c>
      <c r="G676" s="7">
        <v>8151.36</v>
      </c>
      <c r="H676" s="7">
        <v>10377.587271609646</v>
      </c>
    </row>
    <row r="677" spans="1:8" x14ac:dyDescent="0.35">
      <c r="A677">
        <v>313090</v>
      </c>
      <c r="B677">
        <v>3130903</v>
      </c>
      <c r="C677" t="s">
        <v>76</v>
      </c>
      <c r="D677">
        <v>2020</v>
      </c>
      <c r="E677" s="7">
        <v>7658.08</v>
      </c>
      <c r="F677" s="8">
        <v>9328.1906275413221</v>
      </c>
      <c r="G677" s="7">
        <v>5921.04</v>
      </c>
      <c r="H677" s="7">
        <v>7212.3231287110993</v>
      </c>
    </row>
    <row r="678" spans="1:8" x14ac:dyDescent="0.35">
      <c r="A678">
        <v>313090</v>
      </c>
      <c r="B678">
        <v>3130903</v>
      </c>
      <c r="C678" t="s">
        <v>76</v>
      </c>
      <c r="D678">
        <v>2021</v>
      </c>
      <c r="E678" s="7">
        <v>8711.7000000000007</v>
      </c>
      <c r="F678" s="8">
        <v>9641.5540190913798</v>
      </c>
      <c r="G678" s="7">
        <v>7618.92</v>
      </c>
      <c r="H678" s="7">
        <v>8432.1302616018766</v>
      </c>
    </row>
    <row r="679" spans="1:8" x14ac:dyDescent="0.35">
      <c r="A679">
        <v>313090</v>
      </c>
      <c r="B679">
        <v>3130903</v>
      </c>
      <c r="C679" t="s">
        <v>76</v>
      </c>
      <c r="D679">
        <v>2022</v>
      </c>
      <c r="E679" s="7">
        <v>13053.35</v>
      </c>
      <c r="F679" s="8">
        <v>13656.570105528346</v>
      </c>
      <c r="G679" s="7">
        <v>9505.2099999999991</v>
      </c>
      <c r="H679" s="7">
        <v>9944.4688695901314</v>
      </c>
    </row>
    <row r="680" spans="1:8" x14ac:dyDescent="0.35">
      <c r="A680">
        <v>313090</v>
      </c>
      <c r="B680">
        <v>3130903</v>
      </c>
      <c r="C680" t="s">
        <v>76</v>
      </c>
      <c r="D680">
        <v>2023</v>
      </c>
      <c r="E680" s="7">
        <v>9063.2000000000007</v>
      </c>
      <c r="F680" s="8">
        <v>9063.2000000000007</v>
      </c>
      <c r="G680" s="7">
        <v>11162.47</v>
      </c>
      <c r="H680" s="7">
        <v>11162.470834350297</v>
      </c>
    </row>
    <row r="681" spans="1:8" x14ac:dyDescent="0.35">
      <c r="A681">
        <v>313090</v>
      </c>
      <c r="B681">
        <v>3130903</v>
      </c>
      <c r="C681" t="s">
        <v>76</v>
      </c>
      <c r="D681">
        <v>2024</v>
      </c>
      <c r="E681" s="7">
        <v>15922.8</v>
      </c>
      <c r="F681" s="8">
        <v>15188.990008590945</v>
      </c>
      <c r="G681" s="7">
        <v>17552.72</v>
      </c>
      <c r="H681" s="7">
        <v>16743.796046544743</v>
      </c>
    </row>
    <row r="682" spans="1:8" x14ac:dyDescent="0.35">
      <c r="A682">
        <v>313110</v>
      </c>
      <c r="B682">
        <v>3131109</v>
      </c>
      <c r="C682" t="s">
        <v>77</v>
      </c>
      <c r="D682">
        <v>2015</v>
      </c>
      <c r="E682" s="7">
        <v>5053.62</v>
      </c>
      <c r="F682" s="8">
        <v>7618.1254520527818</v>
      </c>
      <c r="G682" s="7">
        <v>8747.42</v>
      </c>
      <c r="H682" s="7">
        <v>13186.377716970763</v>
      </c>
    </row>
    <row r="683" spans="1:8" x14ac:dyDescent="0.35">
      <c r="A683">
        <v>313110</v>
      </c>
      <c r="B683">
        <v>3131109</v>
      </c>
      <c r="C683" t="s">
        <v>77</v>
      </c>
      <c r="D683">
        <v>2016</v>
      </c>
      <c r="E683" s="7">
        <v>6108.28</v>
      </c>
      <c r="F683" s="8">
        <v>8663.2388289884202</v>
      </c>
      <c r="G683" s="7">
        <v>10837.55</v>
      </c>
      <c r="H683" s="7">
        <v>15370.658539136171</v>
      </c>
    </row>
    <row r="684" spans="1:8" x14ac:dyDescent="0.35">
      <c r="A684">
        <v>313110</v>
      </c>
      <c r="B684">
        <v>3131109</v>
      </c>
      <c r="C684" t="s">
        <v>77</v>
      </c>
      <c r="D684">
        <v>2017</v>
      </c>
      <c r="E684" s="7">
        <v>8602.76</v>
      </c>
      <c r="F684" s="8">
        <v>11851.782832607201</v>
      </c>
      <c r="G684" s="7">
        <v>10775.25</v>
      </c>
      <c r="H684" s="7">
        <v>14844.767796475317</v>
      </c>
    </row>
    <row r="685" spans="1:8" x14ac:dyDescent="0.35">
      <c r="A685">
        <v>313110</v>
      </c>
      <c r="B685">
        <v>3131109</v>
      </c>
      <c r="C685" t="s">
        <v>77</v>
      </c>
      <c r="D685">
        <v>2018</v>
      </c>
      <c r="E685" s="7">
        <v>7575.48</v>
      </c>
      <c r="F685" s="8">
        <v>10059.732349581716</v>
      </c>
      <c r="G685" s="7">
        <v>10626.98</v>
      </c>
      <c r="H685" s="7">
        <v>14111.924443819356</v>
      </c>
    </row>
    <row r="686" spans="1:8" x14ac:dyDescent="0.35">
      <c r="A686">
        <v>313110</v>
      </c>
      <c r="B686">
        <v>3131109</v>
      </c>
      <c r="C686" t="s">
        <v>77</v>
      </c>
      <c r="D686">
        <v>2019</v>
      </c>
      <c r="E686" s="7">
        <v>10178.280000000001</v>
      </c>
      <c r="F686" s="8">
        <v>12958.082529129271</v>
      </c>
      <c r="G686" s="7">
        <v>12959.94</v>
      </c>
      <c r="H686" s="7">
        <v>16499.44275259598</v>
      </c>
    </row>
    <row r="687" spans="1:8" x14ac:dyDescent="0.35">
      <c r="A687">
        <v>313110</v>
      </c>
      <c r="B687">
        <v>3131109</v>
      </c>
      <c r="C687" t="s">
        <v>77</v>
      </c>
      <c r="D687">
        <v>2020</v>
      </c>
      <c r="E687" s="7">
        <v>8720.02</v>
      </c>
      <c r="F687" s="8">
        <v>10621.723569872982</v>
      </c>
      <c r="G687" s="7">
        <v>10486.9</v>
      </c>
      <c r="H687" s="7">
        <v>12773.928097273198</v>
      </c>
    </row>
    <row r="688" spans="1:8" x14ac:dyDescent="0.35">
      <c r="A688">
        <v>313110</v>
      </c>
      <c r="B688">
        <v>3131109</v>
      </c>
      <c r="C688" t="s">
        <v>77</v>
      </c>
      <c r="D688">
        <v>2021</v>
      </c>
      <c r="E688" s="7">
        <v>10811.83</v>
      </c>
      <c r="F688" s="8">
        <v>11965.843978813864</v>
      </c>
      <c r="G688" s="7">
        <v>12834.95</v>
      </c>
      <c r="H688" s="7">
        <v>14204.906890018219</v>
      </c>
    </row>
    <row r="689" spans="1:8" x14ac:dyDescent="0.35">
      <c r="A689">
        <v>313110</v>
      </c>
      <c r="B689">
        <v>3131109</v>
      </c>
      <c r="C689" t="s">
        <v>77</v>
      </c>
      <c r="D689">
        <v>2022</v>
      </c>
      <c r="E689" s="7">
        <v>13954.97</v>
      </c>
      <c r="F689" s="8">
        <v>14599.855678852164</v>
      </c>
      <c r="G689" s="7">
        <v>18300.419999999998</v>
      </c>
      <c r="H689" s="7">
        <v>19146.119511010209</v>
      </c>
    </row>
    <row r="690" spans="1:8" x14ac:dyDescent="0.35">
      <c r="A690">
        <v>313110</v>
      </c>
      <c r="B690">
        <v>3131109</v>
      </c>
      <c r="C690" t="s">
        <v>77</v>
      </c>
      <c r="D690">
        <v>2023</v>
      </c>
      <c r="E690" s="7">
        <v>16643.64</v>
      </c>
      <c r="F690" s="8">
        <v>16643.64</v>
      </c>
      <c r="G690" s="7">
        <v>20096.13</v>
      </c>
      <c r="H690" s="7">
        <v>20096.134210526314</v>
      </c>
    </row>
    <row r="691" spans="1:8" x14ac:dyDescent="0.35">
      <c r="A691">
        <v>313110</v>
      </c>
      <c r="B691">
        <v>3131109</v>
      </c>
      <c r="C691" t="s">
        <v>77</v>
      </c>
      <c r="D691">
        <v>2024</v>
      </c>
      <c r="E691" s="7">
        <v>16355.79</v>
      </c>
      <c r="F691" s="8">
        <v>15602.02545360186</v>
      </c>
      <c r="G691" s="7">
        <v>19448.560000000001</v>
      </c>
      <c r="H691" s="7">
        <v>18552.265454830202</v>
      </c>
    </row>
    <row r="692" spans="1:8" x14ac:dyDescent="0.35">
      <c r="A692">
        <v>313120</v>
      </c>
      <c r="B692">
        <v>3131208</v>
      </c>
      <c r="C692" t="s">
        <v>78</v>
      </c>
      <c r="D692">
        <v>2015</v>
      </c>
      <c r="E692" s="7">
        <v>7612.46</v>
      </c>
      <c r="F692" s="8">
        <v>11475.472093021186</v>
      </c>
      <c r="G692" s="7">
        <v>5805.54</v>
      </c>
      <c r="H692" s="7">
        <v>8751.6073775980221</v>
      </c>
    </row>
    <row r="693" spans="1:8" x14ac:dyDescent="0.35">
      <c r="A693">
        <v>313120</v>
      </c>
      <c r="B693">
        <v>3131208</v>
      </c>
      <c r="C693" t="s">
        <v>78</v>
      </c>
      <c r="D693">
        <v>2016</v>
      </c>
      <c r="E693" s="7">
        <v>4884.45</v>
      </c>
      <c r="F693" s="8">
        <v>6927.5077269300837</v>
      </c>
      <c r="G693" s="7">
        <v>5207.72</v>
      </c>
      <c r="H693" s="7">
        <v>7386.0012497087373</v>
      </c>
    </row>
    <row r="694" spans="1:8" x14ac:dyDescent="0.35">
      <c r="A694">
        <v>313120</v>
      </c>
      <c r="B694">
        <v>3131208</v>
      </c>
      <c r="C694" t="s">
        <v>78</v>
      </c>
      <c r="D694">
        <v>2017</v>
      </c>
      <c r="E694" s="7">
        <v>5897.91</v>
      </c>
      <c r="F694" s="8">
        <v>8125.3863279066645</v>
      </c>
      <c r="G694" s="7">
        <v>5329.15</v>
      </c>
      <c r="H694" s="7">
        <v>7341.8239647609844</v>
      </c>
    </row>
    <row r="695" spans="1:8" x14ac:dyDescent="0.35">
      <c r="A695">
        <v>313120</v>
      </c>
      <c r="B695">
        <v>3131208</v>
      </c>
      <c r="C695" t="s">
        <v>78</v>
      </c>
      <c r="D695">
        <v>2018</v>
      </c>
      <c r="E695" s="7">
        <v>5763.66</v>
      </c>
      <c r="F695" s="8">
        <v>7653.7561915535598</v>
      </c>
      <c r="G695" s="7">
        <v>5978.66</v>
      </c>
      <c r="H695" s="7">
        <v>7939.2604493708113</v>
      </c>
    </row>
    <row r="696" spans="1:8" x14ac:dyDescent="0.35">
      <c r="A696">
        <v>313120</v>
      </c>
      <c r="B696">
        <v>3131208</v>
      </c>
      <c r="C696" t="s">
        <v>78</v>
      </c>
      <c r="D696">
        <v>2019</v>
      </c>
      <c r="E696" s="7">
        <v>6441.04</v>
      </c>
      <c r="F696" s="8">
        <v>8200.1603309618913</v>
      </c>
      <c r="G696" s="7">
        <v>5919.84</v>
      </c>
      <c r="H696" s="7">
        <v>7536.6145186403864</v>
      </c>
    </row>
    <row r="697" spans="1:8" x14ac:dyDescent="0.35">
      <c r="A697">
        <v>313120</v>
      </c>
      <c r="B697">
        <v>3131208</v>
      </c>
      <c r="C697" t="s">
        <v>78</v>
      </c>
      <c r="D697">
        <v>2020</v>
      </c>
      <c r="E697" s="7">
        <v>6077.72</v>
      </c>
      <c r="F697" s="8">
        <v>7403.1781779271632</v>
      </c>
      <c r="G697" s="7">
        <v>6975.22</v>
      </c>
      <c r="H697" s="7">
        <v>8496.4048084591032</v>
      </c>
    </row>
    <row r="698" spans="1:8" x14ac:dyDescent="0.35">
      <c r="A698">
        <v>313120</v>
      </c>
      <c r="B698">
        <v>3131208</v>
      </c>
      <c r="C698" t="s">
        <v>78</v>
      </c>
      <c r="D698">
        <v>2021</v>
      </c>
      <c r="E698" s="7">
        <v>8459.77</v>
      </c>
      <c r="F698" s="8">
        <v>9362.7339605460111</v>
      </c>
      <c r="G698" s="7">
        <v>8798.01</v>
      </c>
      <c r="H698" s="7">
        <v>9737.0793017810392</v>
      </c>
    </row>
    <row r="699" spans="1:8" x14ac:dyDescent="0.35">
      <c r="A699">
        <v>313120</v>
      </c>
      <c r="B699">
        <v>3131208</v>
      </c>
      <c r="C699" t="s">
        <v>78</v>
      </c>
      <c r="D699">
        <v>2022</v>
      </c>
      <c r="E699" s="7">
        <v>10841.49</v>
      </c>
      <c r="F699" s="8">
        <v>11342.495852281943</v>
      </c>
      <c r="G699" s="7">
        <v>10734.66</v>
      </c>
      <c r="H699" s="7">
        <v>11230.72886340124</v>
      </c>
    </row>
    <row r="700" spans="1:8" x14ac:dyDescent="0.35">
      <c r="A700">
        <v>313120</v>
      </c>
      <c r="B700">
        <v>3131208</v>
      </c>
      <c r="C700" t="s">
        <v>78</v>
      </c>
      <c r="D700">
        <v>2023</v>
      </c>
      <c r="E700" s="7">
        <v>10400.19</v>
      </c>
      <c r="F700" s="8">
        <v>10400.19</v>
      </c>
      <c r="G700" s="7">
        <v>11233.95</v>
      </c>
      <c r="H700" s="7">
        <v>11233.947309605379</v>
      </c>
    </row>
    <row r="701" spans="1:8" x14ac:dyDescent="0.35">
      <c r="A701">
        <v>313120</v>
      </c>
      <c r="B701">
        <v>3131208</v>
      </c>
      <c r="C701" t="s">
        <v>78</v>
      </c>
      <c r="D701">
        <v>2024</v>
      </c>
      <c r="E701" s="7">
        <v>13766.7</v>
      </c>
      <c r="F701" s="8">
        <v>13132.254926976975</v>
      </c>
      <c r="G701" s="7">
        <v>14214.01</v>
      </c>
      <c r="H701" s="7">
        <v>13558.954550361044</v>
      </c>
    </row>
    <row r="702" spans="1:8" x14ac:dyDescent="0.35">
      <c r="A702">
        <v>313180</v>
      </c>
      <c r="B702">
        <v>3131802</v>
      </c>
      <c r="C702" t="s">
        <v>79</v>
      </c>
      <c r="D702">
        <v>2015</v>
      </c>
      <c r="E702" s="7">
        <v>4366.59</v>
      </c>
      <c r="F702" s="8">
        <v>6582.4558272444629</v>
      </c>
      <c r="G702" s="7">
        <v>5570.01</v>
      </c>
      <c r="H702" s="7">
        <v>8396.5645635375477</v>
      </c>
    </row>
    <row r="703" spans="1:8" x14ac:dyDescent="0.35">
      <c r="A703">
        <v>313180</v>
      </c>
      <c r="B703">
        <v>3131802</v>
      </c>
      <c r="C703" t="s">
        <v>79</v>
      </c>
      <c r="D703">
        <v>2016</v>
      </c>
      <c r="E703" s="7">
        <v>5771.49</v>
      </c>
      <c r="F703" s="8">
        <v>8185.5769986180039</v>
      </c>
      <c r="G703" s="7">
        <v>5902.44</v>
      </c>
      <c r="H703" s="7">
        <v>8371.2954915768532</v>
      </c>
    </row>
    <row r="704" spans="1:8" x14ac:dyDescent="0.35">
      <c r="A704">
        <v>313180</v>
      </c>
      <c r="B704">
        <v>3131802</v>
      </c>
      <c r="C704" t="s">
        <v>79</v>
      </c>
      <c r="D704">
        <v>2017</v>
      </c>
      <c r="E704" s="7">
        <v>6832.34</v>
      </c>
      <c r="F704" s="8">
        <v>9412.7245114981106</v>
      </c>
      <c r="G704" s="7">
        <v>6730.99</v>
      </c>
      <c r="H704" s="7">
        <v>9273.1033923831492</v>
      </c>
    </row>
    <row r="705" spans="1:8" x14ac:dyDescent="0.35">
      <c r="A705">
        <v>313180</v>
      </c>
      <c r="B705">
        <v>3131802</v>
      </c>
      <c r="C705" s="9" t="s">
        <v>79</v>
      </c>
      <c r="D705">
        <v>2018</v>
      </c>
      <c r="E705" s="7">
        <v>4745.57</v>
      </c>
      <c r="F705" s="8">
        <v>6301.8005520712231</v>
      </c>
      <c r="G705" s="7">
        <v>6418.806737415528</v>
      </c>
      <c r="H705" s="7">
        <v>8523.7473773400598</v>
      </c>
    </row>
    <row r="706" spans="1:8" x14ac:dyDescent="0.35">
      <c r="A706">
        <v>313180</v>
      </c>
      <c r="B706">
        <v>3131802</v>
      </c>
      <c r="C706" t="s">
        <v>79</v>
      </c>
      <c r="D706">
        <v>2019</v>
      </c>
      <c r="E706" s="7">
        <v>6666.93</v>
      </c>
      <c r="F706" s="8">
        <v>8487.7434257976602</v>
      </c>
      <c r="G706" s="7">
        <v>8095.31</v>
      </c>
      <c r="H706" s="7">
        <v>10306.225353708267</v>
      </c>
    </row>
    <row r="707" spans="1:8" x14ac:dyDescent="0.35">
      <c r="A707">
        <v>313180</v>
      </c>
      <c r="B707">
        <v>3131802</v>
      </c>
      <c r="C707" t="s">
        <v>79</v>
      </c>
      <c r="D707">
        <v>2020</v>
      </c>
      <c r="E707" s="7">
        <v>7244.86</v>
      </c>
      <c r="F707" s="8">
        <v>8824.8536382290367</v>
      </c>
      <c r="G707" s="7">
        <v>8943.68</v>
      </c>
      <c r="H707" s="7">
        <v>10894.162055461047</v>
      </c>
    </row>
    <row r="708" spans="1:8" x14ac:dyDescent="0.35">
      <c r="A708">
        <v>313180</v>
      </c>
      <c r="B708">
        <v>3131802</v>
      </c>
      <c r="C708" t="s">
        <v>79</v>
      </c>
      <c r="D708">
        <v>2021</v>
      </c>
      <c r="E708" s="7">
        <v>11666.08</v>
      </c>
      <c r="F708" s="8">
        <v>12911.273403703244</v>
      </c>
      <c r="G708" s="7">
        <v>12463.85</v>
      </c>
      <c r="H708" s="7">
        <v>13794.19613541619</v>
      </c>
    </row>
    <row r="709" spans="1:8" x14ac:dyDescent="0.35">
      <c r="A709">
        <v>313180</v>
      </c>
      <c r="B709">
        <v>3131802</v>
      </c>
      <c r="C709" t="s">
        <v>79</v>
      </c>
      <c r="D709">
        <v>2022</v>
      </c>
      <c r="E709" s="7">
        <v>13217.72</v>
      </c>
      <c r="F709" s="8">
        <v>13828.535955539699</v>
      </c>
      <c r="G709" s="7">
        <v>21117.38</v>
      </c>
      <c r="H709" s="7">
        <v>22093.25675661338</v>
      </c>
    </row>
    <row r="710" spans="1:8" x14ac:dyDescent="0.35">
      <c r="A710">
        <v>313180</v>
      </c>
      <c r="B710">
        <v>3131802</v>
      </c>
      <c r="C710" t="s">
        <v>79</v>
      </c>
      <c r="D710">
        <v>2023</v>
      </c>
      <c r="E710" s="7">
        <v>14124.95</v>
      </c>
      <c r="F710" s="8">
        <v>14124.95</v>
      </c>
      <c r="G710" s="7">
        <v>15876.73</v>
      </c>
      <c r="H710" s="7">
        <v>15876.734483030659</v>
      </c>
    </row>
    <row r="711" spans="1:8" x14ac:dyDescent="0.35">
      <c r="A711">
        <v>313180</v>
      </c>
      <c r="B711">
        <v>3131802</v>
      </c>
      <c r="C711" t="s">
        <v>79</v>
      </c>
      <c r="D711">
        <v>2024</v>
      </c>
      <c r="E711" s="7">
        <v>14951.67</v>
      </c>
      <c r="F711" s="8">
        <v>14262.615007520599</v>
      </c>
      <c r="G711" s="7">
        <v>18157.009999999998</v>
      </c>
      <c r="H711" s="7">
        <v>17320.233678471603</v>
      </c>
    </row>
    <row r="712" spans="1:8" x14ac:dyDescent="0.35">
      <c r="A712">
        <v>313210</v>
      </c>
      <c r="B712">
        <v>3132107</v>
      </c>
      <c r="C712" t="s">
        <v>80</v>
      </c>
      <c r="D712">
        <v>2015</v>
      </c>
      <c r="E712" s="7">
        <v>3862.88</v>
      </c>
      <c r="F712" s="8">
        <v>5823.1336044707859</v>
      </c>
      <c r="G712" s="7">
        <v>3657.92</v>
      </c>
      <c r="H712" s="7">
        <v>5514.1616908380793</v>
      </c>
    </row>
    <row r="713" spans="1:8" x14ac:dyDescent="0.35">
      <c r="A713">
        <v>313210</v>
      </c>
      <c r="B713">
        <v>3132107</v>
      </c>
      <c r="C713" t="s">
        <v>80</v>
      </c>
      <c r="D713">
        <v>2016</v>
      </c>
      <c r="E713" s="7">
        <v>4363.25</v>
      </c>
      <c r="F713" s="8">
        <v>6188.3012600247093</v>
      </c>
      <c r="G713" s="7">
        <v>5374.58</v>
      </c>
      <c r="H713" s="7">
        <v>7622.6524515583778</v>
      </c>
    </row>
    <row r="714" spans="1:8" x14ac:dyDescent="0.35">
      <c r="A714">
        <v>313210</v>
      </c>
      <c r="B714">
        <v>3132107</v>
      </c>
      <c r="C714" t="s">
        <v>80</v>
      </c>
      <c r="D714">
        <v>2017</v>
      </c>
      <c r="E714" s="7">
        <v>4794.57</v>
      </c>
      <c r="F714" s="8">
        <v>6605.3455420973623</v>
      </c>
      <c r="G714" s="7">
        <v>5169.82</v>
      </c>
      <c r="H714" s="7">
        <v>7122.3160258487787</v>
      </c>
    </row>
    <row r="715" spans="1:8" x14ac:dyDescent="0.35">
      <c r="A715">
        <v>313210</v>
      </c>
      <c r="B715">
        <v>3132107</v>
      </c>
      <c r="C715" t="s">
        <v>80</v>
      </c>
      <c r="D715">
        <v>2018</v>
      </c>
      <c r="E715" s="7">
        <v>5631.1</v>
      </c>
      <c r="F715" s="8">
        <v>7477.7253499091294</v>
      </c>
      <c r="G715" s="7">
        <v>6095.36</v>
      </c>
      <c r="H715" s="7">
        <v>8094.2360303537507</v>
      </c>
    </row>
    <row r="716" spans="1:8" x14ac:dyDescent="0.35">
      <c r="A716">
        <v>313210</v>
      </c>
      <c r="B716">
        <v>3132107</v>
      </c>
      <c r="C716" t="s">
        <v>80</v>
      </c>
      <c r="D716">
        <v>2019</v>
      </c>
      <c r="E716" s="7">
        <v>5761.22</v>
      </c>
      <c r="F716" s="8">
        <v>7334.6738573187358</v>
      </c>
      <c r="G716" s="7">
        <v>6446.44</v>
      </c>
      <c r="H716" s="7">
        <v>8207.0319859522624</v>
      </c>
    </row>
    <row r="717" spans="1:8" x14ac:dyDescent="0.35">
      <c r="A717">
        <v>313210</v>
      </c>
      <c r="B717">
        <v>3132107</v>
      </c>
      <c r="C717" t="s">
        <v>80</v>
      </c>
      <c r="D717">
        <v>2020</v>
      </c>
      <c r="E717" s="7">
        <v>5928.93</v>
      </c>
      <c r="F717" s="8">
        <v>7221.9393447637758</v>
      </c>
      <c r="G717" s="7">
        <v>6170.06</v>
      </c>
      <c r="H717" s="7">
        <v>7515.6522559098858</v>
      </c>
    </row>
    <row r="718" spans="1:8" x14ac:dyDescent="0.35">
      <c r="A718">
        <v>313210</v>
      </c>
      <c r="B718">
        <v>3132107</v>
      </c>
      <c r="C718" t="s">
        <v>80</v>
      </c>
      <c r="D718">
        <v>2021</v>
      </c>
      <c r="E718" s="7">
        <v>8051.18</v>
      </c>
      <c r="F718" s="8">
        <v>8910.5326041333064</v>
      </c>
      <c r="G718" s="7">
        <v>7803.85</v>
      </c>
      <c r="H718" s="7">
        <v>8636.8025846524997</v>
      </c>
    </row>
    <row r="719" spans="1:8" x14ac:dyDescent="0.35">
      <c r="A719">
        <v>313210</v>
      </c>
      <c r="B719">
        <v>3132107</v>
      </c>
      <c r="C719" t="s">
        <v>80</v>
      </c>
      <c r="D719">
        <v>2022</v>
      </c>
      <c r="E719" s="7">
        <v>10623.49</v>
      </c>
      <c r="F719" s="8">
        <v>11114.421658070865</v>
      </c>
      <c r="G719" s="7">
        <v>11868.7</v>
      </c>
      <c r="H719" s="7">
        <v>12417.176753158425</v>
      </c>
    </row>
    <row r="720" spans="1:8" x14ac:dyDescent="0.35">
      <c r="A720">
        <v>313210</v>
      </c>
      <c r="B720">
        <v>3132107</v>
      </c>
      <c r="C720" t="s">
        <v>80</v>
      </c>
      <c r="D720">
        <v>2023</v>
      </c>
      <c r="E720" s="7">
        <v>13684.25</v>
      </c>
      <c r="F720" s="8">
        <v>13684.25</v>
      </c>
      <c r="G720" s="7">
        <v>15344.72</v>
      </c>
      <c r="H720" s="7">
        <v>15344.723348575586</v>
      </c>
    </row>
    <row r="721" spans="1:8" x14ac:dyDescent="0.35">
      <c r="A721">
        <v>313210</v>
      </c>
      <c r="B721">
        <v>3132107</v>
      </c>
      <c r="C721" t="s">
        <v>80</v>
      </c>
      <c r="D721">
        <v>2024</v>
      </c>
      <c r="E721" s="7">
        <v>14043.16</v>
      </c>
      <c r="F721" s="8">
        <v>13395.974133258222</v>
      </c>
      <c r="G721" s="7">
        <v>14942.18</v>
      </c>
      <c r="H721" s="7">
        <v>14253.558659047234</v>
      </c>
    </row>
    <row r="722" spans="1:8" x14ac:dyDescent="0.35">
      <c r="A722">
        <v>313230</v>
      </c>
      <c r="B722">
        <v>3132305</v>
      </c>
      <c r="C722" t="s">
        <v>81</v>
      </c>
      <c r="D722">
        <v>2015</v>
      </c>
      <c r="E722" s="7">
        <v>5278.54</v>
      </c>
      <c r="F722" s="8">
        <v>7957.1831526071792</v>
      </c>
      <c r="G722" s="7">
        <v>5769.4</v>
      </c>
      <c r="H722" s="7">
        <v>8697.1419189462104</v>
      </c>
    </row>
    <row r="723" spans="1:8" x14ac:dyDescent="0.35">
      <c r="A723">
        <v>313230</v>
      </c>
      <c r="B723">
        <v>3132305</v>
      </c>
      <c r="C723" t="s">
        <v>81</v>
      </c>
      <c r="D723">
        <v>2016</v>
      </c>
      <c r="E723" s="7">
        <v>4975.3900000000003</v>
      </c>
      <c r="F723" s="8">
        <v>7056.4859235923541</v>
      </c>
      <c r="G723" s="7">
        <v>7374.39</v>
      </c>
      <c r="H723" s="7">
        <v>10458.932561319558</v>
      </c>
    </row>
    <row r="724" spans="1:8" x14ac:dyDescent="0.35">
      <c r="A724">
        <v>313230</v>
      </c>
      <c r="B724">
        <v>3132305</v>
      </c>
      <c r="C724" t="s">
        <v>81</v>
      </c>
      <c r="D724">
        <v>2017</v>
      </c>
      <c r="E724" s="7">
        <v>5249.69</v>
      </c>
      <c r="F724" s="8">
        <v>7232.3516892845664</v>
      </c>
      <c r="G724" s="7">
        <v>6713.41</v>
      </c>
      <c r="H724" s="7">
        <v>9248.8723448005821</v>
      </c>
    </row>
    <row r="725" spans="1:8" x14ac:dyDescent="0.35">
      <c r="A725">
        <v>313230</v>
      </c>
      <c r="B725">
        <v>3132305</v>
      </c>
      <c r="C725" t="s">
        <v>81</v>
      </c>
      <c r="D725">
        <v>2018</v>
      </c>
      <c r="E725" s="7">
        <v>6010.41</v>
      </c>
      <c r="F725" s="8">
        <v>7981.4237396507478</v>
      </c>
      <c r="G725" s="7">
        <v>7655.41</v>
      </c>
      <c r="H725" s="7">
        <v>10165.878239774433</v>
      </c>
    </row>
    <row r="726" spans="1:8" x14ac:dyDescent="0.35">
      <c r="A726">
        <v>313230</v>
      </c>
      <c r="B726">
        <v>3132305</v>
      </c>
      <c r="C726" t="s">
        <v>81</v>
      </c>
      <c r="D726">
        <v>2019</v>
      </c>
      <c r="E726" s="7">
        <v>7702.76</v>
      </c>
      <c r="F726" s="8">
        <v>9806.470227000611</v>
      </c>
      <c r="G726" s="7">
        <v>7369.26</v>
      </c>
      <c r="H726" s="7">
        <v>9381.8862603612433</v>
      </c>
    </row>
    <row r="727" spans="1:8" x14ac:dyDescent="0.35">
      <c r="A727">
        <v>313230</v>
      </c>
      <c r="B727">
        <v>3132305</v>
      </c>
      <c r="C727" t="s">
        <v>81</v>
      </c>
      <c r="D727">
        <v>2020</v>
      </c>
      <c r="E727" s="7">
        <v>6981.65</v>
      </c>
      <c r="F727" s="8">
        <v>8504.241545501467</v>
      </c>
      <c r="G727" s="7">
        <v>7360</v>
      </c>
      <c r="H727" s="7">
        <v>8965.1029307809149</v>
      </c>
    </row>
    <row r="728" spans="1:8" x14ac:dyDescent="0.35">
      <c r="A728">
        <v>313230</v>
      </c>
      <c r="B728">
        <v>3132305</v>
      </c>
      <c r="C728" t="s">
        <v>81</v>
      </c>
      <c r="D728">
        <v>2021</v>
      </c>
      <c r="E728" s="7">
        <v>8650.65</v>
      </c>
      <c r="F728" s="8">
        <v>9573.9877722204437</v>
      </c>
      <c r="G728" s="7">
        <v>9848.68</v>
      </c>
      <c r="H728" s="7">
        <v>10899.891489625032</v>
      </c>
    </row>
    <row r="729" spans="1:8" x14ac:dyDescent="0.35">
      <c r="A729">
        <v>313230</v>
      </c>
      <c r="B729">
        <v>3132305</v>
      </c>
      <c r="C729" t="s">
        <v>81</v>
      </c>
      <c r="D729">
        <v>2022</v>
      </c>
      <c r="E729" s="7">
        <v>10827.81</v>
      </c>
      <c r="F729" s="8">
        <v>11328.183673489248</v>
      </c>
      <c r="G729" s="7">
        <v>16849.54</v>
      </c>
      <c r="H729" s="7">
        <v>17628.184991770937</v>
      </c>
    </row>
    <row r="730" spans="1:8" x14ac:dyDescent="0.35">
      <c r="A730">
        <v>313230</v>
      </c>
      <c r="B730">
        <v>3132305</v>
      </c>
      <c r="C730" t="s">
        <v>81</v>
      </c>
      <c r="D730">
        <v>2023</v>
      </c>
      <c r="E730" s="7">
        <v>12686.85</v>
      </c>
      <c r="F730" s="8">
        <v>12686.85</v>
      </c>
      <c r="G730" s="7">
        <v>17410.91</v>
      </c>
      <c r="H730" s="7">
        <v>17410.909324883662</v>
      </c>
    </row>
    <row r="731" spans="1:8" x14ac:dyDescent="0.35">
      <c r="A731">
        <v>313230</v>
      </c>
      <c r="B731">
        <v>3132305</v>
      </c>
      <c r="C731" t="s">
        <v>81</v>
      </c>
      <c r="D731">
        <v>2024</v>
      </c>
      <c r="E731" s="7">
        <v>14887.31</v>
      </c>
      <c r="F731" s="8">
        <v>14201.221069459898</v>
      </c>
      <c r="G731" s="7">
        <v>24077.41</v>
      </c>
      <c r="H731" s="7">
        <v>22967.788970254689</v>
      </c>
    </row>
    <row r="732" spans="1:8" x14ac:dyDescent="0.35">
      <c r="A732">
        <v>313250</v>
      </c>
      <c r="B732">
        <v>3132503</v>
      </c>
      <c r="C732" t="s">
        <v>82</v>
      </c>
      <c r="D732">
        <v>2015</v>
      </c>
      <c r="E732" s="7">
        <v>5725.26</v>
      </c>
      <c r="F732" s="8">
        <v>8630.5952813269923</v>
      </c>
      <c r="G732" s="7">
        <v>5296.49</v>
      </c>
      <c r="H732" s="7">
        <v>7984.2399131528073</v>
      </c>
    </row>
    <row r="733" spans="1:8" x14ac:dyDescent="0.35">
      <c r="A733">
        <v>313250</v>
      </c>
      <c r="B733">
        <v>3132503</v>
      </c>
      <c r="C733" t="s">
        <v>82</v>
      </c>
      <c r="D733">
        <v>2016</v>
      </c>
      <c r="E733" s="7">
        <v>5402.83</v>
      </c>
      <c r="F733" s="8">
        <v>7662.7146500198933</v>
      </c>
      <c r="G733" s="7">
        <v>6661.33</v>
      </c>
      <c r="H733" s="7">
        <v>9447.6213932905721</v>
      </c>
    </row>
    <row r="734" spans="1:8" x14ac:dyDescent="0.35">
      <c r="A734">
        <v>313250</v>
      </c>
      <c r="B734">
        <v>3132503</v>
      </c>
      <c r="C734" t="s">
        <v>82</v>
      </c>
      <c r="D734">
        <v>2017</v>
      </c>
      <c r="E734" s="7">
        <v>5393.79</v>
      </c>
      <c r="F734" s="8">
        <v>7430.874245554729</v>
      </c>
      <c r="G734" s="7">
        <v>7014.25</v>
      </c>
      <c r="H734" s="7">
        <v>9663.3389041566916</v>
      </c>
    </row>
    <row r="735" spans="1:8" x14ac:dyDescent="0.35">
      <c r="A735">
        <v>313250</v>
      </c>
      <c r="B735">
        <v>3132503</v>
      </c>
      <c r="C735" t="s">
        <v>82</v>
      </c>
      <c r="D735">
        <v>2018</v>
      </c>
      <c r="E735" s="7">
        <v>5174.47</v>
      </c>
      <c r="F735" s="8">
        <v>6871.3511554304296</v>
      </c>
      <c r="G735" s="7">
        <v>7630.56</v>
      </c>
      <c r="H735" s="7">
        <v>10132.869284563792</v>
      </c>
    </row>
    <row r="736" spans="1:8" x14ac:dyDescent="0.35">
      <c r="A736">
        <v>313250</v>
      </c>
      <c r="B736">
        <v>3132503</v>
      </c>
      <c r="C736" t="s">
        <v>82</v>
      </c>
      <c r="D736">
        <v>2019</v>
      </c>
      <c r="E736" s="7">
        <v>7077.73</v>
      </c>
      <c r="F736" s="8">
        <v>9010.7375174286917</v>
      </c>
      <c r="G736" s="7">
        <v>8730.16</v>
      </c>
      <c r="H736" s="7">
        <v>11114.464229316047</v>
      </c>
    </row>
    <row r="737" spans="1:8" x14ac:dyDescent="0.35">
      <c r="A737">
        <v>313250</v>
      </c>
      <c r="B737">
        <v>3132503</v>
      </c>
      <c r="C737" t="s">
        <v>82</v>
      </c>
      <c r="D737">
        <v>2020</v>
      </c>
      <c r="E737" s="7">
        <v>7892.54</v>
      </c>
      <c r="F737" s="8">
        <v>9613.7827830859678</v>
      </c>
      <c r="G737" s="7">
        <v>5848.53</v>
      </c>
      <c r="H737" s="7">
        <v>7124.0028265155561</v>
      </c>
    </row>
    <row r="738" spans="1:8" x14ac:dyDescent="0.35">
      <c r="A738">
        <v>313250</v>
      </c>
      <c r="B738">
        <v>3132503</v>
      </c>
      <c r="C738" t="s">
        <v>82</v>
      </c>
      <c r="D738">
        <v>2021</v>
      </c>
      <c r="E738" s="7">
        <v>9870.2099999999991</v>
      </c>
      <c r="F738" s="8">
        <v>10923.719009467257</v>
      </c>
      <c r="G738" s="7">
        <v>7683.18</v>
      </c>
      <c r="H738" s="7">
        <v>8503.2574907768794</v>
      </c>
    </row>
    <row r="739" spans="1:8" x14ac:dyDescent="0.35">
      <c r="A739">
        <v>313250</v>
      </c>
      <c r="B739">
        <v>3132503</v>
      </c>
      <c r="C739" t="s">
        <v>82</v>
      </c>
      <c r="D739">
        <v>2022</v>
      </c>
      <c r="E739" s="7">
        <v>12213</v>
      </c>
      <c r="F739" s="8">
        <v>12777.385935320641</v>
      </c>
      <c r="G739" s="7">
        <v>14387.39</v>
      </c>
      <c r="H739" s="7">
        <v>15052.262454864594</v>
      </c>
    </row>
    <row r="740" spans="1:8" x14ac:dyDescent="0.35">
      <c r="A740">
        <v>313250</v>
      </c>
      <c r="B740">
        <v>3132503</v>
      </c>
      <c r="C740" t="s">
        <v>82</v>
      </c>
      <c r="D740">
        <v>2023</v>
      </c>
      <c r="E740" s="7">
        <v>12092.03</v>
      </c>
      <c r="F740" s="8">
        <v>12092.03</v>
      </c>
      <c r="G740" s="7">
        <v>16891.87</v>
      </c>
      <c r="H740" s="7">
        <v>16891.87259305012</v>
      </c>
    </row>
    <row r="741" spans="1:8" x14ac:dyDescent="0.35">
      <c r="A741">
        <v>313250</v>
      </c>
      <c r="B741">
        <v>3132503</v>
      </c>
      <c r="C741" t="s">
        <v>82</v>
      </c>
      <c r="D741">
        <v>2024</v>
      </c>
      <c r="E741" s="7">
        <v>13501.13</v>
      </c>
      <c r="F741" s="8">
        <v>12878.923849742976</v>
      </c>
      <c r="G741" s="7">
        <v>17015.64</v>
      </c>
      <c r="H741" s="7">
        <v>16231.469895130162</v>
      </c>
    </row>
    <row r="742" spans="1:8" x14ac:dyDescent="0.35">
      <c r="A742">
        <v>313270</v>
      </c>
      <c r="B742">
        <v>3132701</v>
      </c>
      <c r="C742" t="s">
        <v>83</v>
      </c>
      <c r="D742">
        <v>2015</v>
      </c>
      <c r="E742" s="7">
        <v>3920.77</v>
      </c>
      <c r="F742" s="8">
        <v>5910.4004117137792</v>
      </c>
      <c r="G742" s="7">
        <v>6130.97</v>
      </c>
      <c r="H742" s="7">
        <v>9242.1850069571046</v>
      </c>
    </row>
    <row r="743" spans="1:8" x14ac:dyDescent="0.35">
      <c r="A743">
        <v>313270</v>
      </c>
      <c r="B743">
        <v>3132701</v>
      </c>
      <c r="C743" t="s">
        <v>83</v>
      </c>
      <c r="D743">
        <v>2016</v>
      </c>
      <c r="E743" s="7">
        <v>4915.18</v>
      </c>
      <c r="F743" s="8">
        <v>6971.0914082961672</v>
      </c>
      <c r="G743" s="7">
        <v>6485.98</v>
      </c>
      <c r="H743" s="7">
        <v>9198.9275559012276</v>
      </c>
    </row>
    <row r="744" spans="1:8" x14ac:dyDescent="0.35">
      <c r="A744">
        <v>313270</v>
      </c>
      <c r="B744">
        <v>3132701</v>
      </c>
      <c r="C744" s="9" t="s">
        <v>83</v>
      </c>
      <c r="D744">
        <v>2017</v>
      </c>
      <c r="E744" s="7">
        <v>8577.57</v>
      </c>
      <c r="F744" s="8">
        <v>11817.079271243943</v>
      </c>
      <c r="G744" s="7">
        <v>7922.4410496081737</v>
      </c>
      <c r="H744" s="7">
        <v>10914.526364107418</v>
      </c>
    </row>
    <row r="745" spans="1:8" x14ac:dyDescent="0.35">
      <c r="A745">
        <v>313270</v>
      </c>
      <c r="B745">
        <v>3132701</v>
      </c>
      <c r="C745" t="s">
        <v>83</v>
      </c>
      <c r="D745">
        <v>2018</v>
      </c>
      <c r="E745" s="7">
        <v>7711.18</v>
      </c>
      <c r="F745" s="8">
        <v>10239.932901868602</v>
      </c>
      <c r="G745" s="7">
        <v>9378.2800000000007</v>
      </c>
      <c r="H745" s="7">
        <v>12453.725100431373</v>
      </c>
    </row>
    <row r="746" spans="1:8" x14ac:dyDescent="0.35">
      <c r="A746">
        <v>313270</v>
      </c>
      <c r="B746">
        <v>3132701</v>
      </c>
      <c r="C746" t="s">
        <v>83</v>
      </c>
      <c r="D746">
        <v>2019</v>
      </c>
      <c r="E746" s="7">
        <v>9783.57</v>
      </c>
      <c r="F746" s="8">
        <v>12455.572797124196</v>
      </c>
      <c r="G746" s="7">
        <v>10450.68</v>
      </c>
      <c r="H746" s="7">
        <v>13304.883461435513</v>
      </c>
    </row>
    <row r="747" spans="1:8" x14ac:dyDescent="0.35">
      <c r="A747">
        <v>313270</v>
      </c>
      <c r="B747">
        <v>3132701</v>
      </c>
      <c r="C747" t="s">
        <v>83</v>
      </c>
      <c r="D747">
        <v>2020</v>
      </c>
      <c r="E747" s="7">
        <v>10349.93</v>
      </c>
      <c r="F747" s="8">
        <v>12607.092119918931</v>
      </c>
      <c r="G747" s="7">
        <v>9898.23</v>
      </c>
      <c r="H747" s="7">
        <v>12056.885016376475</v>
      </c>
    </row>
    <row r="748" spans="1:8" x14ac:dyDescent="0.35">
      <c r="A748">
        <v>313270</v>
      </c>
      <c r="B748">
        <v>3132701</v>
      </c>
      <c r="C748" t="s">
        <v>83</v>
      </c>
      <c r="D748">
        <v>2021</v>
      </c>
      <c r="E748" s="7">
        <v>13207.48</v>
      </c>
      <c r="F748" s="8">
        <v>14617.196629368436</v>
      </c>
      <c r="G748" s="7">
        <v>12140.85</v>
      </c>
      <c r="H748" s="7">
        <v>13436.714771701832</v>
      </c>
    </row>
    <row r="749" spans="1:8" x14ac:dyDescent="0.35">
      <c r="A749">
        <v>313270</v>
      </c>
      <c r="B749">
        <v>3132701</v>
      </c>
      <c r="C749" t="s">
        <v>83</v>
      </c>
      <c r="D749">
        <v>2022</v>
      </c>
      <c r="E749" s="7">
        <v>16658.78</v>
      </c>
      <c r="F749" s="8">
        <v>17428.613876328567</v>
      </c>
      <c r="G749" s="7">
        <v>19220.919999999998</v>
      </c>
      <c r="H749" s="7">
        <v>20109.154168044861</v>
      </c>
    </row>
    <row r="750" spans="1:8" x14ac:dyDescent="0.35">
      <c r="A750">
        <v>313270</v>
      </c>
      <c r="B750">
        <v>3132701</v>
      </c>
      <c r="C750" t="s">
        <v>83</v>
      </c>
      <c r="D750">
        <v>2023</v>
      </c>
      <c r="E750" s="7">
        <v>14835.91</v>
      </c>
      <c r="F750" s="8">
        <v>14835.91</v>
      </c>
      <c r="G750" s="7">
        <v>20866.080000000002</v>
      </c>
      <c r="H750" s="7">
        <v>20866.079658770752</v>
      </c>
    </row>
    <row r="751" spans="1:8" x14ac:dyDescent="0.35">
      <c r="A751">
        <v>313270</v>
      </c>
      <c r="B751">
        <v>3132701</v>
      </c>
      <c r="C751" t="s">
        <v>83</v>
      </c>
      <c r="D751">
        <v>2024</v>
      </c>
      <c r="E751" s="7">
        <v>20107.810000000001</v>
      </c>
      <c r="F751" s="8">
        <v>19181.131784902474</v>
      </c>
      <c r="G751" s="7">
        <v>23367.16</v>
      </c>
      <c r="H751" s="7">
        <v>22290.271910659198</v>
      </c>
    </row>
    <row r="752" spans="1:8" x14ac:dyDescent="0.35">
      <c r="A752">
        <v>313320</v>
      </c>
      <c r="B752">
        <v>3133204</v>
      </c>
      <c r="C752" t="s">
        <v>84</v>
      </c>
      <c r="D752">
        <v>2015</v>
      </c>
      <c r="E752" s="7">
        <v>5167.59</v>
      </c>
      <c r="F752" s="8">
        <v>7789.9305655695207</v>
      </c>
      <c r="G752" s="7">
        <v>5298.59</v>
      </c>
      <c r="H752" s="7">
        <v>7987.4078041747744</v>
      </c>
    </row>
    <row r="753" spans="1:8" x14ac:dyDescent="0.35">
      <c r="A753">
        <v>313320</v>
      </c>
      <c r="B753">
        <v>3133204</v>
      </c>
      <c r="C753" t="s">
        <v>84</v>
      </c>
      <c r="D753">
        <v>2016</v>
      </c>
      <c r="E753" s="7">
        <v>5197.72</v>
      </c>
      <c r="F753" s="8">
        <v>7371.8116599451396</v>
      </c>
      <c r="G753" s="7">
        <v>5967.88</v>
      </c>
      <c r="H753" s="7">
        <v>8464.1077294920997</v>
      </c>
    </row>
    <row r="754" spans="1:8" x14ac:dyDescent="0.35">
      <c r="A754">
        <v>313320</v>
      </c>
      <c r="B754">
        <v>3133204</v>
      </c>
      <c r="C754" t="s">
        <v>84</v>
      </c>
      <c r="D754">
        <v>2017</v>
      </c>
      <c r="E754" s="7">
        <v>4650.66</v>
      </c>
      <c r="F754" s="8">
        <v>6407.0847435349824</v>
      </c>
      <c r="G754" s="7">
        <v>5567.47</v>
      </c>
      <c r="H754" s="7">
        <v>7670.1501858208894</v>
      </c>
    </row>
    <row r="755" spans="1:8" x14ac:dyDescent="0.35">
      <c r="A755">
        <v>313320</v>
      </c>
      <c r="B755">
        <v>3133204</v>
      </c>
      <c r="C755" t="s">
        <v>84</v>
      </c>
      <c r="D755">
        <v>2018</v>
      </c>
      <c r="E755" s="7">
        <v>3566.93</v>
      </c>
      <c r="F755" s="8">
        <v>4736.6452171603005</v>
      </c>
      <c r="G755" s="7">
        <v>5382.31</v>
      </c>
      <c r="H755" s="7">
        <v>7147.3496311251092</v>
      </c>
    </row>
    <row r="756" spans="1:8" x14ac:dyDescent="0.35">
      <c r="A756">
        <v>313320</v>
      </c>
      <c r="B756">
        <v>3133204</v>
      </c>
      <c r="C756" t="s">
        <v>84</v>
      </c>
      <c r="D756">
        <v>2019</v>
      </c>
      <c r="E756" s="7">
        <v>5477.93</v>
      </c>
      <c r="F756" s="8">
        <v>6974.014178111931</v>
      </c>
      <c r="G756" s="7">
        <v>6862.08</v>
      </c>
      <c r="H756" s="7">
        <v>8736.1969163357189</v>
      </c>
    </row>
    <row r="757" spans="1:8" x14ac:dyDescent="0.35">
      <c r="A757">
        <v>313320</v>
      </c>
      <c r="B757">
        <v>3133204</v>
      </c>
      <c r="C757" t="s">
        <v>84</v>
      </c>
      <c r="D757">
        <v>2020</v>
      </c>
      <c r="E757" s="7">
        <v>6863.14</v>
      </c>
      <c r="F757" s="8">
        <v>8359.8863192215231</v>
      </c>
      <c r="G757" s="7">
        <v>6495.83</v>
      </c>
      <c r="H757" s="7">
        <v>7912.4773343324396</v>
      </c>
    </row>
    <row r="758" spans="1:8" x14ac:dyDescent="0.35">
      <c r="A758">
        <v>313320</v>
      </c>
      <c r="B758">
        <v>3133204</v>
      </c>
      <c r="C758" t="s">
        <v>84</v>
      </c>
      <c r="D758">
        <v>2021</v>
      </c>
      <c r="E758" s="7">
        <v>9275.25</v>
      </c>
      <c r="F758" s="8">
        <v>10265.255221779596</v>
      </c>
      <c r="G758" s="7">
        <v>10846.36</v>
      </c>
      <c r="H758" s="7">
        <v>12004.055014693286</v>
      </c>
    </row>
    <row r="759" spans="1:8" x14ac:dyDescent="0.35">
      <c r="A759">
        <v>313320</v>
      </c>
      <c r="B759">
        <v>3133204</v>
      </c>
      <c r="C759" t="s">
        <v>84</v>
      </c>
      <c r="D759">
        <v>2022</v>
      </c>
      <c r="E759" s="7">
        <v>10693.7</v>
      </c>
      <c r="F759" s="8">
        <v>11187.876195573434</v>
      </c>
      <c r="G759" s="7">
        <v>13134.86</v>
      </c>
      <c r="H759" s="7">
        <v>13741.848742419221</v>
      </c>
    </row>
    <row r="760" spans="1:8" x14ac:dyDescent="0.35">
      <c r="A760">
        <v>313320</v>
      </c>
      <c r="B760">
        <v>3133204</v>
      </c>
      <c r="C760" t="s">
        <v>84</v>
      </c>
      <c r="D760">
        <v>2023</v>
      </c>
      <c r="E760" s="7">
        <v>11356.19</v>
      </c>
      <c r="F760" s="8">
        <v>11356.19</v>
      </c>
      <c r="G760" s="7">
        <v>14845.64</v>
      </c>
      <c r="H760" s="7">
        <v>14845.643790172169</v>
      </c>
    </row>
    <row r="761" spans="1:8" x14ac:dyDescent="0.35">
      <c r="A761">
        <v>313320</v>
      </c>
      <c r="B761">
        <v>3133204</v>
      </c>
      <c r="C761" t="s">
        <v>84</v>
      </c>
      <c r="D761">
        <v>2024</v>
      </c>
      <c r="E761" s="7">
        <v>10753.56</v>
      </c>
      <c r="F761" s="8">
        <v>10257.976951087952</v>
      </c>
      <c r="G761" s="7">
        <v>16099.78</v>
      </c>
      <c r="H761" s="7">
        <v>15357.816341017677</v>
      </c>
    </row>
    <row r="762" spans="1:8" x14ac:dyDescent="0.35">
      <c r="A762">
        <v>313330</v>
      </c>
      <c r="B762">
        <v>3133303</v>
      </c>
      <c r="C762" t="s">
        <v>85</v>
      </c>
      <c r="D762">
        <v>2015</v>
      </c>
      <c r="E762" s="7">
        <v>6183.31</v>
      </c>
      <c r="F762" s="8">
        <v>9321.0869216388437</v>
      </c>
      <c r="G762" s="7">
        <v>6144.72</v>
      </c>
      <c r="H762" s="7">
        <v>9262.9118640671641</v>
      </c>
    </row>
    <row r="763" spans="1:8" x14ac:dyDescent="0.35">
      <c r="A763">
        <v>313330</v>
      </c>
      <c r="B763">
        <v>3133303</v>
      </c>
      <c r="C763" t="s">
        <v>85</v>
      </c>
      <c r="D763">
        <v>2016</v>
      </c>
      <c r="E763" s="7">
        <v>5952.61</v>
      </c>
      <c r="F763" s="8">
        <v>8442.4555007014678</v>
      </c>
      <c r="G763" s="7">
        <v>7664.08</v>
      </c>
      <c r="H763" s="7">
        <v>10869.795043918468</v>
      </c>
    </row>
    <row r="764" spans="1:8" x14ac:dyDescent="0.35">
      <c r="A764">
        <v>313330</v>
      </c>
      <c r="B764">
        <v>3133303</v>
      </c>
      <c r="C764" t="s">
        <v>85</v>
      </c>
      <c r="D764">
        <v>2017</v>
      </c>
      <c r="E764" s="7">
        <v>6487.69</v>
      </c>
      <c r="F764" s="8">
        <v>8937.9098063037218</v>
      </c>
      <c r="G764" s="7">
        <v>7411.07</v>
      </c>
      <c r="H764" s="7">
        <v>10210.025590929057</v>
      </c>
    </row>
    <row r="765" spans="1:8" x14ac:dyDescent="0.35">
      <c r="A765">
        <v>313330</v>
      </c>
      <c r="B765">
        <v>3133303</v>
      </c>
      <c r="C765" t="s">
        <v>85</v>
      </c>
      <c r="D765">
        <v>2018</v>
      </c>
      <c r="E765" s="7">
        <v>5686.49</v>
      </c>
      <c r="F765" s="8">
        <v>7551.2795768153228</v>
      </c>
      <c r="G765" s="7">
        <v>7519.72</v>
      </c>
      <c r="H765" s="7">
        <v>9985.6892961013764</v>
      </c>
    </row>
    <row r="766" spans="1:8" x14ac:dyDescent="0.35">
      <c r="A766">
        <v>313330</v>
      </c>
      <c r="B766">
        <v>3133303</v>
      </c>
      <c r="C766" t="s">
        <v>85</v>
      </c>
      <c r="D766">
        <v>2019</v>
      </c>
      <c r="E766" s="7">
        <v>6514.02</v>
      </c>
      <c r="F766" s="8">
        <v>8293.0719882336361</v>
      </c>
      <c r="G766" s="7">
        <v>8366.8700000000008</v>
      </c>
      <c r="H766" s="7">
        <v>10651.955790008491</v>
      </c>
    </row>
    <row r="767" spans="1:8" x14ac:dyDescent="0.35">
      <c r="A767">
        <v>313330</v>
      </c>
      <c r="B767">
        <v>3133303</v>
      </c>
      <c r="C767" t="s">
        <v>85</v>
      </c>
      <c r="D767">
        <v>2020</v>
      </c>
      <c r="E767" s="7">
        <v>8084.27</v>
      </c>
      <c r="F767" s="8">
        <v>9847.326176341001</v>
      </c>
      <c r="G767" s="7">
        <v>8840.65</v>
      </c>
      <c r="H767" s="7">
        <v>10768.666953207834</v>
      </c>
    </row>
    <row r="768" spans="1:8" x14ac:dyDescent="0.35">
      <c r="A768">
        <v>313330</v>
      </c>
      <c r="B768">
        <v>3133303</v>
      </c>
      <c r="C768" t="s">
        <v>85</v>
      </c>
      <c r="D768">
        <v>2021</v>
      </c>
      <c r="E768" s="7">
        <v>12629.43</v>
      </c>
      <c r="F768" s="8">
        <v>13977.447751338228</v>
      </c>
      <c r="G768" s="7">
        <v>12862.3</v>
      </c>
      <c r="H768" s="7">
        <v>14235.171255386351</v>
      </c>
    </row>
    <row r="769" spans="1:8" x14ac:dyDescent="0.35">
      <c r="A769">
        <v>313330</v>
      </c>
      <c r="B769">
        <v>3133303</v>
      </c>
      <c r="C769" t="s">
        <v>85</v>
      </c>
      <c r="D769">
        <v>2022</v>
      </c>
      <c r="E769" s="7">
        <v>14494.36</v>
      </c>
      <c r="F769" s="8">
        <v>15164.171915620576</v>
      </c>
      <c r="G769" s="7">
        <v>14293.22</v>
      </c>
      <c r="H769" s="7">
        <v>14953.739172676133</v>
      </c>
    </row>
    <row r="770" spans="1:8" x14ac:dyDescent="0.35">
      <c r="A770">
        <v>313330</v>
      </c>
      <c r="B770">
        <v>3133303</v>
      </c>
      <c r="C770" t="s">
        <v>85</v>
      </c>
      <c r="D770">
        <v>2023</v>
      </c>
      <c r="E770" s="7">
        <v>12206.82</v>
      </c>
      <c r="F770" s="8">
        <v>12206.82</v>
      </c>
      <c r="G770" s="7">
        <v>16086.91</v>
      </c>
      <c r="H770" s="7">
        <v>16086.907580037667</v>
      </c>
    </row>
    <row r="771" spans="1:8" x14ac:dyDescent="0.35">
      <c r="A771">
        <v>313330</v>
      </c>
      <c r="B771">
        <v>3133303</v>
      </c>
      <c r="C771" t="s">
        <v>85</v>
      </c>
      <c r="D771">
        <v>2024</v>
      </c>
      <c r="E771" s="7">
        <v>11437.1</v>
      </c>
      <c r="F771" s="8">
        <v>10910.015677346666</v>
      </c>
      <c r="G771" s="7">
        <v>17094.599999999999</v>
      </c>
      <c r="H771" s="7">
        <v>16306.784430909436</v>
      </c>
    </row>
    <row r="772" spans="1:8" x14ac:dyDescent="0.35">
      <c r="A772">
        <v>313400</v>
      </c>
      <c r="B772">
        <v>3134004</v>
      </c>
      <c r="C772" t="s">
        <v>86</v>
      </c>
      <c r="D772">
        <v>2015</v>
      </c>
      <c r="E772" s="7">
        <v>5636.59</v>
      </c>
      <c r="F772" s="8">
        <v>8496.9288830157784</v>
      </c>
      <c r="G772" s="7">
        <v>6555.06</v>
      </c>
      <c r="H772" s="7">
        <v>9881.4804209533468</v>
      </c>
    </row>
    <row r="773" spans="1:8" x14ac:dyDescent="0.35">
      <c r="A773">
        <v>313400</v>
      </c>
      <c r="B773">
        <v>3134004</v>
      </c>
      <c r="C773" t="s">
        <v>86</v>
      </c>
      <c r="D773">
        <v>2016</v>
      </c>
      <c r="E773" s="7">
        <v>6215.14</v>
      </c>
      <c r="F773" s="8">
        <v>8814.7960105953061</v>
      </c>
      <c r="G773" s="7">
        <v>8109.6</v>
      </c>
      <c r="H773" s="7">
        <v>11501.66456974788</v>
      </c>
    </row>
    <row r="774" spans="1:8" x14ac:dyDescent="0.35">
      <c r="A774">
        <v>313400</v>
      </c>
      <c r="B774">
        <v>3134004</v>
      </c>
      <c r="C774" t="s">
        <v>86</v>
      </c>
      <c r="D774">
        <v>2017</v>
      </c>
      <c r="E774" s="7">
        <v>6300.64</v>
      </c>
      <c r="F774" s="8">
        <v>8680.2162313534536</v>
      </c>
      <c r="G774" s="7">
        <v>7711.52</v>
      </c>
      <c r="H774" s="7">
        <v>10623.950883256684</v>
      </c>
    </row>
    <row r="775" spans="1:8" x14ac:dyDescent="0.35">
      <c r="A775">
        <v>313400</v>
      </c>
      <c r="B775">
        <v>3134004</v>
      </c>
      <c r="C775" t="s">
        <v>86</v>
      </c>
      <c r="D775">
        <v>2018</v>
      </c>
      <c r="E775" s="7">
        <v>5999.35</v>
      </c>
      <c r="F775" s="8">
        <v>7966.7367970693713</v>
      </c>
      <c r="G775" s="7">
        <v>7297.27</v>
      </c>
      <c r="H775" s="7">
        <v>9690.2848043966351</v>
      </c>
    </row>
    <row r="776" spans="1:8" x14ac:dyDescent="0.35">
      <c r="A776">
        <v>313400</v>
      </c>
      <c r="B776">
        <v>3134004</v>
      </c>
      <c r="C776" t="s">
        <v>86</v>
      </c>
      <c r="D776">
        <v>2019</v>
      </c>
      <c r="E776" s="7">
        <v>7385.05</v>
      </c>
      <c r="F776" s="8">
        <v>9401.9900593957063</v>
      </c>
      <c r="G776" s="7">
        <v>8438.0300000000007</v>
      </c>
      <c r="H776" s="7">
        <v>10742.553693585196</v>
      </c>
    </row>
    <row r="777" spans="1:8" x14ac:dyDescent="0.35">
      <c r="A777">
        <v>313400</v>
      </c>
      <c r="B777">
        <v>3134004</v>
      </c>
      <c r="C777" t="s">
        <v>86</v>
      </c>
      <c r="D777">
        <v>2020</v>
      </c>
      <c r="E777" s="7">
        <v>7247.18</v>
      </c>
      <c r="F777" s="8">
        <v>8827.6795948991039</v>
      </c>
      <c r="G777" s="7">
        <v>8848</v>
      </c>
      <c r="H777" s="7">
        <v>10777.615710526579</v>
      </c>
    </row>
    <row r="778" spans="1:8" x14ac:dyDescent="0.35">
      <c r="A778">
        <v>313400</v>
      </c>
      <c r="B778">
        <v>3134004</v>
      </c>
      <c r="C778" t="s">
        <v>86</v>
      </c>
      <c r="D778">
        <v>2021</v>
      </c>
      <c r="E778" s="7">
        <v>10252.5</v>
      </c>
      <c r="F778" s="8">
        <v>11346.813203018281</v>
      </c>
      <c r="G778" s="7">
        <v>10360.9</v>
      </c>
      <c r="H778" s="7">
        <v>11466.781508851322</v>
      </c>
    </row>
    <row r="779" spans="1:8" x14ac:dyDescent="0.35">
      <c r="A779">
        <v>313400</v>
      </c>
      <c r="B779">
        <v>3134004</v>
      </c>
      <c r="C779" t="s">
        <v>86</v>
      </c>
      <c r="D779">
        <v>2022</v>
      </c>
      <c r="E779" s="7">
        <v>12646.71</v>
      </c>
      <c r="F779" s="8">
        <v>13231.13849849168</v>
      </c>
      <c r="G779" s="7">
        <v>14756.62</v>
      </c>
      <c r="H779" s="7">
        <v>15438.548952305628</v>
      </c>
    </row>
    <row r="780" spans="1:8" x14ac:dyDescent="0.35">
      <c r="A780">
        <v>313400</v>
      </c>
      <c r="B780">
        <v>3134004</v>
      </c>
      <c r="C780" t="s">
        <v>86</v>
      </c>
      <c r="D780">
        <v>2023</v>
      </c>
      <c r="E780" s="7">
        <v>15705</v>
      </c>
      <c r="F780" s="8">
        <v>15705</v>
      </c>
      <c r="G780" s="7">
        <v>18253.830000000002</v>
      </c>
      <c r="H780" s="7">
        <v>18253.829831611962</v>
      </c>
    </row>
    <row r="781" spans="1:8" x14ac:dyDescent="0.35">
      <c r="A781">
        <v>313400</v>
      </c>
      <c r="B781">
        <v>3134004</v>
      </c>
      <c r="C781" t="s">
        <v>86</v>
      </c>
      <c r="D781">
        <v>2024</v>
      </c>
      <c r="E781" s="7">
        <v>16598.09</v>
      </c>
      <c r="F781" s="8">
        <v>15833.158940116895</v>
      </c>
      <c r="G781" s="7">
        <v>23405.360000000001</v>
      </c>
      <c r="H781" s="7">
        <v>22326.710320543276</v>
      </c>
    </row>
    <row r="782" spans="1:8" x14ac:dyDescent="0.35">
      <c r="A782">
        <v>313410</v>
      </c>
      <c r="B782">
        <v>3134103</v>
      </c>
      <c r="C782" t="s">
        <v>87</v>
      </c>
      <c r="D782">
        <v>2015</v>
      </c>
      <c r="E782" s="7">
        <v>7363.1</v>
      </c>
      <c r="F782" s="8">
        <v>11099.572092086433</v>
      </c>
      <c r="G782" s="7">
        <v>7902.51</v>
      </c>
      <c r="H782" s="7">
        <v>11912.707978799075</v>
      </c>
    </row>
    <row r="783" spans="1:8" x14ac:dyDescent="0.35">
      <c r="A783">
        <v>313410</v>
      </c>
      <c r="B783">
        <v>3134103</v>
      </c>
      <c r="C783" t="s">
        <v>87</v>
      </c>
      <c r="D783">
        <v>2016</v>
      </c>
      <c r="E783" s="7">
        <v>6325.3</v>
      </c>
      <c r="F783" s="8">
        <v>8971.0335094331731</v>
      </c>
      <c r="G783" s="7">
        <v>8331.6</v>
      </c>
      <c r="H783" s="7">
        <v>11816.526862281724</v>
      </c>
    </row>
    <row r="784" spans="1:8" x14ac:dyDescent="0.35">
      <c r="A784">
        <v>313410</v>
      </c>
      <c r="B784">
        <v>3134103</v>
      </c>
      <c r="C784" t="s">
        <v>87</v>
      </c>
      <c r="D784">
        <v>2017</v>
      </c>
      <c r="E784" s="7">
        <v>6997.39</v>
      </c>
      <c r="F784" s="8">
        <v>9640.1092992315625</v>
      </c>
      <c r="G784" s="7">
        <v>8632.9599999999991</v>
      </c>
      <c r="H784" s="7">
        <v>11893.390197130795</v>
      </c>
    </row>
    <row r="785" spans="1:8" x14ac:dyDescent="0.35">
      <c r="A785">
        <v>313410</v>
      </c>
      <c r="B785">
        <v>3134103</v>
      </c>
      <c r="C785" t="s">
        <v>87</v>
      </c>
      <c r="D785">
        <v>2018</v>
      </c>
      <c r="E785" s="7">
        <v>6920.56</v>
      </c>
      <c r="F785" s="8">
        <v>9190.0422559654653</v>
      </c>
      <c r="G785" s="7">
        <v>9227.39</v>
      </c>
      <c r="H785" s="7">
        <v>12253.360578849768</v>
      </c>
    </row>
    <row r="786" spans="1:8" x14ac:dyDescent="0.35">
      <c r="A786">
        <v>313410</v>
      </c>
      <c r="B786">
        <v>3134103</v>
      </c>
      <c r="C786" t="s">
        <v>87</v>
      </c>
      <c r="D786">
        <v>2019</v>
      </c>
      <c r="E786" s="7">
        <v>7101.29</v>
      </c>
      <c r="F786" s="8">
        <v>9040.7320179126928</v>
      </c>
      <c r="G786" s="7">
        <v>9970.17</v>
      </c>
      <c r="H786" s="7">
        <v>12693.137904411531</v>
      </c>
    </row>
    <row r="787" spans="1:8" x14ac:dyDescent="0.35">
      <c r="A787">
        <v>313410</v>
      </c>
      <c r="B787">
        <v>3134103</v>
      </c>
      <c r="C787" t="s">
        <v>87</v>
      </c>
      <c r="D787">
        <v>2020</v>
      </c>
      <c r="E787" s="7">
        <v>9352.69</v>
      </c>
      <c r="F787" s="8">
        <v>11392.369262308497</v>
      </c>
      <c r="G787" s="7">
        <v>10234.14</v>
      </c>
      <c r="H787" s="7">
        <v>12466.055303583122</v>
      </c>
    </row>
    <row r="788" spans="1:8" x14ac:dyDescent="0.35">
      <c r="A788">
        <v>313410</v>
      </c>
      <c r="B788">
        <v>3134103</v>
      </c>
      <c r="C788" t="s">
        <v>87</v>
      </c>
      <c r="D788">
        <v>2021</v>
      </c>
      <c r="E788" s="7">
        <v>11679.67</v>
      </c>
      <c r="F788" s="8">
        <v>12926.313949075497</v>
      </c>
      <c r="G788" s="7">
        <v>11946.21</v>
      </c>
      <c r="H788" s="7">
        <v>13221.305014252921</v>
      </c>
    </row>
    <row r="789" spans="1:8" x14ac:dyDescent="0.35">
      <c r="A789">
        <v>313410</v>
      </c>
      <c r="B789">
        <v>3134103</v>
      </c>
      <c r="C789" t="s">
        <v>87</v>
      </c>
      <c r="D789">
        <v>2022</v>
      </c>
      <c r="E789" s="7">
        <v>12545.09</v>
      </c>
      <c r="F789" s="8">
        <v>13124.822445208518</v>
      </c>
      <c r="G789" s="7">
        <v>18546.89</v>
      </c>
      <c r="H789" s="7">
        <v>19403.971901155779</v>
      </c>
    </row>
    <row r="790" spans="1:8" x14ac:dyDescent="0.35">
      <c r="A790">
        <v>313410</v>
      </c>
      <c r="B790">
        <v>3134103</v>
      </c>
      <c r="C790" t="s">
        <v>87</v>
      </c>
      <c r="D790">
        <v>2023</v>
      </c>
      <c r="E790" s="7">
        <v>12676.79</v>
      </c>
      <c r="F790" s="8">
        <v>12676.79</v>
      </c>
      <c r="G790" s="7">
        <v>17835.78</v>
      </c>
      <c r="H790" s="7">
        <v>17835.78139204541</v>
      </c>
    </row>
    <row r="791" spans="1:8" x14ac:dyDescent="0.35">
      <c r="A791">
        <v>313410</v>
      </c>
      <c r="B791">
        <v>3134103</v>
      </c>
      <c r="C791" t="s">
        <v>87</v>
      </c>
      <c r="D791">
        <v>2024</v>
      </c>
      <c r="E791" s="7">
        <v>16078.33</v>
      </c>
      <c r="F791" s="8">
        <v>15337.35233280755</v>
      </c>
      <c r="G791" s="7">
        <v>19529.830000000002</v>
      </c>
      <c r="H791" s="7">
        <v>18629.785430030897</v>
      </c>
    </row>
    <row r="792" spans="1:8" x14ac:dyDescent="0.35">
      <c r="A792">
        <v>313470</v>
      </c>
      <c r="B792">
        <v>3134707</v>
      </c>
      <c r="C792" t="s">
        <v>88</v>
      </c>
      <c r="D792">
        <v>2015</v>
      </c>
      <c r="E792" s="7">
        <v>4926.51</v>
      </c>
      <c r="F792" s="8">
        <v>7426.5123259747579</v>
      </c>
      <c r="G792" s="7">
        <v>4844.88</v>
      </c>
      <c r="H792" s="7">
        <v>7303.463437005561</v>
      </c>
    </row>
    <row r="793" spans="1:8" x14ac:dyDescent="0.35">
      <c r="A793">
        <v>313470</v>
      </c>
      <c r="B793">
        <v>3134707</v>
      </c>
      <c r="C793" t="s">
        <v>88</v>
      </c>
      <c r="D793">
        <v>2016</v>
      </c>
      <c r="E793" s="7">
        <v>5457.47</v>
      </c>
      <c r="F793" s="8">
        <v>7740.2093571413625</v>
      </c>
      <c r="G793" s="7">
        <v>5565.56</v>
      </c>
      <c r="H793" s="7">
        <v>7893.5097505072317</v>
      </c>
    </row>
    <row r="794" spans="1:8" x14ac:dyDescent="0.35">
      <c r="A794">
        <v>313470</v>
      </c>
      <c r="B794">
        <v>3134707</v>
      </c>
      <c r="C794" t="s">
        <v>88</v>
      </c>
      <c r="D794">
        <v>2017</v>
      </c>
      <c r="E794" s="7">
        <v>4723.47</v>
      </c>
      <c r="F794" s="8">
        <v>6507.3930525011901</v>
      </c>
      <c r="G794" s="7">
        <v>4958.26</v>
      </c>
      <c r="H794" s="7">
        <v>6830.8559784856752</v>
      </c>
    </row>
    <row r="795" spans="1:8" x14ac:dyDescent="0.35">
      <c r="A795">
        <v>313470</v>
      </c>
      <c r="B795">
        <v>3134707</v>
      </c>
      <c r="C795" t="s">
        <v>88</v>
      </c>
      <c r="D795">
        <v>2018</v>
      </c>
      <c r="E795" s="7">
        <v>4586.6899999999996</v>
      </c>
      <c r="F795" s="8">
        <v>6090.8185052964254</v>
      </c>
      <c r="G795" s="7">
        <v>4792.8500000000004</v>
      </c>
      <c r="H795" s="7">
        <v>6364.5917697561154</v>
      </c>
    </row>
    <row r="796" spans="1:8" x14ac:dyDescent="0.35">
      <c r="A796">
        <v>313470</v>
      </c>
      <c r="B796">
        <v>3134707</v>
      </c>
      <c r="C796" t="s">
        <v>88</v>
      </c>
      <c r="D796">
        <v>2019</v>
      </c>
      <c r="E796" s="7">
        <v>5950.98</v>
      </c>
      <c r="F796" s="8">
        <v>7576.2594435599831</v>
      </c>
      <c r="G796" s="7">
        <v>6561.97</v>
      </c>
      <c r="H796" s="7">
        <v>8354.1133429410274</v>
      </c>
    </row>
    <row r="797" spans="1:8" x14ac:dyDescent="0.35">
      <c r="A797">
        <v>313470</v>
      </c>
      <c r="B797">
        <v>3134707</v>
      </c>
      <c r="C797" t="s">
        <v>88</v>
      </c>
      <c r="D797">
        <v>2020</v>
      </c>
      <c r="E797" s="7">
        <v>8015.27</v>
      </c>
      <c r="F797" s="8">
        <v>9763.2783271019816</v>
      </c>
      <c r="G797" s="7">
        <v>6919.55</v>
      </c>
      <c r="H797" s="7">
        <v>8428.5931105398558</v>
      </c>
    </row>
    <row r="798" spans="1:8" x14ac:dyDescent="0.35">
      <c r="A798">
        <v>313470</v>
      </c>
      <c r="B798">
        <v>3134707</v>
      </c>
      <c r="C798" t="s">
        <v>88</v>
      </c>
      <c r="D798">
        <v>2021</v>
      </c>
      <c r="E798" s="7">
        <v>10293.290000000001</v>
      </c>
      <c r="F798" s="8">
        <v>11391.956973859649</v>
      </c>
      <c r="G798" s="7">
        <v>9483.5499999999993</v>
      </c>
      <c r="H798" s="7">
        <v>10495.78800686083</v>
      </c>
    </row>
    <row r="799" spans="1:8" x14ac:dyDescent="0.35">
      <c r="A799">
        <v>313470</v>
      </c>
      <c r="B799">
        <v>3134707</v>
      </c>
      <c r="C799" t="s">
        <v>88</v>
      </c>
      <c r="D799">
        <v>2022</v>
      </c>
      <c r="E799" s="7">
        <v>15491.85</v>
      </c>
      <c r="F799" s="8">
        <v>16207.757823802267</v>
      </c>
      <c r="G799" s="7">
        <v>18437.34</v>
      </c>
      <c r="H799" s="7">
        <v>19289.367095080368</v>
      </c>
    </row>
    <row r="800" spans="1:8" x14ac:dyDescent="0.35">
      <c r="A800">
        <v>313470</v>
      </c>
      <c r="B800">
        <v>3134707</v>
      </c>
      <c r="C800" t="s">
        <v>88</v>
      </c>
      <c r="D800">
        <v>2023</v>
      </c>
      <c r="E800" s="7">
        <v>17346.46</v>
      </c>
      <c r="F800" s="8">
        <v>17346.46</v>
      </c>
      <c r="G800" s="7">
        <v>17665.560000000001</v>
      </c>
      <c r="H800" s="7">
        <v>17665.560478411611</v>
      </c>
    </row>
    <row r="801" spans="1:8" x14ac:dyDescent="0.35">
      <c r="A801">
        <v>313470</v>
      </c>
      <c r="B801">
        <v>3134707</v>
      </c>
      <c r="C801" t="s">
        <v>88</v>
      </c>
      <c r="D801">
        <v>2024</v>
      </c>
      <c r="E801" s="7">
        <v>17749.29</v>
      </c>
      <c r="F801" s="8">
        <v>16931.305327554401</v>
      </c>
      <c r="G801" s="7">
        <v>22963.21</v>
      </c>
      <c r="H801" s="7">
        <v>21904.938500501354</v>
      </c>
    </row>
    <row r="802" spans="1:8" x14ac:dyDescent="0.35">
      <c r="A802">
        <v>313505</v>
      </c>
      <c r="B802">
        <v>3135050</v>
      </c>
      <c r="C802" t="s">
        <v>89</v>
      </c>
      <c r="D802">
        <v>2015</v>
      </c>
      <c r="E802" s="7">
        <v>7133.32</v>
      </c>
      <c r="F802" s="8">
        <v>10753.188140310738</v>
      </c>
      <c r="G802" s="7">
        <v>6719.73</v>
      </c>
      <c r="H802" s="7">
        <v>10129.711176459183</v>
      </c>
    </row>
    <row r="803" spans="1:8" x14ac:dyDescent="0.35">
      <c r="A803">
        <v>313505</v>
      </c>
      <c r="B803">
        <v>3135050</v>
      </c>
      <c r="C803" t="s">
        <v>89</v>
      </c>
      <c r="D803">
        <v>2016</v>
      </c>
      <c r="E803" s="7">
        <v>5935.27</v>
      </c>
      <c r="F803" s="8">
        <v>8417.8625610695835</v>
      </c>
      <c r="G803" s="7">
        <v>6899.96</v>
      </c>
      <c r="H803" s="7">
        <v>9786.0639310709503</v>
      </c>
    </row>
    <row r="804" spans="1:8" x14ac:dyDescent="0.35">
      <c r="A804">
        <v>313505</v>
      </c>
      <c r="B804">
        <v>3135050</v>
      </c>
      <c r="C804" t="s">
        <v>89</v>
      </c>
      <c r="D804">
        <v>2017</v>
      </c>
      <c r="E804" s="7">
        <v>6894.63</v>
      </c>
      <c r="F804" s="8">
        <v>9498.5397094860946</v>
      </c>
      <c r="G804" s="7">
        <v>8451.0300000000007</v>
      </c>
      <c r="H804" s="7">
        <v>11642.743819939156</v>
      </c>
    </row>
    <row r="805" spans="1:8" x14ac:dyDescent="0.35">
      <c r="A805">
        <v>313505</v>
      </c>
      <c r="B805">
        <v>3135050</v>
      </c>
      <c r="C805" t="s">
        <v>89</v>
      </c>
      <c r="D805">
        <v>2018</v>
      </c>
      <c r="E805" s="7">
        <v>8932.23</v>
      </c>
      <c r="F805" s="8">
        <v>11861.405889119145</v>
      </c>
      <c r="G805" s="7">
        <v>12828.43</v>
      </c>
      <c r="H805" s="7">
        <v>17035.30072984652</v>
      </c>
    </row>
    <row r="806" spans="1:8" x14ac:dyDescent="0.35">
      <c r="A806">
        <v>313505</v>
      </c>
      <c r="B806">
        <v>3135050</v>
      </c>
      <c r="C806" t="s">
        <v>89</v>
      </c>
      <c r="D806">
        <v>2019</v>
      </c>
      <c r="E806" s="7">
        <v>9139.33</v>
      </c>
      <c r="F806" s="8">
        <v>11635.383620901273</v>
      </c>
      <c r="G806" s="7">
        <v>12926.4</v>
      </c>
      <c r="H806" s="7">
        <v>16456.745945170907</v>
      </c>
    </row>
    <row r="807" spans="1:8" x14ac:dyDescent="0.35">
      <c r="A807">
        <v>313505</v>
      </c>
      <c r="B807">
        <v>3135050</v>
      </c>
      <c r="C807" t="s">
        <v>89</v>
      </c>
      <c r="D807">
        <v>2020</v>
      </c>
      <c r="E807" s="7">
        <v>10322.76</v>
      </c>
      <c r="F807" s="8">
        <v>12573.996756675102</v>
      </c>
      <c r="G807" s="7">
        <v>11902.81</v>
      </c>
      <c r="H807" s="7">
        <v>14498.62697197753</v>
      </c>
    </row>
    <row r="808" spans="1:8" x14ac:dyDescent="0.35">
      <c r="A808">
        <v>313505</v>
      </c>
      <c r="B808">
        <v>3135050</v>
      </c>
      <c r="C808" t="s">
        <v>89</v>
      </c>
      <c r="D808">
        <v>2021</v>
      </c>
      <c r="E808" s="7">
        <v>14525.05</v>
      </c>
      <c r="F808" s="8">
        <v>16075.399084564806</v>
      </c>
      <c r="G808" s="7">
        <v>14929.35</v>
      </c>
      <c r="H808" s="7">
        <v>16522.84991455331</v>
      </c>
    </row>
    <row r="809" spans="1:8" x14ac:dyDescent="0.35">
      <c r="A809">
        <v>313505</v>
      </c>
      <c r="B809">
        <v>3135050</v>
      </c>
      <c r="C809" t="s">
        <v>89</v>
      </c>
      <c r="D809">
        <v>2022</v>
      </c>
      <c r="E809" s="7">
        <v>18822.060000000001</v>
      </c>
      <c r="F809" s="8">
        <v>19691.863155470503</v>
      </c>
      <c r="G809" s="7">
        <v>25288</v>
      </c>
      <c r="H809" s="7">
        <v>26456.605336797133</v>
      </c>
    </row>
    <row r="810" spans="1:8" x14ac:dyDescent="0.35">
      <c r="A810">
        <v>313505</v>
      </c>
      <c r="B810">
        <v>3135050</v>
      </c>
      <c r="C810" t="s">
        <v>89</v>
      </c>
      <c r="D810">
        <v>2023</v>
      </c>
      <c r="E810" s="7">
        <v>17250.580000000002</v>
      </c>
      <c r="F810" s="8">
        <v>17250.580000000002</v>
      </c>
      <c r="G810" s="7">
        <v>23693.13</v>
      </c>
      <c r="H810" s="7">
        <v>23693.129885188042</v>
      </c>
    </row>
    <row r="811" spans="1:8" x14ac:dyDescent="0.35">
      <c r="A811">
        <v>313505</v>
      </c>
      <c r="B811">
        <v>3135050</v>
      </c>
      <c r="C811" t="s">
        <v>89</v>
      </c>
      <c r="D811">
        <v>2024</v>
      </c>
      <c r="E811" s="7">
        <v>20130.400000000001</v>
      </c>
      <c r="F811" s="8">
        <v>19202.680713752554</v>
      </c>
      <c r="G811" s="7">
        <v>29257.22</v>
      </c>
      <c r="H811" s="7">
        <v>27908.889958179294</v>
      </c>
    </row>
    <row r="812" spans="1:8" x14ac:dyDescent="0.35">
      <c r="A812">
        <v>313510</v>
      </c>
      <c r="B812">
        <v>3135100</v>
      </c>
      <c r="C812" t="s">
        <v>90</v>
      </c>
      <c r="D812">
        <v>2015</v>
      </c>
      <c r="E812" s="7">
        <v>7636.73</v>
      </c>
      <c r="F812" s="8">
        <v>11512.058125354704</v>
      </c>
      <c r="G812" s="7">
        <v>4566.87</v>
      </c>
      <c r="H812" s="7">
        <v>6884.3702931376529</v>
      </c>
    </row>
    <row r="813" spans="1:8" x14ac:dyDescent="0.35">
      <c r="A813">
        <v>313510</v>
      </c>
      <c r="B813">
        <v>3135100</v>
      </c>
      <c r="C813" t="s">
        <v>90</v>
      </c>
      <c r="D813">
        <v>2016</v>
      </c>
      <c r="E813" s="7">
        <v>7184.89</v>
      </c>
      <c r="F813" s="8">
        <v>10190.171051427018</v>
      </c>
      <c r="G813" s="7">
        <v>5391.98</v>
      </c>
      <c r="H813" s="7">
        <v>7647.3320799645226</v>
      </c>
    </row>
    <row r="814" spans="1:8" x14ac:dyDescent="0.35">
      <c r="A814">
        <v>313510</v>
      </c>
      <c r="B814">
        <v>3135100</v>
      </c>
      <c r="C814" t="s">
        <v>90</v>
      </c>
      <c r="D814">
        <v>2017</v>
      </c>
      <c r="E814" s="7">
        <v>5810.45</v>
      </c>
      <c r="F814" s="8">
        <v>8004.8951219983483</v>
      </c>
      <c r="G814" s="7">
        <v>6262.63</v>
      </c>
      <c r="H814" s="7">
        <v>8627.846332715988</v>
      </c>
    </row>
    <row r="815" spans="1:8" x14ac:dyDescent="0.35">
      <c r="A815">
        <v>313510</v>
      </c>
      <c r="B815">
        <v>3135100</v>
      </c>
      <c r="C815" t="s">
        <v>90</v>
      </c>
      <c r="D815">
        <v>2018</v>
      </c>
      <c r="E815" s="7">
        <v>4594.83</v>
      </c>
      <c r="F815" s="8">
        <v>6101.6278825669879</v>
      </c>
      <c r="G815" s="7">
        <v>5472.72</v>
      </c>
      <c r="H815" s="7">
        <v>7267.4115605886745</v>
      </c>
    </row>
    <row r="816" spans="1:8" x14ac:dyDescent="0.35">
      <c r="A816">
        <v>313510</v>
      </c>
      <c r="B816">
        <v>3135100</v>
      </c>
      <c r="C816" t="s">
        <v>90</v>
      </c>
      <c r="D816">
        <v>2019</v>
      </c>
      <c r="E816" s="7">
        <v>5422.2</v>
      </c>
      <c r="F816" s="8">
        <v>6903.0636894882755</v>
      </c>
      <c r="G816" s="7">
        <v>4940.3999999999996</v>
      </c>
      <c r="H816" s="7">
        <v>6289.6783674825683</v>
      </c>
    </row>
    <row r="817" spans="1:8" x14ac:dyDescent="0.35">
      <c r="A817">
        <v>313510</v>
      </c>
      <c r="B817">
        <v>3135100</v>
      </c>
      <c r="C817" t="s">
        <v>90</v>
      </c>
      <c r="D817">
        <v>2020</v>
      </c>
      <c r="E817" s="7">
        <v>5223.62</v>
      </c>
      <c r="F817" s="8">
        <v>6362.8119745206895</v>
      </c>
      <c r="G817" s="7">
        <v>4386.99</v>
      </c>
      <c r="H817" s="7">
        <v>5343.7219324647967</v>
      </c>
    </row>
    <row r="818" spans="1:8" x14ac:dyDescent="0.35">
      <c r="A818">
        <v>313510</v>
      </c>
      <c r="B818">
        <v>3135100</v>
      </c>
      <c r="C818" t="s">
        <v>90</v>
      </c>
      <c r="D818">
        <v>2021</v>
      </c>
      <c r="E818" s="7">
        <v>9180.77</v>
      </c>
      <c r="F818" s="8">
        <v>10160.690782723643</v>
      </c>
      <c r="G818" s="7">
        <v>5838.62</v>
      </c>
      <c r="H818" s="7">
        <v>6461.8108456837153</v>
      </c>
    </row>
    <row r="819" spans="1:8" x14ac:dyDescent="0.35">
      <c r="A819">
        <v>313510</v>
      </c>
      <c r="B819">
        <v>3135100</v>
      </c>
      <c r="C819" t="s">
        <v>90</v>
      </c>
      <c r="D819">
        <v>2022</v>
      </c>
      <c r="E819" s="7">
        <v>10775.4</v>
      </c>
      <c r="F819" s="8">
        <v>11273.351707807586</v>
      </c>
      <c r="G819" s="7">
        <v>9174.0300000000007</v>
      </c>
      <c r="H819" s="7">
        <v>9597.9791605198316</v>
      </c>
    </row>
    <row r="820" spans="1:8" x14ac:dyDescent="0.35">
      <c r="A820">
        <v>313510</v>
      </c>
      <c r="B820">
        <v>3135100</v>
      </c>
      <c r="C820" t="s">
        <v>90</v>
      </c>
      <c r="D820">
        <v>2023</v>
      </c>
      <c r="E820" s="7">
        <v>14002.98</v>
      </c>
      <c r="F820" s="8">
        <v>14002.98</v>
      </c>
      <c r="G820" s="7">
        <v>13272.57</v>
      </c>
      <c r="H820" s="7">
        <v>13272.570342661222</v>
      </c>
    </row>
    <row r="821" spans="1:8" x14ac:dyDescent="0.35">
      <c r="A821">
        <v>313510</v>
      </c>
      <c r="B821">
        <v>3135100</v>
      </c>
      <c r="C821" t="s">
        <v>90</v>
      </c>
      <c r="D821">
        <v>2024</v>
      </c>
      <c r="E821" s="7">
        <v>17079.849999999999</v>
      </c>
      <c r="F821" s="8">
        <v>16292.716795929864</v>
      </c>
      <c r="G821" s="7">
        <v>14697.06</v>
      </c>
      <c r="H821" s="7">
        <v>14019.739509691983</v>
      </c>
    </row>
    <row r="822" spans="1:8" x14ac:dyDescent="0.35">
      <c r="A822">
        <v>313520</v>
      </c>
      <c r="B822">
        <v>3135209</v>
      </c>
      <c r="C822" t="s">
        <v>91</v>
      </c>
      <c r="D822">
        <v>2015</v>
      </c>
      <c r="E822" s="7">
        <v>7892.39</v>
      </c>
      <c r="F822" s="8">
        <v>11897.455118613363</v>
      </c>
      <c r="G822" s="7">
        <v>5982.03</v>
      </c>
      <c r="H822" s="7">
        <v>9017.668862854156</v>
      </c>
    </row>
    <row r="823" spans="1:8" x14ac:dyDescent="0.35">
      <c r="A823">
        <v>313520</v>
      </c>
      <c r="B823">
        <v>3135209</v>
      </c>
      <c r="C823" t="s">
        <v>91</v>
      </c>
      <c r="D823">
        <v>2016</v>
      </c>
      <c r="E823" s="7">
        <v>5992.37</v>
      </c>
      <c r="F823" s="8">
        <v>8498.8462319450555</v>
      </c>
      <c r="G823" s="7">
        <v>597.21</v>
      </c>
      <c r="H823" s="7">
        <v>847.01353710242665</v>
      </c>
    </row>
    <row r="824" spans="1:8" x14ac:dyDescent="0.35">
      <c r="A824">
        <v>313520</v>
      </c>
      <c r="B824">
        <v>3135209</v>
      </c>
      <c r="C824" t="s">
        <v>91</v>
      </c>
      <c r="D824">
        <v>2017</v>
      </c>
      <c r="E824" s="7">
        <v>6605.37</v>
      </c>
      <c r="F824" s="8">
        <v>9100.034264470778</v>
      </c>
      <c r="G824" s="7">
        <v>7218.19</v>
      </c>
      <c r="H824" s="7">
        <v>9944.29435249776</v>
      </c>
    </row>
    <row r="825" spans="1:8" x14ac:dyDescent="0.35">
      <c r="A825">
        <v>313520</v>
      </c>
      <c r="B825">
        <v>3135209</v>
      </c>
      <c r="C825" t="s">
        <v>91</v>
      </c>
      <c r="D825">
        <v>2018</v>
      </c>
      <c r="E825" s="7">
        <v>4723.66</v>
      </c>
      <c r="F825" s="8">
        <v>6272.7055329068489</v>
      </c>
      <c r="G825" s="7">
        <v>5463.84</v>
      </c>
      <c r="H825" s="7">
        <v>7255.6177065294823</v>
      </c>
    </row>
    <row r="826" spans="1:8" x14ac:dyDescent="0.35">
      <c r="A826">
        <v>313520</v>
      </c>
      <c r="B826">
        <v>3135209</v>
      </c>
      <c r="C826" t="s">
        <v>91</v>
      </c>
      <c r="D826">
        <v>2019</v>
      </c>
      <c r="E826" s="7">
        <v>6331.99</v>
      </c>
      <c r="F826" s="8">
        <v>8061.3275517691836</v>
      </c>
      <c r="G826" s="7">
        <v>5687.48</v>
      </c>
      <c r="H826" s="7">
        <v>7240.800708760954</v>
      </c>
    </row>
    <row r="827" spans="1:8" x14ac:dyDescent="0.35">
      <c r="A827">
        <v>313520</v>
      </c>
      <c r="B827">
        <v>3135209</v>
      </c>
      <c r="C827" t="s">
        <v>91</v>
      </c>
      <c r="D827">
        <v>2020</v>
      </c>
      <c r="E827" s="7">
        <v>7822.83</v>
      </c>
      <c r="F827" s="8">
        <v>9528.8700936591267</v>
      </c>
      <c r="G827" s="7">
        <v>5908.53</v>
      </c>
      <c r="H827" s="7">
        <v>7197.0847413914726</v>
      </c>
    </row>
    <row r="828" spans="1:8" x14ac:dyDescent="0.35">
      <c r="A828">
        <v>313520</v>
      </c>
      <c r="B828">
        <v>3135209</v>
      </c>
      <c r="C828" t="s">
        <v>91</v>
      </c>
      <c r="D828">
        <v>2021</v>
      </c>
      <c r="E828" s="7">
        <v>9236.2800000000007</v>
      </c>
      <c r="F828" s="8">
        <v>10222.125710877708</v>
      </c>
      <c r="G828" s="7">
        <v>5996.72</v>
      </c>
      <c r="H828" s="7">
        <v>6636.7862369381601</v>
      </c>
    </row>
    <row r="829" spans="1:8" x14ac:dyDescent="0.35">
      <c r="A829">
        <v>313520</v>
      </c>
      <c r="B829">
        <v>3135209</v>
      </c>
      <c r="C829" t="s">
        <v>91</v>
      </c>
      <c r="D829">
        <v>2022</v>
      </c>
      <c r="E829" s="7">
        <v>12055.07</v>
      </c>
      <c r="F829" s="8">
        <v>12612.157689945616</v>
      </c>
      <c r="G829" s="7">
        <v>2378.9499999999998</v>
      </c>
      <c r="H829" s="7">
        <v>2488.8815310597702</v>
      </c>
    </row>
    <row r="830" spans="1:8" x14ac:dyDescent="0.35">
      <c r="A830">
        <v>313520</v>
      </c>
      <c r="B830">
        <v>3135209</v>
      </c>
      <c r="C830" t="s">
        <v>91</v>
      </c>
      <c r="D830">
        <v>2023</v>
      </c>
      <c r="E830" s="7">
        <v>14862.04</v>
      </c>
      <c r="F830" s="8">
        <v>14862.04</v>
      </c>
      <c r="G830" s="7">
        <v>16090.63</v>
      </c>
      <c r="H830" s="7">
        <v>16090.632893336102</v>
      </c>
    </row>
    <row r="831" spans="1:8" x14ac:dyDescent="0.35">
      <c r="A831">
        <v>313520</v>
      </c>
      <c r="B831">
        <v>3135209</v>
      </c>
      <c r="C831" t="s">
        <v>91</v>
      </c>
      <c r="D831">
        <v>2024</v>
      </c>
      <c r="E831" s="7">
        <v>16651.59</v>
      </c>
      <c r="F831" s="8">
        <v>15884.193366565736</v>
      </c>
      <c r="G831" s="7">
        <v>17116.990000000002</v>
      </c>
      <c r="H831" s="7">
        <v>16328.143373425977</v>
      </c>
    </row>
    <row r="832" spans="1:8" x14ac:dyDescent="0.35">
      <c r="A832">
        <v>313535</v>
      </c>
      <c r="B832">
        <v>3135357</v>
      </c>
      <c r="C832" t="s">
        <v>92</v>
      </c>
      <c r="D832">
        <v>2015</v>
      </c>
      <c r="E832" s="7">
        <v>5766.81</v>
      </c>
      <c r="F832" s="8">
        <v>8693.2302068917943</v>
      </c>
      <c r="G832" s="7">
        <v>4789.92</v>
      </c>
      <c r="H832" s="7">
        <v>7220.606571178274</v>
      </c>
    </row>
    <row r="833" spans="1:8" x14ac:dyDescent="0.35">
      <c r="A833">
        <v>313535</v>
      </c>
      <c r="B833">
        <v>3135357</v>
      </c>
      <c r="C833" t="s">
        <v>92</v>
      </c>
      <c r="D833">
        <v>2016</v>
      </c>
      <c r="E833" s="7">
        <v>3452.58</v>
      </c>
      <c r="F833" s="8">
        <v>4896.7180804070613</v>
      </c>
      <c r="G833" s="7">
        <v>3807.73</v>
      </c>
      <c r="H833" s="7">
        <v>5400.4150168858414</v>
      </c>
    </row>
    <row r="834" spans="1:8" x14ac:dyDescent="0.35">
      <c r="A834">
        <v>313535</v>
      </c>
      <c r="B834">
        <v>3135357</v>
      </c>
      <c r="C834" t="s">
        <v>92</v>
      </c>
      <c r="D834">
        <v>2017</v>
      </c>
      <c r="E834" s="7">
        <v>6053.61</v>
      </c>
      <c r="F834" s="8">
        <v>8339.8898810729661</v>
      </c>
      <c r="G834" s="7">
        <v>6901.4</v>
      </c>
      <c r="H834" s="7">
        <v>9507.8659189883838</v>
      </c>
    </row>
    <row r="835" spans="1:8" x14ac:dyDescent="0.35">
      <c r="A835">
        <v>313535</v>
      </c>
      <c r="B835">
        <v>3135357</v>
      </c>
      <c r="C835" t="s">
        <v>92</v>
      </c>
      <c r="D835">
        <v>2018</v>
      </c>
      <c r="E835" s="7">
        <v>5236.4799999999996</v>
      </c>
      <c r="F835" s="8">
        <v>6953.6963009522387</v>
      </c>
      <c r="G835" s="7">
        <v>6601.88</v>
      </c>
      <c r="H835" s="7">
        <v>8766.8573331183434</v>
      </c>
    </row>
    <row r="836" spans="1:8" x14ac:dyDescent="0.35">
      <c r="A836">
        <v>313535</v>
      </c>
      <c r="B836">
        <v>3135357</v>
      </c>
      <c r="C836" t="s">
        <v>92</v>
      </c>
      <c r="D836">
        <v>2019</v>
      </c>
      <c r="E836" s="7">
        <v>6581.63</v>
      </c>
      <c r="F836" s="8">
        <v>8379.1470382218886</v>
      </c>
      <c r="G836" s="7">
        <v>6875.06</v>
      </c>
      <c r="H836" s="7">
        <v>8752.7181814702908</v>
      </c>
    </row>
    <row r="837" spans="1:8" x14ac:dyDescent="0.35">
      <c r="A837">
        <v>313535</v>
      </c>
      <c r="B837">
        <v>3135357</v>
      </c>
      <c r="C837" t="s">
        <v>92</v>
      </c>
      <c r="D837">
        <v>2020</v>
      </c>
      <c r="E837" s="7">
        <v>6950.14</v>
      </c>
      <c r="F837" s="8">
        <v>8465.8596943489811</v>
      </c>
      <c r="G837" s="7">
        <v>7675.12</v>
      </c>
      <c r="H837" s="7">
        <v>9348.9501086106902</v>
      </c>
    </row>
    <row r="838" spans="1:8" x14ac:dyDescent="0.35">
      <c r="A838">
        <v>313535</v>
      </c>
      <c r="B838">
        <v>3135357</v>
      </c>
      <c r="C838" t="s">
        <v>92</v>
      </c>
      <c r="D838">
        <v>2021</v>
      </c>
      <c r="E838" s="7">
        <v>10332.83</v>
      </c>
      <c r="F838" s="8">
        <v>11435.717324412914</v>
      </c>
      <c r="G838" s="7">
        <v>9811.41</v>
      </c>
      <c r="H838" s="7">
        <v>10858.641235516559</v>
      </c>
    </row>
    <row r="839" spans="1:8" x14ac:dyDescent="0.35">
      <c r="A839">
        <v>313535</v>
      </c>
      <c r="B839">
        <v>3135357</v>
      </c>
      <c r="C839" t="s">
        <v>92</v>
      </c>
      <c r="D839">
        <v>2022</v>
      </c>
      <c r="E839" s="7">
        <v>12439.13</v>
      </c>
      <c r="F839" s="8">
        <v>13013.965832279133</v>
      </c>
      <c r="G839" s="7">
        <v>15508.99</v>
      </c>
      <c r="H839" s="7">
        <v>16225.68501468393</v>
      </c>
    </row>
    <row r="840" spans="1:8" x14ac:dyDescent="0.35">
      <c r="A840">
        <v>313535</v>
      </c>
      <c r="B840">
        <v>3135357</v>
      </c>
      <c r="C840" t="s">
        <v>92</v>
      </c>
      <c r="D840">
        <v>2023</v>
      </c>
      <c r="E840" s="7">
        <v>12419.5</v>
      </c>
      <c r="F840" s="8">
        <v>12419.5</v>
      </c>
      <c r="G840" s="7">
        <v>15414.14</v>
      </c>
      <c r="H840" s="7">
        <v>15414.137575777862</v>
      </c>
    </row>
    <row r="841" spans="1:8" x14ac:dyDescent="0.35">
      <c r="A841">
        <v>313535</v>
      </c>
      <c r="B841">
        <v>3135357</v>
      </c>
      <c r="C841" t="s">
        <v>92</v>
      </c>
      <c r="D841">
        <v>2024</v>
      </c>
      <c r="E841" s="7">
        <v>13760.58</v>
      </c>
      <c r="F841" s="8">
        <v>13126.416970157032</v>
      </c>
      <c r="G841" s="7">
        <v>16545.68</v>
      </c>
      <c r="H841" s="7">
        <v>15783.164447819794</v>
      </c>
    </row>
    <row r="842" spans="1:8" x14ac:dyDescent="0.35">
      <c r="A842">
        <v>313560</v>
      </c>
      <c r="B842">
        <v>3135605</v>
      </c>
      <c r="C842" t="s">
        <v>93</v>
      </c>
      <c r="D842">
        <v>2015</v>
      </c>
      <c r="E842" s="7">
        <v>7560.33</v>
      </c>
      <c r="F842" s="8">
        <v>11396.88825018862</v>
      </c>
      <c r="G842" s="7">
        <v>7727.82</v>
      </c>
      <c r="H842" s="7">
        <v>11649.373819685281</v>
      </c>
    </row>
    <row r="843" spans="1:8" x14ac:dyDescent="0.35">
      <c r="A843">
        <v>313560</v>
      </c>
      <c r="B843">
        <v>3135605</v>
      </c>
      <c r="C843" t="s">
        <v>93</v>
      </c>
      <c r="D843">
        <v>2016</v>
      </c>
      <c r="E843" s="7">
        <v>7797.54</v>
      </c>
      <c r="F843" s="8">
        <v>11059.079036748541</v>
      </c>
      <c r="G843" s="7">
        <v>9676.36</v>
      </c>
      <c r="H843" s="7">
        <v>13723.76185332937</v>
      </c>
    </row>
    <row r="844" spans="1:8" x14ac:dyDescent="0.35">
      <c r="A844">
        <v>313560</v>
      </c>
      <c r="B844">
        <v>3135605</v>
      </c>
      <c r="C844" t="s">
        <v>93</v>
      </c>
      <c r="D844">
        <v>2017</v>
      </c>
      <c r="E844" s="7">
        <v>7504.25</v>
      </c>
      <c r="F844" s="8">
        <v>10338.396203264138</v>
      </c>
      <c r="G844" s="7">
        <v>8904.43</v>
      </c>
      <c r="H844" s="7">
        <v>12267.385718973563</v>
      </c>
    </row>
    <row r="845" spans="1:8" x14ac:dyDescent="0.35">
      <c r="A845">
        <v>313560</v>
      </c>
      <c r="B845">
        <v>3135605</v>
      </c>
      <c r="C845" t="s">
        <v>93</v>
      </c>
      <c r="D845">
        <v>2018</v>
      </c>
      <c r="E845" s="7">
        <v>6666.47</v>
      </c>
      <c r="F845" s="8">
        <v>8852.6276772582114</v>
      </c>
      <c r="G845" s="7">
        <v>7688.36</v>
      </c>
      <c r="H845" s="7">
        <v>10209.625166351423</v>
      </c>
    </row>
    <row r="846" spans="1:8" x14ac:dyDescent="0.35">
      <c r="A846">
        <v>313560</v>
      </c>
      <c r="B846">
        <v>3135605</v>
      </c>
      <c r="C846" t="s">
        <v>93</v>
      </c>
      <c r="D846">
        <v>2019</v>
      </c>
      <c r="E846" s="7">
        <v>7148.54</v>
      </c>
      <c r="F846" s="8">
        <v>9100.8865233400684</v>
      </c>
      <c r="G846" s="7">
        <v>8079.47</v>
      </c>
      <c r="H846" s="7">
        <v>10286.068316330406</v>
      </c>
    </row>
    <row r="847" spans="1:8" x14ac:dyDescent="0.35">
      <c r="A847">
        <v>313560</v>
      </c>
      <c r="B847">
        <v>3135605</v>
      </c>
      <c r="C847" t="s">
        <v>93</v>
      </c>
      <c r="D847">
        <v>2020</v>
      </c>
      <c r="E847" s="7">
        <v>7234.07</v>
      </c>
      <c r="F847" s="8">
        <v>8811.7105035436889</v>
      </c>
      <c r="G847" s="7">
        <v>6980.19</v>
      </c>
      <c r="H847" s="7">
        <v>8502.4605094475683</v>
      </c>
    </row>
    <row r="848" spans="1:8" x14ac:dyDescent="0.35">
      <c r="A848">
        <v>313560</v>
      </c>
      <c r="B848">
        <v>3135605</v>
      </c>
      <c r="C848" t="s">
        <v>93</v>
      </c>
      <c r="D848">
        <v>2021</v>
      </c>
      <c r="E848" s="7">
        <v>9765.0499999999993</v>
      </c>
      <c r="F848" s="8">
        <v>10807.334627469754</v>
      </c>
      <c r="G848" s="7">
        <v>9216.66</v>
      </c>
      <c r="H848" s="7">
        <v>10200.414040630332</v>
      </c>
    </row>
    <row r="849" spans="1:8" x14ac:dyDescent="0.35">
      <c r="A849">
        <v>313560</v>
      </c>
      <c r="B849">
        <v>3135605</v>
      </c>
      <c r="C849" t="s">
        <v>93</v>
      </c>
      <c r="D849">
        <v>2022</v>
      </c>
      <c r="E849" s="7">
        <v>12349.27</v>
      </c>
      <c r="F849" s="8">
        <v>12919.953230940568</v>
      </c>
      <c r="G849" s="7">
        <v>12559.32</v>
      </c>
      <c r="H849" s="7">
        <v>13139.713751152171</v>
      </c>
    </row>
    <row r="850" spans="1:8" x14ac:dyDescent="0.35">
      <c r="A850">
        <v>313560</v>
      </c>
      <c r="B850">
        <v>3135605</v>
      </c>
      <c r="C850" t="s">
        <v>93</v>
      </c>
      <c r="D850">
        <v>2023</v>
      </c>
      <c r="E850" s="7">
        <v>11507.98</v>
      </c>
      <c r="F850" s="8">
        <v>11507.98</v>
      </c>
      <c r="G850" s="7">
        <v>14718.1</v>
      </c>
      <c r="H850" s="7">
        <v>14718.100524544072</v>
      </c>
    </row>
    <row r="851" spans="1:8" x14ac:dyDescent="0.35">
      <c r="A851">
        <v>313560</v>
      </c>
      <c r="B851">
        <v>3135605</v>
      </c>
      <c r="C851" t="s">
        <v>93</v>
      </c>
      <c r="D851">
        <v>2024</v>
      </c>
      <c r="E851" s="7">
        <v>13428.21</v>
      </c>
      <c r="F851" s="8">
        <v>12809.364403450461</v>
      </c>
      <c r="G851" s="7">
        <v>16523.560000000001</v>
      </c>
      <c r="H851" s="7">
        <v>15762.060175239834</v>
      </c>
    </row>
    <row r="852" spans="1:8" x14ac:dyDescent="0.35">
      <c r="A852">
        <v>313580</v>
      </c>
      <c r="B852">
        <v>3135803</v>
      </c>
      <c r="C852" t="s">
        <v>94</v>
      </c>
      <c r="D852">
        <v>2015</v>
      </c>
      <c r="E852" s="7">
        <v>7421.26</v>
      </c>
      <c r="F852" s="8">
        <v>11187.245913286166</v>
      </c>
      <c r="G852" s="7">
        <v>6930.95</v>
      </c>
      <c r="H852" s="7">
        <v>10448.127889696028</v>
      </c>
    </row>
    <row r="853" spans="1:8" x14ac:dyDescent="0.35">
      <c r="A853">
        <v>313580</v>
      </c>
      <c r="B853">
        <v>3135803</v>
      </c>
      <c r="C853" t="s">
        <v>94</v>
      </c>
      <c r="D853">
        <v>2016</v>
      </c>
      <c r="E853" s="7">
        <v>7079.17</v>
      </c>
      <c r="F853" s="8">
        <v>10040.230706681745</v>
      </c>
      <c r="G853" s="7">
        <v>8501.2999999999993</v>
      </c>
      <c r="H853" s="7">
        <v>12057.2109526195</v>
      </c>
    </row>
    <row r="854" spans="1:8" x14ac:dyDescent="0.35">
      <c r="A854">
        <v>313580</v>
      </c>
      <c r="B854">
        <v>3135803</v>
      </c>
      <c r="C854" t="s">
        <v>94</v>
      </c>
      <c r="D854">
        <v>2017</v>
      </c>
      <c r="E854" s="7">
        <v>6453.61</v>
      </c>
      <c r="F854" s="8">
        <v>8890.9587395605777</v>
      </c>
      <c r="G854" s="7">
        <v>7579.55</v>
      </c>
      <c r="H854" s="7">
        <v>10442.139075135296</v>
      </c>
    </row>
    <row r="855" spans="1:8" x14ac:dyDescent="0.35">
      <c r="A855">
        <v>313580</v>
      </c>
      <c r="B855">
        <v>3135803</v>
      </c>
      <c r="C855" t="s">
        <v>94</v>
      </c>
      <c r="D855">
        <v>2018</v>
      </c>
      <c r="E855" s="7">
        <v>6832.61</v>
      </c>
      <c r="F855" s="8">
        <v>9073.2505199770221</v>
      </c>
      <c r="G855" s="7">
        <v>7914.54</v>
      </c>
      <c r="H855" s="7">
        <v>10509.978144300349</v>
      </c>
    </row>
    <row r="856" spans="1:8" x14ac:dyDescent="0.35">
      <c r="A856">
        <v>313580</v>
      </c>
      <c r="B856">
        <v>3135803</v>
      </c>
      <c r="C856" t="s">
        <v>94</v>
      </c>
      <c r="D856">
        <v>2019</v>
      </c>
      <c r="E856" s="7">
        <v>7050.26</v>
      </c>
      <c r="F856" s="8">
        <v>8975.7651520511263</v>
      </c>
      <c r="G856" s="7">
        <v>7570.78</v>
      </c>
      <c r="H856" s="7">
        <v>9638.44253606247</v>
      </c>
    </row>
    <row r="857" spans="1:8" x14ac:dyDescent="0.35">
      <c r="A857">
        <v>313580</v>
      </c>
      <c r="B857">
        <v>3135803</v>
      </c>
      <c r="C857" t="s">
        <v>94</v>
      </c>
      <c r="D857">
        <v>2020</v>
      </c>
      <c r="E857" s="7">
        <v>7624.1</v>
      </c>
      <c r="F857" s="8">
        <v>9286.800107003035</v>
      </c>
      <c r="G857" s="7">
        <v>8742.93</v>
      </c>
      <c r="H857" s="7">
        <v>10649.623996091481</v>
      </c>
    </row>
    <row r="858" spans="1:8" x14ac:dyDescent="0.35">
      <c r="A858">
        <v>313580</v>
      </c>
      <c r="B858">
        <v>3135803</v>
      </c>
      <c r="C858" t="s">
        <v>94</v>
      </c>
      <c r="D858">
        <v>2021</v>
      </c>
      <c r="E858" s="7">
        <v>9141.31</v>
      </c>
      <c r="F858" s="8">
        <v>10117.018971068816</v>
      </c>
      <c r="G858" s="7">
        <v>8156.11</v>
      </c>
      <c r="H858" s="7">
        <v>9026.665807910902</v>
      </c>
    </row>
    <row r="859" spans="1:8" x14ac:dyDescent="0.35">
      <c r="A859">
        <v>313580</v>
      </c>
      <c r="B859">
        <v>3135803</v>
      </c>
      <c r="C859" t="s">
        <v>94</v>
      </c>
      <c r="D859">
        <v>2022</v>
      </c>
      <c r="E859" s="7">
        <v>8748.3799999999992</v>
      </c>
      <c r="F859" s="8">
        <v>9152.659262166575</v>
      </c>
      <c r="G859" s="7">
        <v>10759.53</v>
      </c>
      <c r="H859" s="7">
        <v>11256.745963573057</v>
      </c>
    </row>
    <row r="860" spans="1:8" x14ac:dyDescent="0.35">
      <c r="A860">
        <v>313580</v>
      </c>
      <c r="B860">
        <v>3135803</v>
      </c>
      <c r="C860" t="s">
        <v>94</v>
      </c>
      <c r="D860">
        <v>2023</v>
      </c>
      <c r="E860" s="7">
        <v>12578.23</v>
      </c>
      <c r="F860" s="8">
        <v>12578.23</v>
      </c>
      <c r="G860" s="7">
        <v>13367.6</v>
      </c>
      <c r="H860" s="7">
        <v>13367.59529468109</v>
      </c>
    </row>
    <row r="861" spans="1:8" x14ac:dyDescent="0.35">
      <c r="A861">
        <v>313580</v>
      </c>
      <c r="B861">
        <v>3135803</v>
      </c>
      <c r="C861" t="s">
        <v>94</v>
      </c>
      <c r="D861">
        <v>2024</v>
      </c>
      <c r="E861" s="7">
        <v>19920.11</v>
      </c>
      <c r="F861" s="8">
        <v>19002.082030800648</v>
      </c>
      <c r="G861" s="7">
        <v>18397.43</v>
      </c>
      <c r="H861" s="7">
        <v>17549.576937283986</v>
      </c>
    </row>
    <row r="862" spans="1:8" x14ac:dyDescent="0.35">
      <c r="A862">
        <v>313600</v>
      </c>
      <c r="B862">
        <v>3136009</v>
      </c>
      <c r="C862" t="s">
        <v>95</v>
      </c>
      <c r="D862">
        <v>2015</v>
      </c>
      <c r="E862" s="7">
        <v>5514.93</v>
      </c>
      <c r="F862" s="8">
        <v>8313.5314090274805</v>
      </c>
      <c r="G862" s="7">
        <v>4035.04</v>
      </c>
      <c r="H862" s="7">
        <v>6082.6599414817638</v>
      </c>
    </row>
    <row r="863" spans="1:8" x14ac:dyDescent="0.35">
      <c r="A863">
        <v>313600</v>
      </c>
      <c r="B863">
        <v>3136009</v>
      </c>
      <c r="C863" t="s">
        <v>95</v>
      </c>
      <c r="D863">
        <v>2016</v>
      </c>
      <c r="E863" s="7">
        <v>8116.55</v>
      </c>
      <c r="F863" s="8">
        <v>11511.523885189607</v>
      </c>
      <c r="G863" s="7">
        <v>5273.59</v>
      </c>
      <c r="H863" s="7">
        <v>7479.4138754498817</v>
      </c>
    </row>
    <row r="864" spans="1:8" x14ac:dyDescent="0.35">
      <c r="A864">
        <v>313600</v>
      </c>
      <c r="B864">
        <v>3136009</v>
      </c>
      <c r="C864" t="s">
        <v>95</v>
      </c>
      <c r="D864">
        <v>2017</v>
      </c>
      <c r="E864" s="7">
        <v>3876.87</v>
      </c>
      <c r="F864" s="8">
        <v>5341.055813512161</v>
      </c>
      <c r="G864" s="7">
        <v>4221.8500000000004</v>
      </c>
      <c r="H864" s="7">
        <v>5816.3266030539762</v>
      </c>
    </row>
    <row r="865" spans="1:8" x14ac:dyDescent="0.35">
      <c r="A865">
        <v>313600</v>
      </c>
      <c r="B865">
        <v>3136009</v>
      </c>
      <c r="C865" t="s">
        <v>95</v>
      </c>
      <c r="D865">
        <v>2018</v>
      </c>
      <c r="E865" s="7">
        <v>4116.54</v>
      </c>
      <c r="F865" s="8">
        <v>5466.4906522553192</v>
      </c>
      <c r="G865" s="7">
        <v>5262.27</v>
      </c>
      <c r="H865" s="7">
        <v>6987.9398100826338</v>
      </c>
    </row>
    <row r="866" spans="1:8" x14ac:dyDescent="0.35">
      <c r="A866">
        <v>313600</v>
      </c>
      <c r="B866">
        <v>3136009</v>
      </c>
      <c r="C866" t="s">
        <v>95</v>
      </c>
      <c r="D866">
        <v>2019</v>
      </c>
      <c r="E866" s="7">
        <v>4927.83</v>
      </c>
      <c r="F866" s="8">
        <v>6273.6756927024107</v>
      </c>
      <c r="G866" s="7">
        <v>6389.86</v>
      </c>
      <c r="H866" s="7">
        <v>8135.0036260790375</v>
      </c>
    </row>
    <row r="867" spans="1:8" x14ac:dyDescent="0.35">
      <c r="A867">
        <v>313600</v>
      </c>
      <c r="B867">
        <v>3136009</v>
      </c>
      <c r="C867" t="s">
        <v>95</v>
      </c>
      <c r="D867">
        <v>2020</v>
      </c>
      <c r="E867" s="7">
        <v>5506.27</v>
      </c>
      <c r="F867" s="8">
        <v>6707.1036352077754</v>
      </c>
      <c r="G867" s="7">
        <v>5632.09</v>
      </c>
      <c r="H867" s="7">
        <v>6860.3589540539024</v>
      </c>
    </row>
    <row r="868" spans="1:8" x14ac:dyDescent="0.35">
      <c r="A868">
        <v>313600</v>
      </c>
      <c r="B868">
        <v>3136009</v>
      </c>
      <c r="C868" t="s">
        <v>95</v>
      </c>
      <c r="D868">
        <v>2021</v>
      </c>
      <c r="E868" s="7">
        <v>6687.71</v>
      </c>
      <c r="F868" s="8">
        <v>7401.5309559578045</v>
      </c>
      <c r="G868" s="7">
        <v>6777.09</v>
      </c>
      <c r="H868" s="7">
        <v>7500.454608806177</v>
      </c>
    </row>
    <row r="869" spans="1:8" x14ac:dyDescent="0.35">
      <c r="A869">
        <v>313600</v>
      </c>
      <c r="B869">
        <v>3136009</v>
      </c>
      <c r="C869" t="s">
        <v>95</v>
      </c>
      <c r="D869">
        <v>2022</v>
      </c>
      <c r="E869" s="7">
        <v>8334.11</v>
      </c>
      <c r="F869" s="8">
        <v>8719.2450583325244</v>
      </c>
      <c r="G869" s="7">
        <v>11152.88</v>
      </c>
      <c r="H869" s="7">
        <v>11668.27961960812</v>
      </c>
    </row>
    <row r="870" spans="1:8" x14ac:dyDescent="0.35">
      <c r="A870">
        <v>313600</v>
      </c>
      <c r="B870">
        <v>3136009</v>
      </c>
      <c r="C870" t="s">
        <v>95</v>
      </c>
      <c r="D870">
        <v>2023</v>
      </c>
      <c r="E870" s="7">
        <v>8757.58</v>
      </c>
      <c r="F870" s="8">
        <v>8757.58</v>
      </c>
      <c r="G870" s="7">
        <v>11949.71</v>
      </c>
      <c r="H870" s="7">
        <v>11949.705060686048</v>
      </c>
    </row>
    <row r="871" spans="1:8" x14ac:dyDescent="0.35">
      <c r="A871">
        <v>313600</v>
      </c>
      <c r="B871">
        <v>3136009</v>
      </c>
      <c r="C871" t="s">
        <v>95</v>
      </c>
      <c r="D871">
        <v>2024</v>
      </c>
      <c r="E871" s="7">
        <v>10500.24</v>
      </c>
      <c r="F871" s="8">
        <v>10016.331326638969</v>
      </c>
      <c r="G871" s="7">
        <v>13645.67</v>
      </c>
      <c r="H871" s="7">
        <v>13016.806460453616</v>
      </c>
    </row>
    <row r="872" spans="1:8" x14ac:dyDescent="0.35">
      <c r="A872">
        <v>313640</v>
      </c>
      <c r="B872">
        <v>3136405</v>
      </c>
      <c r="C872" t="s">
        <v>96</v>
      </c>
      <c r="D872">
        <v>2015</v>
      </c>
      <c r="E872" s="7">
        <v>4215.75</v>
      </c>
      <c r="F872" s="8">
        <v>6355.0706967463948</v>
      </c>
      <c r="G872" s="7">
        <v>3846.61</v>
      </c>
      <c r="H872" s="7">
        <v>5798.5999602065431</v>
      </c>
    </row>
    <row r="873" spans="1:8" x14ac:dyDescent="0.35">
      <c r="A873">
        <v>313640</v>
      </c>
      <c r="B873">
        <v>3136405</v>
      </c>
      <c r="C873" t="s">
        <v>96</v>
      </c>
      <c r="D873">
        <v>2016</v>
      </c>
      <c r="E873" s="7">
        <v>4898.04</v>
      </c>
      <c r="F873" s="8">
        <v>6946.7821242540367</v>
      </c>
      <c r="G873" s="7">
        <v>5778.98</v>
      </c>
      <c r="H873" s="7">
        <v>8196.1931290459124</v>
      </c>
    </row>
    <row r="874" spans="1:8" x14ac:dyDescent="0.35">
      <c r="A874">
        <v>313640</v>
      </c>
      <c r="B874">
        <v>3136405</v>
      </c>
      <c r="C874" t="s">
        <v>96</v>
      </c>
      <c r="D874">
        <v>2017</v>
      </c>
      <c r="E874" s="7">
        <v>5110.84</v>
      </c>
      <c r="F874" s="8">
        <v>7041.0619117820552</v>
      </c>
      <c r="G874" s="7">
        <v>5266.87</v>
      </c>
      <c r="H874" s="7">
        <v>7256.0199316333474</v>
      </c>
    </row>
    <row r="875" spans="1:8" x14ac:dyDescent="0.35">
      <c r="A875">
        <v>313640</v>
      </c>
      <c r="B875">
        <v>3136405</v>
      </c>
      <c r="C875" t="s">
        <v>96</v>
      </c>
      <c r="D875">
        <v>2018</v>
      </c>
      <c r="E875" s="7">
        <v>4977.7299999999996</v>
      </c>
      <c r="F875" s="8">
        <v>6610.0935529475892</v>
      </c>
      <c r="G875" s="7">
        <v>5083.55</v>
      </c>
      <c r="H875" s="7">
        <v>6750.6118680564741</v>
      </c>
    </row>
    <row r="876" spans="1:8" x14ac:dyDescent="0.35">
      <c r="A876">
        <v>313640</v>
      </c>
      <c r="B876">
        <v>3136405</v>
      </c>
      <c r="C876" t="s">
        <v>96</v>
      </c>
      <c r="D876">
        <v>2019</v>
      </c>
      <c r="E876" s="7">
        <v>6726.2</v>
      </c>
      <c r="F876" s="8">
        <v>8563.2007281612714</v>
      </c>
      <c r="G876" s="7">
        <v>7265.79</v>
      </c>
      <c r="H876" s="7">
        <v>9250.1629972566006</v>
      </c>
    </row>
    <row r="877" spans="1:8" x14ac:dyDescent="0.35">
      <c r="A877">
        <v>313640</v>
      </c>
      <c r="B877">
        <v>3136405</v>
      </c>
      <c r="C877" t="s">
        <v>96</v>
      </c>
      <c r="D877">
        <v>2020</v>
      </c>
      <c r="E877" s="7">
        <v>8170.51</v>
      </c>
      <c r="F877" s="8">
        <v>9952.3738070420586</v>
      </c>
      <c r="G877" s="7">
        <v>8052.35</v>
      </c>
      <c r="H877" s="7">
        <v>9808.4442882145249</v>
      </c>
    </row>
    <row r="878" spans="1:8" x14ac:dyDescent="0.35">
      <c r="A878">
        <v>313640</v>
      </c>
      <c r="B878">
        <v>3136405</v>
      </c>
      <c r="C878" t="s">
        <v>96</v>
      </c>
      <c r="D878">
        <v>2021</v>
      </c>
      <c r="E878" s="7">
        <v>7972.52</v>
      </c>
      <c r="F878" s="8">
        <v>8823.47673224358</v>
      </c>
      <c r="G878" s="7">
        <v>8018.38</v>
      </c>
      <c r="H878" s="7">
        <v>8874.227352891905</v>
      </c>
    </row>
    <row r="879" spans="1:8" x14ac:dyDescent="0.35">
      <c r="A879">
        <v>313640</v>
      </c>
      <c r="B879">
        <v>3136405</v>
      </c>
      <c r="C879" t="s">
        <v>96</v>
      </c>
      <c r="D879">
        <v>2022</v>
      </c>
      <c r="E879" s="7">
        <v>12277</v>
      </c>
      <c r="F879" s="8">
        <v>12844.343496923893</v>
      </c>
      <c r="G879" s="7">
        <v>16953.66</v>
      </c>
      <c r="H879" s="7">
        <v>17737.117776566596</v>
      </c>
    </row>
    <row r="880" spans="1:8" x14ac:dyDescent="0.35">
      <c r="A880">
        <v>313640</v>
      </c>
      <c r="B880">
        <v>3136405</v>
      </c>
      <c r="C880" t="s">
        <v>96</v>
      </c>
      <c r="D880">
        <v>2023</v>
      </c>
      <c r="E880" s="7">
        <v>12198.27</v>
      </c>
      <c r="F880" s="8">
        <v>12198.27</v>
      </c>
      <c r="G880" s="7">
        <v>12067.03</v>
      </c>
      <c r="H880" s="7">
        <v>12067.02664486733</v>
      </c>
    </row>
    <row r="881" spans="1:8" x14ac:dyDescent="0.35">
      <c r="A881">
        <v>313640</v>
      </c>
      <c r="B881">
        <v>3136405</v>
      </c>
      <c r="C881" t="s">
        <v>96</v>
      </c>
      <c r="D881">
        <v>2024</v>
      </c>
      <c r="E881" s="7">
        <v>13752.66</v>
      </c>
      <c r="F881" s="8">
        <v>13118.861967213577</v>
      </c>
      <c r="G881" s="7">
        <v>15613.36</v>
      </c>
      <c r="H881" s="7">
        <v>14893.810307967617</v>
      </c>
    </row>
    <row r="882" spans="1:8" x14ac:dyDescent="0.35">
      <c r="A882">
        <v>313655</v>
      </c>
      <c r="B882">
        <v>3136553</v>
      </c>
      <c r="C882" t="s">
        <v>97</v>
      </c>
      <c r="D882">
        <v>2015</v>
      </c>
      <c r="E882" s="7">
        <v>9883.3700000000008</v>
      </c>
      <c r="F882" s="8">
        <v>14898.776035605153</v>
      </c>
      <c r="G882" s="7">
        <v>8285</v>
      </c>
      <c r="H882" s="7">
        <v>12489.295124322027</v>
      </c>
    </row>
    <row r="883" spans="1:8" x14ac:dyDescent="0.35">
      <c r="A883">
        <v>313655</v>
      </c>
      <c r="B883">
        <v>3136553</v>
      </c>
      <c r="C883" t="s">
        <v>97</v>
      </c>
      <c r="D883">
        <v>2016</v>
      </c>
      <c r="E883" s="7">
        <v>6936.99</v>
      </c>
      <c r="F883" s="8">
        <v>9838.5799479238649</v>
      </c>
      <c r="G883" s="7">
        <v>8951.9500000000007</v>
      </c>
      <c r="H883" s="7">
        <v>12696.358947504603</v>
      </c>
    </row>
    <row r="884" spans="1:8" x14ac:dyDescent="0.35">
      <c r="A884">
        <v>313655</v>
      </c>
      <c r="B884">
        <v>3136553</v>
      </c>
      <c r="C884" t="s">
        <v>97</v>
      </c>
      <c r="D884">
        <v>2017</v>
      </c>
      <c r="E884" s="7">
        <v>5896.38</v>
      </c>
      <c r="F884" s="8">
        <v>8123.2784895229497</v>
      </c>
      <c r="G884" s="7">
        <v>8770.35</v>
      </c>
      <c r="H884" s="7">
        <v>12082.673294151668</v>
      </c>
    </row>
    <row r="885" spans="1:8" x14ac:dyDescent="0.35">
      <c r="A885">
        <v>313655</v>
      </c>
      <c r="B885">
        <v>3136553</v>
      </c>
      <c r="C885" t="s">
        <v>97</v>
      </c>
      <c r="D885">
        <v>2018</v>
      </c>
      <c r="E885" s="7">
        <v>5901.79</v>
      </c>
      <c r="F885" s="8">
        <v>7837.183621821704</v>
      </c>
      <c r="G885" s="7">
        <v>9598.36</v>
      </c>
      <c r="H885" s="7">
        <v>12745.984779777307</v>
      </c>
    </row>
    <row r="886" spans="1:8" x14ac:dyDescent="0.35">
      <c r="A886">
        <v>313655</v>
      </c>
      <c r="B886">
        <v>3136553</v>
      </c>
      <c r="C886" t="s">
        <v>97</v>
      </c>
      <c r="D886">
        <v>2019</v>
      </c>
      <c r="E886" s="7">
        <v>6235.39</v>
      </c>
      <c r="F886" s="8">
        <v>7938.3450073398808</v>
      </c>
      <c r="G886" s="7">
        <v>10725.29</v>
      </c>
      <c r="H886" s="7">
        <v>13654.491214645303</v>
      </c>
    </row>
    <row r="887" spans="1:8" x14ac:dyDescent="0.35">
      <c r="A887">
        <v>313655</v>
      </c>
      <c r="B887">
        <v>3136553</v>
      </c>
      <c r="C887" t="s">
        <v>97</v>
      </c>
      <c r="D887">
        <v>2020</v>
      </c>
      <c r="E887" s="7">
        <v>8361.73</v>
      </c>
      <c r="F887" s="8">
        <v>10185.295977063584</v>
      </c>
      <c r="G887" s="7">
        <v>11468.39</v>
      </c>
      <c r="H887" s="7">
        <v>13969.475048251608</v>
      </c>
    </row>
    <row r="888" spans="1:8" x14ac:dyDescent="0.35">
      <c r="A888">
        <v>313655</v>
      </c>
      <c r="B888">
        <v>3136553</v>
      </c>
      <c r="C888" t="s">
        <v>97</v>
      </c>
      <c r="D888">
        <v>2021</v>
      </c>
      <c r="E888" s="7">
        <v>8764.35</v>
      </c>
      <c r="F888" s="8">
        <v>9699.8236816262652</v>
      </c>
      <c r="G888" s="7">
        <v>12105.04</v>
      </c>
      <c r="H888" s="7">
        <v>13397.088937687151</v>
      </c>
    </row>
    <row r="889" spans="1:8" x14ac:dyDescent="0.35">
      <c r="A889">
        <v>313655</v>
      </c>
      <c r="B889">
        <v>3136553</v>
      </c>
      <c r="C889" t="s">
        <v>97</v>
      </c>
      <c r="D889">
        <v>2022</v>
      </c>
      <c r="E889" s="7">
        <v>12245.13</v>
      </c>
      <c r="F889" s="8">
        <v>12811.000723669273</v>
      </c>
      <c r="G889" s="7">
        <v>21544.93</v>
      </c>
      <c r="H889" s="7">
        <v>22540.558405958171</v>
      </c>
    </row>
    <row r="890" spans="1:8" x14ac:dyDescent="0.35">
      <c r="A890">
        <v>313655</v>
      </c>
      <c r="B890">
        <v>3136553</v>
      </c>
      <c r="C890" t="s">
        <v>97</v>
      </c>
      <c r="D890">
        <v>2023</v>
      </c>
      <c r="E890" s="7">
        <v>11608.81</v>
      </c>
      <c r="F890" s="8">
        <v>11608.81</v>
      </c>
      <c r="G890" s="7">
        <v>20720.68</v>
      </c>
      <c r="H890" s="7">
        <v>20720.681930141167</v>
      </c>
    </row>
    <row r="891" spans="1:8" x14ac:dyDescent="0.35">
      <c r="A891">
        <v>313655</v>
      </c>
      <c r="B891">
        <v>3136553</v>
      </c>
      <c r="C891" t="s">
        <v>97</v>
      </c>
      <c r="D891">
        <v>2024</v>
      </c>
      <c r="E891" s="7">
        <v>13340.42</v>
      </c>
      <c r="F891" s="8">
        <v>12725.620248348709</v>
      </c>
      <c r="G891" s="7">
        <v>24152.03</v>
      </c>
      <c r="H891" s="7">
        <v>23038.969201436281</v>
      </c>
    </row>
    <row r="892" spans="1:8" x14ac:dyDescent="0.35">
      <c r="A892">
        <v>313680</v>
      </c>
      <c r="B892">
        <v>3136801</v>
      </c>
      <c r="C892" t="s">
        <v>98</v>
      </c>
      <c r="D892">
        <v>2015</v>
      </c>
      <c r="E892" s="7">
        <v>7741.21</v>
      </c>
      <c r="F892" s="8">
        <v>11669.557452021623</v>
      </c>
      <c r="G892" s="7">
        <v>7760.22</v>
      </c>
      <c r="H892" s="7">
        <v>11698.219818451415</v>
      </c>
    </row>
    <row r="893" spans="1:8" x14ac:dyDescent="0.35">
      <c r="A893">
        <v>313680</v>
      </c>
      <c r="B893">
        <v>3136801</v>
      </c>
      <c r="C893" t="s">
        <v>98</v>
      </c>
      <c r="D893">
        <v>2016</v>
      </c>
      <c r="E893" s="7">
        <v>7593.33</v>
      </c>
      <c r="F893" s="8">
        <v>10769.452496827691</v>
      </c>
      <c r="G893" s="7">
        <v>8779.94</v>
      </c>
      <c r="H893" s="7">
        <v>12452.399903110258</v>
      </c>
    </row>
    <row r="894" spans="1:8" x14ac:dyDescent="0.35">
      <c r="A894">
        <v>313680</v>
      </c>
      <c r="B894">
        <v>3136801</v>
      </c>
      <c r="C894" t="s">
        <v>98</v>
      </c>
      <c r="D894">
        <v>2017</v>
      </c>
      <c r="E894" s="7">
        <v>8659.11</v>
      </c>
      <c r="F894" s="8">
        <v>11929.414658046644</v>
      </c>
      <c r="G894" s="7">
        <v>8760.56</v>
      </c>
      <c r="H894" s="7">
        <v>12069.176162562953</v>
      </c>
    </row>
    <row r="895" spans="1:8" x14ac:dyDescent="0.35">
      <c r="A895">
        <v>313680</v>
      </c>
      <c r="B895">
        <v>3136801</v>
      </c>
      <c r="C895" t="s">
        <v>98</v>
      </c>
      <c r="D895">
        <v>2018</v>
      </c>
      <c r="E895" s="7">
        <v>8543.6200000000008</v>
      </c>
      <c r="F895" s="8">
        <v>11345.357719449245</v>
      </c>
      <c r="G895" s="7">
        <v>8879.82</v>
      </c>
      <c r="H895" s="7">
        <v>11791.805517940795</v>
      </c>
    </row>
    <row r="896" spans="1:8" x14ac:dyDescent="0.35">
      <c r="A896">
        <v>313680</v>
      </c>
      <c r="B896">
        <v>3136801</v>
      </c>
      <c r="C896" t="s">
        <v>98</v>
      </c>
      <c r="D896">
        <v>2019</v>
      </c>
      <c r="E896" s="7">
        <v>8389.18</v>
      </c>
      <c r="F896" s="8">
        <v>10680.35923473521</v>
      </c>
      <c r="G896" s="7">
        <v>8876.68</v>
      </c>
      <c r="H896" s="7">
        <v>11301.006769660826</v>
      </c>
    </row>
    <row r="897" spans="1:8" x14ac:dyDescent="0.35">
      <c r="A897">
        <v>313680</v>
      </c>
      <c r="B897">
        <v>3136801</v>
      </c>
      <c r="C897" t="s">
        <v>98</v>
      </c>
      <c r="D897">
        <v>2020</v>
      </c>
      <c r="E897" s="7">
        <v>9733.2199999999993</v>
      </c>
      <c r="F897" s="8">
        <v>11855.887060437832</v>
      </c>
      <c r="G897" s="7">
        <v>9896.14</v>
      </c>
      <c r="H897" s="7">
        <v>12054.339175644163</v>
      </c>
    </row>
    <row r="898" spans="1:8" x14ac:dyDescent="0.35">
      <c r="A898">
        <v>313680</v>
      </c>
      <c r="B898">
        <v>3136801</v>
      </c>
      <c r="C898" t="s">
        <v>98</v>
      </c>
      <c r="D898">
        <v>2021</v>
      </c>
      <c r="E898" s="7">
        <v>13566.42</v>
      </c>
      <c r="F898" s="8">
        <v>15014.4485319377</v>
      </c>
      <c r="G898" s="7">
        <v>13566.91</v>
      </c>
      <c r="H898" s="7">
        <v>15014.986030487411</v>
      </c>
    </row>
    <row r="899" spans="1:8" x14ac:dyDescent="0.35">
      <c r="A899">
        <v>313680</v>
      </c>
      <c r="B899">
        <v>3136801</v>
      </c>
      <c r="C899" t="s">
        <v>98</v>
      </c>
      <c r="D899">
        <v>2022</v>
      </c>
      <c r="E899" s="7">
        <v>17464.689999999999</v>
      </c>
      <c r="F899" s="8">
        <v>18271.766508698522</v>
      </c>
      <c r="G899" s="7">
        <v>20002.439999999999</v>
      </c>
      <c r="H899" s="7">
        <v>20926.790501951931</v>
      </c>
    </row>
    <row r="900" spans="1:8" x14ac:dyDescent="0.35">
      <c r="A900">
        <v>313680</v>
      </c>
      <c r="B900">
        <v>3136801</v>
      </c>
      <c r="C900" t="s">
        <v>98</v>
      </c>
      <c r="D900">
        <v>2023</v>
      </c>
      <c r="E900" s="7">
        <v>12844</v>
      </c>
      <c r="F900" s="8">
        <v>12844</v>
      </c>
      <c r="G900" s="7">
        <v>22309.21</v>
      </c>
      <c r="H900" s="7">
        <v>22309.207584375574</v>
      </c>
    </row>
    <row r="901" spans="1:8" x14ac:dyDescent="0.35">
      <c r="A901">
        <v>313680</v>
      </c>
      <c r="B901">
        <v>3136801</v>
      </c>
      <c r="C901" t="s">
        <v>98</v>
      </c>
      <c r="D901">
        <v>2024</v>
      </c>
      <c r="E901" s="7">
        <v>14220.05</v>
      </c>
      <c r="F901" s="8">
        <v>13564.712071473839</v>
      </c>
      <c r="G901" s="7">
        <v>20462.37</v>
      </c>
      <c r="H901" s="7">
        <v>19519.355460172275</v>
      </c>
    </row>
    <row r="902" spans="1:8" x14ac:dyDescent="0.35">
      <c r="A902">
        <v>313695</v>
      </c>
      <c r="B902">
        <v>3136959</v>
      </c>
      <c r="C902" t="s">
        <v>99</v>
      </c>
      <c r="D902">
        <v>2015</v>
      </c>
      <c r="E902" s="7">
        <v>5896.89</v>
      </c>
      <c r="F902" s="8">
        <v>8889.3204864939453</v>
      </c>
      <c r="G902" s="7">
        <v>5374.92</v>
      </c>
      <c r="H902" s="7">
        <v>8102.4736766084889</v>
      </c>
    </row>
    <row r="903" spans="1:8" x14ac:dyDescent="0.35">
      <c r="A903">
        <v>313695</v>
      </c>
      <c r="B903">
        <v>3136959</v>
      </c>
      <c r="C903" t="s">
        <v>99</v>
      </c>
      <c r="D903">
        <v>2016</v>
      </c>
      <c r="E903" s="7">
        <v>4990.5200000000004</v>
      </c>
      <c r="F903" s="8">
        <v>7077.9444689574311</v>
      </c>
      <c r="G903" s="7">
        <v>6390.75</v>
      </c>
      <c r="H903" s="7">
        <v>9063.8661633982792</v>
      </c>
    </row>
    <row r="904" spans="1:8" x14ac:dyDescent="0.35">
      <c r="A904">
        <v>313695</v>
      </c>
      <c r="B904">
        <v>3136959</v>
      </c>
      <c r="C904" t="s">
        <v>99</v>
      </c>
      <c r="D904">
        <v>2017</v>
      </c>
      <c r="E904" s="7">
        <v>7115.62</v>
      </c>
      <c r="F904" s="8">
        <v>9802.9914770790365</v>
      </c>
      <c r="G904" s="7">
        <v>8444.39</v>
      </c>
      <c r="H904" s="7">
        <v>11633.600575658647</v>
      </c>
    </row>
    <row r="905" spans="1:8" x14ac:dyDescent="0.35">
      <c r="A905">
        <v>313695</v>
      </c>
      <c r="B905">
        <v>3136959</v>
      </c>
      <c r="C905" t="s">
        <v>99</v>
      </c>
      <c r="D905">
        <v>2018</v>
      </c>
      <c r="E905" s="7">
        <v>5398.27</v>
      </c>
      <c r="F905" s="8">
        <v>7168.5426337045974</v>
      </c>
      <c r="G905" s="7">
        <v>7590.38</v>
      </c>
      <c r="H905" s="7">
        <v>10079.514334899834</v>
      </c>
    </row>
    <row r="906" spans="1:8" x14ac:dyDescent="0.35">
      <c r="A906">
        <v>313695</v>
      </c>
      <c r="B906">
        <v>3136959</v>
      </c>
      <c r="C906" t="s">
        <v>99</v>
      </c>
      <c r="D906">
        <v>2019</v>
      </c>
      <c r="E906" s="7">
        <v>6852.01</v>
      </c>
      <c r="F906" s="8">
        <v>8723.3708515013404</v>
      </c>
      <c r="G906" s="7">
        <v>7550.34</v>
      </c>
      <c r="H906" s="7">
        <v>9612.422676195456</v>
      </c>
    </row>
    <row r="907" spans="1:8" x14ac:dyDescent="0.35">
      <c r="A907">
        <v>313695</v>
      </c>
      <c r="B907">
        <v>3136959</v>
      </c>
      <c r="C907" t="s">
        <v>99</v>
      </c>
      <c r="D907">
        <v>2020</v>
      </c>
      <c r="E907" s="7">
        <v>6970.76</v>
      </c>
      <c r="F907" s="8">
        <v>8490.976602338962</v>
      </c>
      <c r="G907" s="7">
        <v>8035.7</v>
      </c>
      <c r="H907" s="7">
        <v>9788.1615426278331</v>
      </c>
    </row>
    <row r="908" spans="1:8" x14ac:dyDescent="0.35">
      <c r="A908">
        <v>313695</v>
      </c>
      <c r="B908">
        <v>3136959</v>
      </c>
      <c r="C908" t="s">
        <v>99</v>
      </c>
      <c r="D908">
        <v>2021</v>
      </c>
      <c r="E908" s="7">
        <v>8967.2199999999993</v>
      </c>
      <c r="F908" s="8">
        <v>9924.3472607041786</v>
      </c>
      <c r="G908" s="7">
        <v>11143.01</v>
      </c>
      <c r="H908" s="7">
        <v>12332.37590016524</v>
      </c>
    </row>
    <row r="909" spans="1:8" x14ac:dyDescent="0.35">
      <c r="A909">
        <v>313695</v>
      </c>
      <c r="B909">
        <v>3136959</v>
      </c>
      <c r="C909" t="s">
        <v>99</v>
      </c>
      <c r="D909">
        <v>2022</v>
      </c>
      <c r="E909" s="7">
        <v>13882.06</v>
      </c>
      <c r="F909" s="8">
        <v>14523.57636921946</v>
      </c>
      <c r="G909" s="7">
        <v>13787.76</v>
      </c>
      <c r="H909" s="7">
        <v>14424.915652666719</v>
      </c>
    </row>
    <row r="910" spans="1:8" x14ac:dyDescent="0.35">
      <c r="A910">
        <v>313695</v>
      </c>
      <c r="B910">
        <v>3136959</v>
      </c>
      <c r="C910" t="s">
        <v>99</v>
      </c>
      <c r="D910">
        <v>2023</v>
      </c>
      <c r="E910" s="7">
        <v>14475.04</v>
      </c>
      <c r="F910" s="8">
        <v>14475.04</v>
      </c>
      <c r="G910" s="7">
        <v>14372.4</v>
      </c>
      <c r="H910" s="7">
        <v>14372.396857736181</v>
      </c>
    </row>
    <row r="911" spans="1:8" x14ac:dyDescent="0.35">
      <c r="A911">
        <v>313695</v>
      </c>
      <c r="B911">
        <v>3136959</v>
      </c>
      <c r="C911" t="s">
        <v>99</v>
      </c>
      <c r="D911">
        <v>2024</v>
      </c>
      <c r="E911" s="7">
        <v>14683.38</v>
      </c>
      <c r="F911" s="8">
        <v>14006.68928281107</v>
      </c>
      <c r="G911" s="7">
        <v>11851.77</v>
      </c>
      <c r="H911" s="7">
        <v>11305.575599526388</v>
      </c>
    </row>
    <row r="912" spans="1:8" x14ac:dyDescent="0.35">
      <c r="A912">
        <v>313700</v>
      </c>
      <c r="B912">
        <v>3137007</v>
      </c>
      <c r="C912" t="s">
        <v>100</v>
      </c>
      <c r="D912">
        <v>2015</v>
      </c>
      <c r="E912" s="7">
        <v>3815.82</v>
      </c>
      <c r="F912" s="8">
        <v>5752.192579270315</v>
      </c>
      <c r="G912" s="7">
        <v>6991.33</v>
      </c>
      <c r="H912" s="7">
        <v>10539.141062737604</v>
      </c>
    </row>
    <row r="913" spans="1:8" x14ac:dyDescent="0.35">
      <c r="A913">
        <v>313700</v>
      </c>
      <c r="B913">
        <v>3137007</v>
      </c>
      <c r="C913" t="s">
        <v>100</v>
      </c>
      <c r="D913">
        <v>2016</v>
      </c>
      <c r="E913" s="7">
        <v>5949.33</v>
      </c>
      <c r="F913" s="8">
        <v>8437.8035490294624</v>
      </c>
      <c r="G913" s="7">
        <v>6845.07</v>
      </c>
      <c r="H913" s="7">
        <v>9708.2100833035674</v>
      </c>
    </row>
    <row r="914" spans="1:8" x14ac:dyDescent="0.35">
      <c r="A914">
        <v>313700</v>
      </c>
      <c r="B914">
        <v>3137007</v>
      </c>
      <c r="C914" t="s">
        <v>100</v>
      </c>
      <c r="D914">
        <v>2017</v>
      </c>
      <c r="E914" s="7">
        <v>7320.74</v>
      </c>
      <c r="F914" s="8">
        <v>10085.579587711483</v>
      </c>
      <c r="G914" s="7">
        <v>8985.49</v>
      </c>
      <c r="H914" s="7">
        <v>12379.058423935829</v>
      </c>
    </row>
    <row r="915" spans="1:8" x14ac:dyDescent="0.35">
      <c r="A915">
        <v>313700</v>
      </c>
      <c r="B915">
        <v>3137007</v>
      </c>
      <c r="C915" s="9" t="s">
        <v>100</v>
      </c>
      <c r="D915">
        <v>2018</v>
      </c>
      <c r="E915" s="7">
        <v>5042.0200000000004</v>
      </c>
      <c r="F915" s="8">
        <v>6695.4663864518179</v>
      </c>
      <c r="G915" s="7">
        <v>9605.0411543841838</v>
      </c>
      <c r="H915" s="7">
        <v>12754.854242876003</v>
      </c>
    </row>
    <row r="916" spans="1:8" x14ac:dyDescent="0.35">
      <c r="A916">
        <v>313700</v>
      </c>
      <c r="B916">
        <v>3137007</v>
      </c>
      <c r="C916" t="s">
        <v>100</v>
      </c>
      <c r="D916">
        <v>2019</v>
      </c>
      <c r="E916" s="7">
        <v>7669.29</v>
      </c>
      <c r="F916" s="8">
        <v>9763.8591942671865</v>
      </c>
      <c r="G916" s="7">
        <v>11670.82</v>
      </c>
      <c r="H916" s="7">
        <v>14858.253187087877</v>
      </c>
    </row>
    <row r="917" spans="1:8" x14ac:dyDescent="0.35">
      <c r="A917">
        <v>313700</v>
      </c>
      <c r="B917">
        <v>3137007</v>
      </c>
      <c r="C917" t="s">
        <v>100</v>
      </c>
      <c r="D917">
        <v>2020</v>
      </c>
      <c r="E917" s="7">
        <v>8691.14</v>
      </c>
      <c r="F917" s="8">
        <v>10586.545281669751</v>
      </c>
      <c r="G917" s="7">
        <v>11194.87</v>
      </c>
      <c r="H917" s="7">
        <v>13636.29572918307</v>
      </c>
    </row>
    <row r="918" spans="1:8" x14ac:dyDescent="0.35">
      <c r="A918">
        <v>313700</v>
      </c>
      <c r="B918">
        <v>3137007</v>
      </c>
      <c r="C918" t="s">
        <v>100</v>
      </c>
      <c r="D918">
        <v>2021</v>
      </c>
      <c r="E918" s="7">
        <v>12221.95</v>
      </c>
      <c r="F918" s="8">
        <v>13526.47487214136</v>
      </c>
      <c r="G918" s="7">
        <v>11014.88</v>
      </c>
      <c r="H918" s="7">
        <v>12190.565621769156</v>
      </c>
    </row>
    <row r="919" spans="1:8" x14ac:dyDescent="0.35">
      <c r="A919">
        <v>313700</v>
      </c>
      <c r="B919">
        <v>3137007</v>
      </c>
      <c r="C919" t="s">
        <v>100</v>
      </c>
      <c r="D919">
        <v>2022</v>
      </c>
      <c r="E919" s="7">
        <v>14978.33</v>
      </c>
      <c r="F919" s="8">
        <v>15670.507088888171</v>
      </c>
      <c r="G919" s="7">
        <v>25735.599999999999</v>
      </c>
      <c r="H919" s="7">
        <v>26924.894897876187</v>
      </c>
    </row>
    <row r="920" spans="1:8" x14ac:dyDescent="0.35">
      <c r="A920">
        <v>313700</v>
      </c>
      <c r="B920">
        <v>3137007</v>
      </c>
      <c r="C920" t="s">
        <v>100</v>
      </c>
      <c r="D920">
        <v>2023</v>
      </c>
      <c r="E920" s="7">
        <v>16100.32</v>
      </c>
      <c r="F920" s="8">
        <v>16100.32</v>
      </c>
      <c r="G920" s="7">
        <v>18198.259999999998</v>
      </c>
      <c r="H920" s="7">
        <v>18198.2618729403</v>
      </c>
    </row>
    <row r="921" spans="1:8" x14ac:dyDescent="0.35">
      <c r="A921">
        <v>313700</v>
      </c>
      <c r="B921">
        <v>3137007</v>
      </c>
      <c r="C921" t="s">
        <v>100</v>
      </c>
      <c r="D921">
        <v>2024</v>
      </c>
      <c r="E921" s="7">
        <v>15192.17</v>
      </c>
      <c r="F921" s="8">
        <v>14492.031447912119</v>
      </c>
      <c r="G921" s="7">
        <v>23159.32</v>
      </c>
      <c r="H921" s="7">
        <v>22092.008816728616</v>
      </c>
    </row>
    <row r="922" spans="1:8" x14ac:dyDescent="0.35">
      <c r="A922">
        <v>313730</v>
      </c>
      <c r="B922">
        <v>3137304</v>
      </c>
      <c r="C922" t="s">
        <v>101</v>
      </c>
      <c r="D922">
        <v>2015</v>
      </c>
      <c r="E922" s="7">
        <v>7908.26</v>
      </c>
      <c r="F922" s="8">
        <v>11921.378494515009</v>
      </c>
      <c r="G922" s="7">
        <v>6553.96</v>
      </c>
      <c r="H922" s="7">
        <v>9879.8304845638213</v>
      </c>
    </row>
    <row r="923" spans="1:8" x14ac:dyDescent="0.35">
      <c r="A923">
        <v>313730</v>
      </c>
      <c r="B923">
        <v>3137304</v>
      </c>
      <c r="C923" t="s">
        <v>101</v>
      </c>
      <c r="D923">
        <v>2016</v>
      </c>
      <c r="E923" s="7">
        <v>6032.04</v>
      </c>
      <c r="F923" s="8">
        <v>8555.1093181732522</v>
      </c>
      <c r="G923" s="7">
        <v>7033.83</v>
      </c>
      <c r="H923" s="7">
        <v>9975.9275572323477</v>
      </c>
    </row>
    <row r="924" spans="1:8" x14ac:dyDescent="0.35">
      <c r="A924">
        <v>313730</v>
      </c>
      <c r="B924">
        <v>3137304</v>
      </c>
      <c r="C924" t="s">
        <v>101</v>
      </c>
      <c r="D924">
        <v>2017</v>
      </c>
      <c r="E924" s="7">
        <v>7184.44</v>
      </c>
      <c r="F924" s="8">
        <v>9897.8028741818307</v>
      </c>
      <c r="G924" s="7">
        <v>8183.39</v>
      </c>
      <c r="H924" s="7">
        <v>11274.034048431489</v>
      </c>
    </row>
    <row r="925" spans="1:8" x14ac:dyDescent="0.35">
      <c r="A925">
        <v>313730</v>
      </c>
      <c r="B925">
        <v>3137304</v>
      </c>
      <c r="C925" t="s">
        <v>101</v>
      </c>
      <c r="D925">
        <v>2018</v>
      </c>
      <c r="E925" s="7">
        <v>6902.21</v>
      </c>
      <c r="F925" s="8">
        <v>9165.6746794403025</v>
      </c>
      <c r="G925" s="7">
        <v>7401.31</v>
      </c>
      <c r="H925" s="7">
        <v>9828.447748773875</v>
      </c>
    </row>
    <row r="926" spans="1:8" x14ac:dyDescent="0.35">
      <c r="A926">
        <v>313730</v>
      </c>
      <c r="B926">
        <v>3137304</v>
      </c>
      <c r="C926" t="s">
        <v>101</v>
      </c>
      <c r="D926">
        <v>2019</v>
      </c>
      <c r="E926" s="7">
        <v>7272.64</v>
      </c>
      <c r="F926" s="8">
        <v>9258.8796264837183</v>
      </c>
      <c r="G926" s="7">
        <v>9557.7099999999991</v>
      </c>
      <c r="H926" s="7">
        <v>12168.033648353079</v>
      </c>
    </row>
    <row r="927" spans="1:8" x14ac:dyDescent="0.35">
      <c r="A927">
        <v>313730</v>
      </c>
      <c r="B927">
        <v>3137304</v>
      </c>
      <c r="C927" t="s">
        <v>101</v>
      </c>
      <c r="D927">
        <v>2020</v>
      </c>
      <c r="E927" s="7">
        <v>8171.3</v>
      </c>
      <c r="F927" s="8">
        <v>9953.3360940116072</v>
      </c>
      <c r="G927" s="7">
        <v>8753.66</v>
      </c>
      <c r="H927" s="7">
        <v>10662.698233074168</v>
      </c>
    </row>
    <row r="928" spans="1:8" x14ac:dyDescent="0.35">
      <c r="A928">
        <v>313730</v>
      </c>
      <c r="B928">
        <v>3137304</v>
      </c>
      <c r="C928" t="s">
        <v>101</v>
      </c>
      <c r="D928">
        <v>2021</v>
      </c>
      <c r="E928" s="7">
        <v>10807.92</v>
      </c>
      <c r="F928" s="8">
        <v>11961.516640152679</v>
      </c>
      <c r="G928" s="7">
        <v>11194.7</v>
      </c>
      <c r="H928" s="7">
        <v>12389.579228007884</v>
      </c>
    </row>
    <row r="929" spans="1:8" x14ac:dyDescent="0.35">
      <c r="A929">
        <v>313730</v>
      </c>
      <c r="B929">
        <v>3137304</v>
      </c>
      <c r="C929" t="s">
        <v>101</v>
      </c>
      <c r="D929">
        <v>2022</v>
      </c>
      <c r="E929" s="7">
        <v>11581.13</v>
      </c>
      <c r="F929" s="8">
        <v>12116.316022035529</v>
      </c>
      <c r="G929" s="7">
        <v>12387.14</v>
      </c>
      <c r="H929" s="7">
        <v>12959.578282272936</v>
      </c>
    </row>
    <row r="930" spans="1:8" x14ac:dyDescent="0.35">
      <c r="A930">
        <v>313730</v>
      </c>
      <c r="B930">
        <v>3137304</v>
      </c>
      <c r="C930" t="s">
        <v>101</v>
      </c>
      <c r="D930">
        <v>2023</v>
      </c>
      <c r="E930" s="7">
        <v>15489.1</v>
      </c>
      <c r="F930" s="8">
        <v>15489.1</v>
      </c>
      <c r="G930" s="7">
        <v>16433.96</v>
      </c>
      <c r="H930" s="7">
        <v>16433.95887473839</v>
      </c>
    </row>
    <row r="931" spans="1:8" x14ac:dyDescent="0.35">
      <c r="A931">
        <v>313730</v>
      </c>
      <c r="B931">
        <v>3137304</v>
      </c>
      <c r="C931" t="s">
        <v>101</v>
      </c>
      <c r="D931">
        <v>2024</v>
      </c>
      <c r="E931" s="7">
        <v>14830.13</v>
      </c>
      <c r="F931" s="8">
        <v>14146.676237602986</v>
      </c>
      <c r="G931" s="7">
        <v>21881.11</v>
      </c>
      <c r="H931" s="7">
        <v>20872.709364521328</v>
      </c>
    </row>
    <row r="932" spans="1:8" x14ac:dyDescent="0.35">
      <c r="A932">
        <v>313810</v>
      </c>
      <c r="B932">
        <v>3138104</v>
      </c>
      <c r="C932" t="s">
        <v>102</v>
      </c>
      <c r="D932">
        <v>2015</v>
      </c>
      <c r="E932" s="7">
        <v>7830.36</v>
      </c>
      <c r="F932" s="8">
        <v>11803.947430700373</v>
      </c>
      <c r="G932" s="7">
        <v>8574.4699999999993</v>
      </c>
      <c r="H932" s="7">
        <v>12925.666517881922</v>
      </c>
    </row>
    <row r="933" spans="1:8" x14ac:dyDescent="0.35">
      <c r="A933">
        <v>313810</v>
      </c>
      <c r="B933">
        <v>3138104</v>
      </c>
      <c r="C933" t="s">
        <v>102</v>
      </c>
      <c r="D933">
        <v>2016</v>
      </c>
      <c r="E933" s="7">
        <v>6857.21</v>
      </c>
      <c r="F933" s="8">
        <v>9725.4297331700072</v>
      </c>
      <c r="G933" s="7">
        <v>9545.58</v>
      </c>
      <c r="H933" s="7">
        <v>13538.291394062257</v>
      </c>
    </row>
    <row r="934" spans="1:8" x14ac:dyDescent="0.35">
      <c r="A934">
        <v>313810</v>
      </c>
      <c r="B934">
        <v>3138104</v>
      </c>
      <c r="C934" t="s">
        <v>102</v>
      </c>
      <c r="D934">
        <v>2017</v>
      </c>
      <c r="E934" s="7">
        <v>8113.18</v>
      </c>
      <c r="F934" s="8">
        <v>11177.302103261291</v>
      </c>
      <c r="G934" s="7">
        <v>10071.75</v>
      </c>
      <c r="H934" s="7">
        <v>13875.569085432224</v>
      </c>
    </row>
    <row r="935" spans="1:8" x14ac:dyDescent="0.35">
      <c r="A935">
        <v>313810</v>
      </c>
      <c r="B935">
        <v>3138104</v>
      </c>
      <c r="C935" t="s">
        <v>102</v>
      </c>
      <c r="D935">
        <v>2018</v>
      </c>
      <c r="E935" s="7">
        <v>6959.66</v>
      </c>
      <c r="F935" s="8">
        <v>9241.9644489972779</v>
      </c>
      <c r="G935" s="7">
        <v>10809.95</v>
      </c>
      <c r="H935" s="7">
        <v>14354.887097992214</v>
      </c>
    </row>
    <row r="936" spans="1:8" x14ac:dyDescent="0.35">
      <c r="A936">
        <v>313810</v>
      </c>
      <c r="B936">
        <v>3138104</v>
      </c>
      <c r="C936" t="s">
        <v>102</v>
      </c>
      <c r="D936">
        <v>2019</v>
      </c>
      <c r="E936" s="7">
        <v>7333.8</v>
      </c>
      <c r="F936" s="8">
        <v>9336.7431090644241</v>
      </c>
      <c r="G936" s="7">
        <v>11633.08</v>
      </c>
      <c r="H936" s="7">
        <v>14810.199930508108</v>
      </c>
    </row>
    <row r="937" spans="1:8" x14ac:dyDescent="0.35">
      <c r="A937">
        <v>313810</v>
      </c>
      <c r="B937">
        <v>3138104</v>
      </c>
      <c r="C937" t="s">
        <v>102</v>
      </c>
      <c r="D937">
        <v>2020</v>
      </c>
      <c r="E937" s="7">
        <v>9050.65</v>
      </c>
      <c r="F937" s="8">
        <v>11024.458937900476</v>
      </c>
      <c r="G937" s="7">
        <v>12250.71</v>
      </c>
      <c r="H937" s="7">
        <v>14922.399565482036</v>
      </c>
    </row>
    <row r="938" spans="1:8" x14ac:dyDescent="0.35">
      <c r="A938">
        <v>313810</v>
      </c>
      <c r="B938">
        <v>3138104</v>
      </c>
      <c r="C938" t="s">
        <v>102</v>
      </c>
      <c r="D938">
        <v>2021</v>
      </c>
      <c r="E938" s="7">
        <v>11748.54</v>
      </c>
      <c r="F938" s="8">
        <v>13002.534873268803</v>
      </c>
      <c r="G938" s="7">
        <v>15366.13</v>
      </c>
      <c r="H938" s="7">
        <v>17006.248649594367</v>
      </c>
    </row>
    <row r="939" spans="1:8" x14ac:dyDescent="0.35">
      <c r="A939">
        <v>313810</v>
      </c>
      <c r="B939">
        <v>3138104</v>
      </c>
      <c r="C939" t="s">
        <v>102</v>
      </c>
      <c r="D939">
        <v>2022</v>
      </c>
      <c r="E939" s="7">
        <v>16273.91</v>
      </c>
      <c r="F939" s="8">
        <v>17025.958302356008</v>
      </c>
      <c r="G939" s="7">
        <v>24316.97</v>
      </c>
      <c r="H939" s="7">
        <v>25440.701152089681</v>
      </c>
    </row>
    <row r="940" spans="1:8" x14ac:dyDescent="0.35">
      <c r="A940">
        <v>313810</v>
      </c>
      <c r="B940">
        <v>3138104</v>
      </c>
      <c r="C940" t="s">
        <v>102</v>
      </c>
      <c r="D940">
        <v>2023</v>
      </c>
      <c r="E940" s="7">
        <v>17764.099999999999</v>
      </c>
      <c r="F940" s="8">
        <v>17764.099999999999</v>
      </c>
      <c r="G940" s="7">
        <v>26264.39</v>
      </c>
      <c r="H940" s="7">
        <v>26264.387966804978</v>
      </c>
    </row>
    <row r="941" spans="1:8" x14ac:dyDescent="0.35">
      <c r="A941">
        <v>313810</v>
      </c>
      <c r="B941">
        <v>3138104</v>
      </c>
      <c r="C941" t="s">
        <v>102</v>
      </c>
      <c r="D941">
        <v>2024</v>
      </c>
      <c r="E941" s="7">
        <v>18753.73</v>
      </c>
      <c r="F941" s="8">
        <v>17889.455221054857</v>
      </c>
      <c r="G941" s="7">
        <v>30059.91</v>
      </c>
      <c r="H941" s="7">
        <v>28674.588164092063</v>
      </c>
    </row>
    <row r="942" spans="1:8" x14ac:dyDescent="0.35">
      <c r="A942">
        <v>313835</v>
      </c>
      <c r="B942">
        <v>3138351</v>
      </c>
      <c r="C942" t="s">
        <v>103</v>
      </c>
      <c r="D942">
        <v>2015</v>
      </c>
      <c r="E942" s="7">
        <v>10702.96</v>
      </c>
      <c r="F942" s="8">
        <v>16134.274438581224</v>
      </c>
      <c r="G942" s="7">
        <v>9151.56</v>
      </c>
      <c r="H942" s="7">
        <v>13795.602392342154</v>
      </c>
    </row>
    <row r="943" spans="1:8" x14ac:dyDescent="0.35">
      <c r="A943">
        <v>313835</v>
      </c>
      <c r="B943">
        <v>3138351</v>
      </c>
      <c r="C943" t="s">
        <v>103</v>
      </c>
      <c r="D943">
        <v>2016</v>
      </c>
      <c r="E943" s="7">
        <v>9904.19</v>
      </c>
      <c r="F943" s="8">
        <v>14046.894277550937</v>
      </c>
      <c r="G943" s="7">
        <v>11034.44</v>
      </c>
      <c r="H943" s="7">
        <v>15649.903761399886</v>
      </c>
    </row>
    <row r="944" spans="1:8" x14ac:dyDescent="0.35">
      <c r="A944">
        <v>313835</v>
      </c>
      <c r="B944">
        <v>3138351</v>
      </c>
      <c r="C944" t="s">
        <v>103</v>
      </c>
      <c r="D944">
        <v>2017</v>
      </c>
      <c r="E944" s="7">
        <v>8619.48</v>
      </c>
      <c r="F944" s="8">
        <v>11874.817510891982</v>
      </c>
      <c r="G944" s="7">
        <v>10887.8</v>
      </c>
      <c r="H944" s="7">
        <v>14999.818320142798</v>
      </c>
    </row>
    <row r="945" spans="1:8" x14ac:dyDescent="0.35">
      <c r="A945">
        <v>313835</v>
      </c>
      <c r="B945">
        <v>3138351</v>
      </c>
      <c r="C945" t="s">
        <v>103</v>
      </c>
      <c r="D945">
        <v>2018</v>
      </c>
      <c r="E945" s="7">
        <v>10377.24</v>
      </c>
      <c r="F945" s="8">
        <v>13780.282823975956</v>
      </c>
      <c r="G945" s="7">
        <v>12184.92</v>
      </c>
      <c r="H945" s="7">
        <v>16180.755100146065</v>
      </c>
    </row>
    <row r="946" spans="1:8" x14ac:dyDescent="0.35">
      <c r="A946">
        <v>313835</v>
      </c>
      <c r="B946">
        <v>3138351</v>
      </c>
      <c r="C946" t="s">
        <v>103</v>
      </c>
      <c r="D946">
        <v>2019</v>
      </c>
      <c r="E946" s="7">
        <v>10316.56</v>
      </c>
      <c r="F946" s="8">
        <v>13134.128349457262</v>
      </c>
      <c r="G946" s="7">
        <v>10851.9</v>
      </c>
      <c r="H946" s="7">
        <v>13815.669929018248</v>
      </c>
    </row>
    <row r="947" spans="1:8" x14ac:dyDescent="0.35">
      <c r="A947">
        <v>313835</v>
      </c>
      <c r="B947">
        <v>3138351</v>
      </c>
      <c r="C947" t="s">
        <v>103</v>
      </c>
      <c r="D947">
        <v>2020</v>
      </c>
      <c r="E947" s="7">
        <v>11038.97</v>
      </c>
      <c r="F947" s="8">
        <v>13446.401250928409</v>
      </c>
      <c r="G947" s="7">
        <v>11570.33</v>
      </c>
      <c r="H947" s="7">
        <v>14093.646609878335</v>
      </c>
    </row>
    <row r="948" spans="1:8" x14ac:dyDescent="0.35">
      <c r="A948">
        <v>313835</v>
      </c>
      <c r="B948">
        <v>3138351</v>
      </c>
      <c r="C948" t="s">
        <v>103</v>
      </c>
      <c r="D948">
        <v>2021</v>
      </c>
      <c r="E948" s="7">
        <v>13587.46</v>
      </c>
      <c r="F948" s="8">
        <v>15037.734262227044</v>
      </c>
      <c r="G948" s="7">
        <v>11118.08</v>
      </c>
      <c r="H948" s="7">
        <v>12304.778150823569</v>
      </c>
    </row>
    <row r="949" spans="1:8" x14ac:dyDescent="0.35">
      <c r="A949">
        <v>313835</v>
      </c>
      <c r="B949">
        <v>3138351</v>
      </c>
      <c r="C949" t="s">
        <v>103</v>
      </c>
      <c r="D949">
        <v>2022</v>
      </c>
      <c r="E949" s="7">
        <v>13192.27</v>
      </c>
      <c r="F949" s="8">
        <v>13801.909862683406</v>
      </c>
      <c r="G949" s="7">
        <v>17116.57</v>
      </c>
      <c r="H949" s="7">
        <v>17907.564238266208</v>
      </c>
    </row>
    <row r="950" spans="1:8" x14ac:dyDescent="0.35">
      <c r="A950">
        <v>313835</v>
      </c>
      <c r="B950">
        <v>3138351</v>
      </c>
      <c r="C950" t="s">
        <v>103</v>
      </c>
      <c r="D950">
        <v>2023</v>
      </c>
      <c r="E950" s="7">
        <v>16752.5</v>
      </c>
      <c r="F950" s="8">
        <v>16752.5</v>
      </c>
      <c r="G950" s="7">
        <v>22881.16</v>
      </c>
      <c r="H950" s="7">
        <v>22881.161071971033</v>
      </c>
    </row>
    <row r="951" spans="1:8" x14ac:dyDescent="0.35">
      <c r="A951">
        <v>313835</v>
      </c>
      <c r="B951">
        <v>3138351</v>
      </c>
      <c r="C951" t="s">
        <v>103</v>
      </c>
      <c r="D951">
        <v>2024</v>
      </c>
      <c r="E951" s="7">
        <v>18984.87</v>
      </c>
      <c r="F951" s="8">
        <v>18109.943021604111</v>
      </c>
      <c r="G951" s="7">
        <v>24725.59</v>
      </c>
      <c r="H951" s="7">
        <v>23586.094914271387</v>
      </c>
    </row>
    <row r="952" spans="1:8" x14ac:dyDescent="0.35">
      <c r="A952">
        <v>313865</v>
      </c>
      <c r="B952">
        <v>3138658</v>
      </c>
      <c r="C952" t="s">
        <v>104</v>
      </c>
      <c r="D952">
        <v>2015</v>
      </c>
      <c r="E952" s="7">
        <v>7535.57</v>
      </c>
      <c r="F952" s="8">
        <v>11359.563562896574</v>
      </c>
      <c r="G952" s="7">
        <v>6697.81</v>
      </c>
      <c r="H952" s="7">
        <v>10096.674100000313</v>
      </c>
    </row>
    <row r="953" spans="1:8" x14ac:dyDescent="0.35">
      <c r="A953">
        <v>313865</v>
      </c>
      <c r="B953">
        <v>3138658</v>
      </c>
      <c r="C953" t="s">
        <v>104</v>
      </c>
      <c r="D953">
        <v>2016</v>
      </c>
      <c r="E953" s="7">
        <v>5216.6400000000003</v>
      </c>
      <c r="F953" s="8">
        <v>7398.6454787361026</v>
      </c>
      <c r="G953" s="7">
        <v>5602.79</v>
      </c>
      <c r="H953" s="7">
        <v>7946.3190800665861</v>
      </c>
    </row>
    <row r="954" spans="1:8" x14ac:dyDescent="0.35">
      <c r="A954">
        <v>313865</v>
      </c>
      <c r="B954">
        <v>3138658</v>
      </c>
      <c r="C954" t="s">
        <v>104</v>
      </c>
      <c r="D954">
        <v>2017</v>
      </c>
      <c r="E954" s="7">
        <v>3272.13</v>
      </c>
      <c r="F954" s="8">
        <v>4507.9223598076669</v>
      </c>
      <c r="G954" s="7">
        <v>2362.52</v>
      </c>
      <c r="H954" s="7">
        <v>3254.7805354093744</v>
      </c>
    </row>
    <row r="955" spans="1:8" x14ac:dyDescent="0.35">
      <c r="A955">
        <v>313865</v>
      </c>
      <c r="B955">
        <v>3138658</v>
      </c>
      <c r="C955" t="s">
        <v>104</v>
      </c>
      <c r="D955">
        <v>2018</v>
      </c>
      <c r="E955" s="7">
        <v>2761.86</v>
      </c>
      <c r="F955" s="8">
        <v>3667.5659347019282</v>
      </c>
      <c r="G955" s="7">
        <v>3033.12</v>
      </c>
      <c r="H955" s="7">
        <v>4027.7843938943415</v>
      </c>
    </row>
    <row r="956" spans="1:8" x14ac:dyDescent="0.35">
      <c r="A956">
        <v>313865</v>
      </c>
      <c r="B956">
        <v>3138658</v>
      </c>
      <c r="C956" t="s">
        <v>104</v>
      </c>
      <c r="D956">
        <v>2019</v>
      </c>
      <c r="E956" s="7">
        <v>4176.63</v>
      </c>
      <c r="F956" s="8">
        <v>5317.3145397490725</v>
      </c>
      <c r="G956" s="7">
        <v>3716.65</v>
      </c>
      <c r="H956" s="7">
        <v>4731.7039748558263</v>
      </c>
    </row>
    <row r="957" spans="1:8" x14ac:dyDescent="0.35">
      <c r="A957">
        <v>313865</v>
      </c>
      <c r="B957">
        <v>3138658</v>
      </c>
      <c r="C957" t="s">
        <v>104</v>
      </c>
      <c r="D957">
        <v>2020</v>
      </c>
      <c r="E957" s="7">
        <v>4012.92</v>
      </c>
      <c r="F957" s="8">
        <v>4888.0767415687906</v>
      </c>
      <c r="G957" s="7">
        <v>3111.05</v>
      </c>
      <c r="H957" s="7">
        <v>3789.5178690994931</v>
      </c>
    </row>
    <row r="958" spans="1:8" x14ac:dyDescent="0.35">
      <c r="A958">
        <v>313865</v>
      </c>
      <c r="B958">
        <v>3138658</v>
      </c>
      <c r="C958" t="s">
        <v>104</v>
      </c>
      <c r="D958">
        <v>2021</v>
      </c>
      <c r="E958" s="7">
        <v>6401.71</v>
      </c>
      <c r="F958" s="8">
        <v>7085.0043940399082</v>
      </c>
      <c r="G958" s="7">
        <v>5530.3</v>
      </c>
      <c r="H958" s="7">
        <v>6120.5841615651934</v>
      </c>
    </row>
    <row r="959" spans="1:8" x14ac:dyDescent="0.35">
      <c r="A959">
        <v>313865</v>
      </c>
      <c r="B959">
        <v>3138658</v>
      </c>
      <c r="C959" t="s">
        <v>104</v>
      </c>
      <c r="D959">
        <v>2022</v>
      </c>
      <c r="E959" s="7">
        <v>7330.77</v>
      </c>
      <c r="F959" s="8">
        <v>7669.538810535536</v>
      </c>
      <c r="G959" s="7">
        <v>8544.5300000000007</v>
      </c>
      <c r="H959" s="7">
        <v>8939.3868992008811</v>
      </c>
    </row>
    <row r="960" spans="1:8" x14ac:dyDescent="0.35">
      <c r="A960">
        <v>313865</v>
      </c>
      <c r="B960">
        <v>3138658</v>
      </c>
      <c r="C960" t="s">
        <v>104</v>
      </c>
      <c r="D960">
        <v>2023</v>
      </c>
      <c r="E960" s="7">
        <v>7458.94</v>
      </c>
      <c r="F960" s="8">
        <v>7458.94</v>
      </c>
      <c r="G960" s="7">
        <v>9998.24</v>
      </c>
      <c r="H960" s="7">
        <v>9998.2368608921333</v>
      </c>
    </row>
    <row r="961" spans="1:8" x14ac:dyDescent="0.35">
      <c r="A961">
        <v>313865</v>
      </c>
      <c r="B961">
        <v>3138658</v>
      </c>
      <c r="C961" t="s">
        <v>104</v>
      </c>
      <c r="D961">
        <v>2024</v>
      </c>
      <c r="E961" s="7">
        <v>7847.56</v>
      </c>
      <c r="F961" s="8">
        <v>7485.9013761284423</v>
      </c>
      <c r="G961" s="7">
        <v>9866.7000000000007</v>
      </c>
      <c r="H961" s="7">
        <v>9411.9880467808762</v>
      </c>
    </row>
    <row r="962" spans="1:8" x14ac:dyDescent="0.35">
      <c r="A962">
        <v>313890</v>
      </c>
      <c r="B962">
        <v>3138906</v>
      </c>
      <c r="C962" s="9" t="s">
        <v>105</v>
      </c>
      <c r="D962">
        <v>2015</v>
      </c>
      <c r="E962" s="7">
        <v>4933.1400000000003</v>
      </c>
      <c r="F962" s="8">
        <v>7436.5067798013433</v>
      </c>
      <c r="G962" s="7">
        <v>6113.6804009008702</v>
      </c>
      <c r="H962" s="7">
        <v>9216.1231489148722</v>
      </c>
    </row>
    <row r="963" spans="1:8" x14ac:dyDescent="0.35">
      <c r="A963">
        <v>313890</v>
      </c>
      <c r="B963">
        <v>3138906</v>
      </c>
      <c r="C963" t="s">
        <v>105</v>
      </c>
      <c r="D963">
        <v>2016</v>
      </c>
      <c r="E963" s="7">
        <v>6596.5</v>
      </c>
      <c r="F963" s="8">
        <v>9355.6704891429545</v>
      </c>
      <c r="G963" s="7">
        <v>7487.06</v>
      </c>
      <c r="H963" s="7">
        <v>10618.733142952988</v>
      </c>
    </row>
    <row r="964" spans="1:8" x14ac:dyDescent="0.35">
      <c r="A964">
        <v>313890</v>
      </c>
      <c r="B964">
        <v>3138906</v>
      </c>
      <c r="C964" t="s">
        <v>105</v>
      </c>
      <c r="D964">
        <v>2017</v>
      </c>
      <c r="E964" s="7">
        <v>7228.98</v>
      </c>
      <c r="F964" s="8">
        <v>9959.1643915744244</v>
      </c>
      <c r="G964" s="7">
        <v>6651.02</v>
      </c>
      <c r="H964" s="7">
        <v>9162.9233423637797</v>
      </c>
    </row>
    <row r="965" spans="1:8" x14ac:dyDescent="0.35">
      <c r="A965">
        <v>313890</v>
      </c>
      <c r="B965">
        <v>3138906</v>
      </c>
      <c r="C965" t="s">
        <v>105</v>
      </c>
      <c r="D965">
        <v>2018</v>
      </c>
      <c r="E965" s="7">
        <v>7360.24</v>
      </c>
      <c r="F965" s="8">
        <v>9773.9079805748734</v>
      </c>
      <c r="G965" s="7">
        <v>7879.11</v>
      </c>
      <c r="H965" s="7">
        <v>10462.932864878838</v>
      </c>
    </row>
    <row r="966" spans="1:8" x14ac:dyDescent="0.35">
      <c r="A966">
        <v>313890</v>
      </c>
      <c r="B966">
        <v>3138906</v>
      </c>
      <c r="C966" t="s">
        <v>105</v>
      </c>
      <c r="D966">
        <v>2019</v>
      </c>
      <c r="E966" s="7">
        <v>9718.83</v>
      </c>
      <c r="F966" s="8">
        <v>12373.151576354494</v>
      </c>
      <c r="G966" s="7">
        <v>10122.299999999999</v>
      </c>
      <c r="H966" s="7">
        <v>12886.807901131922</v>
      </c>
    </row>
    <row r="967" spans="1:8" x14ac:dyDescent="0.35">
      <c r="A967">
        <v>313890</v>
      </c>
      <c r="B967">
        <v>3138906</v>
      </c>
      <c r="C967" t="s">
        <v>105</v>
      </c>
      <c r="D967">
        <v>2020</v>
      </c>
      <c r="E967" s="7">
        <v>10708.95</v>
      </c>
      <c r="F967" s="8">
        <v>13044.40891461158</v>
      </c>
      <c r="G967" s="7">
        <v>9340.4500000000007</v>
      </c>
      <c r="H967" s="7">
        <v>11377.456377381135</v>
      </c>
    </row>
    <row r="968" spans="1:8" x14ac:dyDescent="0.35">
      <c r="A968">
        <v>313890</v>
      </c>
      <c r="B968">
        <v>3138906</v>
      </c>
      <c r="C968" t="s">
        <v>105</v>
      </c>
      <c r="D968">
        <v>2021</v>
      </c>
      <c r="E968" s="7">
        <v>10992.34</v>
      </c>
      <c r="F968" s="8">
        <v>12165.620935778197</v>
      </c>
      <c r="G968" s="7">
        <v>10534.58</v>
      </c>
      <c r="H968" s="7">
        <v>11659.005524903765</v>
      </c>
    </row>
    <row r="969" spans="1:8" x14ac:dyDescent="0.35">
      <c r="A969">
        <v>313890</v>
      </c>
      <c r="B969">
        <v>3138906</v>
      </c>
      <c r="C969" t="s">
        <v>105</v>
      </c>
      <c r="D969">
        <v>2022</v>
      </c>
      <c r="E969" s="7">
        <v>11848.71</v>
      </c>
      <c r="F969" s="8">
        <v>12396.261402251128</v>
      </c>
      <c r="G969" s="7">
        <v>17831.29</v>
      </c>
      <c r="H969" s="7">
        <v>18655.309724805364</v>
      </c>
    </row>
    <row r="970" spans="1:8" x14ac:dyDescent="0.35">
      <c r="A970">
        <v>313890</v>
      </c>
      <c r="B970">
        <v>3138906</v>
      </c>
      <c r="C970" t="s">
        <v>105</v>
      </c>
      <c r="D970">
        <v>2023</v>
      </c>
      <c r="E970" s="7">
        <v>12583.3</v>
      </c>
      <c r="F970" s="8">
        <v>12583.3</v>
      </c>
      <c r="G970" s="7">
        <v>15668.12</v>
      </c>
      <c r="H970" s="7">
        <v>15668.117359926451</v>
      </c>
    </row>
    <row r="971" spans="1:8" x14ac:dyDescent="0.35">
      <c r="A971">
        <v>313890</v>
      </c>
      <c r="B971">
        <v>3138906</v>
      </c>
      <c r="C971" t="s">
        <v>105</v>
      </c>
      <c r="D971">
        <v>2024</v>
      </c>
      <c r="E971" s="7">
        <v>14862.19</v>
      </c>
      <c r="F971" s="8">
        <v>14177.25873689177</v>
      </c>
      <c r="G971" s="7">
        <v>16587.599999999999</v>
      </c>
      <c r="H971" s="7">
        <v>15823.155537498644</v>
      </c>
    </row>
    <row r="972" spans="1:8" x14ac:dyDescent="0.35">
      <c r="A972">
        <v>313920</v>
      </c>
      <c r="B972">
        <v>3139201</v>
      </c>
      <c r="C972" t="s">
        <v>106</v>
      </c>
      <c r="D972">
        <v>2015</v>
      </c>
      <c r="E972" s="7">
        <v>9507.4500000000007</v>
      </c>
      <c r="F972" s="8">
        <v>14332.092011096844</v>
      </c>
      <c r="G972" s="7">
        <v>7669.82</v>
      </c>
      <c r="H972" s="7">
        <v>11561.947472060619</v>
      </c>
    </row>
    <row r="973" spans="1:8" x14ac:dyDescent="0.35">
      <c r="A973">
        <v>313920</v>
      </c>
      <c r="B973">
        <v>3139201</v>
      </c>
      <c r="C973" t="s">
        <v>106</v>
      </c>
      <c r="D973">
        <v>2016</v>
      </c>
      <c r="E973" s="7">
        <v>7864.53</v>
      </c>
      <c r="F973" s="8">
        <v>11154.089476537471</v>
      </c>
      <c r="G973" s="7">
        <v>10825.98</v>
      </c>
      <c r="H973" s="7">
        <v>15354.248718265873</v>
      </c>
    </row>
    <row r="974" spans="1:8" x14ac:dyDescent="0.35">
      <c r="A974">
        <v>313920</v>
      </c>
      <c r="B974">
        <v>3139201</v>
      </c>
      <c r="C974" t="s">
        <v>106</v>
      </c>
      <c r="D974">
        <v>2017</v>
      </c>
      <c r="E974" s="7">
        <v>6235.58</v>
      </c>
      <c r="F974" s="8">
        <v>8590.5848815204445</v>
      </c>
      <c r="G974" s="7">
        <v>10887.02</v>
      </c>
      <c r="H974" s="7">
        <v>14998.743296328188</v>
      </c>
    </row>
    <row r="975" spans="1:8" x14ac:dyDescent="0.35">
      <c r="A975">
        <v>313920</v>
      </c>
      <c r="B975">
        <v>3139201</v>
      </c>
      <c r="C975" t="s">
        <v>106</v>
      </c>
      <c r="D975">
        <v>2018</v>
      </c>
      <c r="E975" s="7">
        <v>7699.39</v>
      </c>
      <c r="F975" s="8">
        <v>10224.27656795952</v>
      </c>
      <c r="G975" s="7">
        <v>10359.120000000001</v>
      </c>
      <c r="H975" s="7">
        <v>13756.215137034642</v>
      </c>
    </row>
    <row r="976" spans="1:8" x14ac:dyDescent="0.35">
      <c r="A976">
        <v>313920</v>
      </c>
      <c r="B976">
        <v>3139201</v>
      </c>
      <c r="C976" t="s">
        <v>106</v>
      </c>
      <c r="D976">
        <v>2019</v>
      </c>
      <c r="E976" s="7">
        <v>8444.99</v>
      </c>
      <c r="F976" s="8">
        <v>10751.411572256942</v>
      </c>
      <c r="G976" s="7">
        <v>11471.91</v>
      </c>
      <c r="H976" s="7">
        <v>14605.022953127231</v>
      </c>
    </row>
    <row r="977" spans="1:8" x14ac:dyDescent="0.35">
      <c r="A977">
        <v>313920</v>
      </c>
      <c r="B977">
        <v>3139201</v>
      </c>
      <c r="C977" t="s">
        <v>106</v>
      </c>
      <c r="D977">
        <v>2020</v>
      </c>
      <c r="E977" s="7">
        <v>8830.34</v>
      </c>
      <c r="F977" s="8">
        <v>10756.102681873686</v>
      </c>
      <c r="G977" s="7">
        <v>8601.65</v>
      </c>
      <c r="H977" s="7">
        <v>10477.538785811075</v>
      </c>
    </row>
    <row r="978" spans="1:8" x14ac:dyDescent="0.35">
      <c r="A978">
        <v>313920</v>
      </c>
      <c r="B978">
        <v>3139201</v>
      </c>
      <c r="C978" t="s">
        <v>106</v>
      </c>
      <c r="D978">
        <v>2021</v>
      </c>
      <c r="E978" s="7">
        <v>12222.23</v>
      </c>
      <c r="F978" s="8">
        <v>13526.784758285894</v>
      </c>
      <c r="G978" s="7">
        <v>9736</v>
      </c>
      <c r="H978" s="7">
        <v>10775.183021226414</v>
      </c>
    </row>
    <row r="979" spans="1:8" x14ac:dyDescent="0.35">
      <c r="A979">
        <v>313920</v>
      </c>
      <c r="B979">
        <v>3139201</v>
      </c>
      <c r="C979" t="s">
        <v>106</v>
      </c>
      <c r="D979">
        <v>2022</v>
      </c>
      <c r="E979" s="7">
        <v>13299.91</v>
      </c>
      <c r="F979" s="8">
        <v>13914.524111604876</v>
      </c>
      <c r="G979" s="7">
        <v>16673.32</v>
      </c>
      <c r="H979" s="7">
        <v>17443.825896097987</v>
      </c>
    </row>
    <row r="980" spans="1:8" x14ac:dyDescent="0.35">
      <c r="A980">
        <v>313920</v>
      </c>
      <c r="B980">
        <v>3139201</v>
      </c>
      <c r="C980" t="s">
        <v>106</v>
      </c>
      <c r="D980">
        <v>2023</v>
      </c>
      <c r="E980" s="7">
        <v>15692.89</v>
      </c>
      <c r="F980" s="8">
        <v>15692.89</v>
      </c>
      <c r="G980" s="7">
        <v>18508.45</v>
      </c>
      <c r="H980" s="7">
        <v>18508.447532183909</v>
      </c>
    </row>
    <row r="981" spans="1:8" x14ac:dyDescent="0.35">
      <c r="A981">
        <v>313920</v>
      </c>
      <c r="B981">
        <v>3139201</v>
      </c>
      <c r="C981" t="s">
        <v>106</v>
      </c>
      <c r="D981">
        <v>2024</v>
      </c>
      <c r="E981" s="7">
        <v>16642.919999999998</v>
      </c>
      <c r="F981" s="8">
        <v>15875.922927737483</v>
      </c>
      <c r="G981" s="7">
        <v>21684.69</v>
      </c>
      <c r="H981" s="7">
        <v>20685.337298437691</v>
      </c>
    </row>
    <row r="982" spans="1:8" x14ac:dyDescent="0.35">
      <c r="A982">
        <v>313925</v>
      </c>
      <c r="B982">
        <v>3139250</v>
      </c>
      <c r="C982" t="s">
        <v>107</v>
      </c>
      <c r="D982">
        <v>2015</v>
      </c>
      <c r="E982" s="7">
        <v>5605.28</v>
      </c>
      <c r="F982" s="8">
        <v>8449.7303386250678</v>
      </c>
      <c r="G982" s="7">
        <v>6027.29</v>
      </c>
      <c r="H982" s="7">
        <v>9085.8969415954707</v>
      </c>
    </row>
    <row r="983" spans="1:8" x14ac:dyDescent="0.35">
      <c r="A983">
        <v>313925</v>
      </c>
      <c r="B983">
        <v>3139250</v>
      </c>
      <c r="C983" t="s">
        <v>107</v>
      </c>
      <c r="D983">
        <v>2016</v>
      </c>
      <c r="E983" s="7">
        <v>6008.77</v>
      </c>
      <c r="F983" s="8">
        <v>8522.1059903050882</v>
      </c>
      <c r="G983" s="7">
        <v>8008.71</v>
      </c>
      <c r="H983" s="7">
        <v>11358.575282986054</v>
      </c>
    </row>
    <row r="984" spans="1:8" x14ac:dyDescent="0.35">
      <c r="A984">
        <v>313925</v>
      </c>
      <c r="B984">
        <v>3139250</v>
      </c>
      <c r="C984" t="s">
        <v>107</v>
      </c>
      <c r="D984">
        <v>2017</v>
      </c>
      <c r="E984" s="7">
        <v>7196.67</v>
      </c>
      <c r="F984" s="8">
        <v>9914.6518045300891</v>
      </c>
      <c r="G984" s="7">
        <v>9913.7000000000007</v>
      </c>
      <c r="H984" s="7">
        <v>13657.824244891215</v>
      </c>
    </row>
    <row r="985" spans="1:8" x14ac:dyDescent="0.35">
      <c r="A985">
        <v>313925</v>
      </c>
      <c r="B985">
        <v>3139250</v>
      </c>
      <c r="C985" t="s">
        <v>107</v>
      </c>
      <c r="D985">
        <v>2018</v>
      </c>
      <c r="E985" s="7">
        <v>6175.4</v>
      </c>
      <c r="F985" s="8">
        <v>8200.5194590450956</v>
      </c>
      <c r="G985" s="7">
        <v>9043.98</v>
      </c>
      <c r="H985" s="7">
        <v>12009.798038995557</v>
      </c>
    </row>
    <row r="986" spans="1:8" x14ac:dyDescent="0.35">
      <c r="A986">
        <v>313925</v>
      </c>
      <c r="B986">
        <v>3139250</v>
      </c>
      <c r="C986" t="s">
        <v>107</v>
      </c>
      <c r="D986">
        <v>2019</v>
      </c>
      <c r="E986" s="7">
        <v>6646.43</v>
      </c>
      <c r="F986" s="8">
        <v>8461.6446456651483</v>
      </c>
      <c r="G986" s="7">
        <v>10488.99</v>
      </c>
      <c r="H986" s="7">
        <v>13353.656357775599</v>
      </c>
    </row>
    <row r="987" spans="1:8" x14ac:dyDescent="0.35">
      <c r="A987">
        <v>313925</v>
      </c>
      <c r="B987">
        <v>3139250</v>
      </c>
      <c r="C987" t="s">
        <v>107</v>
      </c>
      <c r="D987">
        <v>2020</v>
      </c>
      <c r="E987" s="7">
        <v>8454.81</v>
      </c>
      <c r="F987" s="8">
        <v>10298.675307602251</v>
      </c>
      <c r="G987" s="7">
        <v>10757.79</v>
      </c>
      <c r="H987" s="7">
        <v>13103.901254768291</v>
      </c>
    </row>
    <row r="988" spans="1:8" x14ac:dyDescent="0.35">
      <c r="A988">
        <v>313925</v>
      </c>
      <c r="B988">
        <v>3139250</v>
      </c>
      <c r="C988" t="s">
        <v>107</v>
      </c>
      <c r="D988">
        <v>2021</v>
      </c>
      <c r="E988" s="7">
        <v>11867.91</v>
      </c>
      <c r="F988" s="8">
        <v>13134.645977101458</v>
      </c>
      <c r="G988" s="7">
        <v>11605.84</v>
      </c>
      <c r="H988" s="7">
        <v>12844.608142944178</v>
      </c>
    </row>
    <row r="989" spans="1:8" x14ac:dyDescent="0.35">
      <c r="A989">
        <v>313925</v>
      </c>
      <c r="B989">
        <v>3139250</v>
      </c>
      <c r="C989" t="s">
        <v>107</v>
      </c>
      <c r="D989">
        <v>2022</v>
      </c>
      <c r="E989" s="7">
        <v>15530.9</v>
      </c>
      <c r="F989" s="8">
        <v>16248.61239849925</v>
      </c>
      <c r="G989" s="7">
        <v>18868.689999999999</v>
      </c>
      <c r="H989" s="7">
        <v>19740.647049527797</v>
      </c>
    </row>
    <row r="990" spans="1:8" x14ac:dyDescent="0.35">
      <c r="A990">
        <v>313925</v>
      </c>
      <c r="B990">
        <v>3139250</v>
      </c>
      <c r="C990" t="s">
        <v>107</v>
      </c>
      <c r="D990">
        <v>2023</v>
      </c>
      <c r="E990" s="7">
        <v>16794.72</v>
      </c>
      <c r="F990" s="8">
        <v>16794.72</v>
      </c>
      <c r="G990" s="7">
        <v>22048.15</v>
      </c>
      <c r="H990" s="7">
        <v>22048.145723435715</v>
      </c>
    </row>
    <row r="991" spans="1:8" x14ac:dyDescent="0.35">
      <c r="A991">
        <v>313925</v>
      </c>
      <c r="B991">
        <v>3139250</v>
      </c>
      <c r="C991" t="s">
        <v>107</v>
      </c>
      <c r="D991">
        <v>2024</v>
      </c>
      <c r="E991" s="7">
        <v>18884.47</v>
      </c>
      <c r="F991" s="8">
        <v>18014.170004492644</v>
      </c>
      <c r="G991" s="7">
        <v>26478.6</v>
      </c>
      <c r="H991" s="7">
        <v>25258.317201631573</v>
      </c>
    </row>
    <row r="992" spans="1:8" x14ac:dyDescent="0.35">
      <c r="A992">
        <v>313930</v>
      </c>
      <c r="B992">
        <v>3139300</v>
      </c>
      <c r="C992" t="s">
        <v>108</v>
      </c>
      <c r="D992">
        <v>2015</v>
      </c>
      <c r="E992" s="7">
        <v>5693.03</v>
      </c>
      <c r="F992" s="8">
        <v>8582.009874565174</v>
      </c>
      <c r="G992" s="7">
        <v>5113.24</v>
      </c>
      <c r="H992" s="7">
        <v>7708.0073629682174</v>
      </c>
    </row>
    <row r="993" spans="1:8" x14ac:dyDescent="0.35">
      <c r="A993">
        <v>313930</v>
      </c>
      <c r="B993">
        <v>3139300</v>
      </c>
      <c r="C993" t="s">
        <v>108</v>
      </c>
      <c r="D993">
        <v>2016</v>
      </c>
      <c r="E993" s="7">
        <v>5325.05</v>
      </c>
      <c r="F993" s="8">
        <v>7552.4009911636003</v>
      </c>
      <c r="G993" s="7">
        <v>6274.86</v>
      </c>
      <c r="H993" s="7">
        <v>8899.4981278976975</v>
      </c>
    </row>
    <row r="994" spans="1:8" x14ac:dyDescent="0.35">
      <c r="A994">
        <v>313930</v>
      </c>
      <c r="B994">
        <v>3139300</v>
      </c>
      <c r="C994" t="s">
        <v>108</v>
      </c>
      <c r="D994">
        <v>2017</v>
      </c>
      <c r="E994" s="7">
        <v>6338.01</v>
      </c>
      <c r="F994" s="8">
        <v>8731.6998394576585</v>
      </c>
      <c r="G994" s="7">
        <v>6534.91</v>
      </c>
      <c r="H994" s="7">
        <v>9002.9623519530051</v>
      </c>
    </row>
    <row r="995" spans="1:8" x14ac:dyDescent="0.35">
      <c r="A995">
        <v>313930</v>
      </c>
      <c r="B995">
        <v>3139300</v>
      </c>
      <c r="C995" t="s">
        <v>108</v>
      </c>
      <c r="D995">
        <v>2018</v>
      </c>
      <c r="E995" s="7">
        <v>5713.39</v>
      </c>
      <c r="F995" s="8">
        <v>7587.0009832745509</v>
      </c>
      <c r="G995" s="7">
        <v>7391.82</v>
      </c>
      <c r="H995" s="7">
        <v>9815.8425312017753</v>
      </c>
    </row>
    <row r="996" spans="1:8" x14ac:dyDescent="0.35">
      <c r="A996">
        <v>313930</v>
      </c>
      <c r="B996">
        <v>3139300</v>
      </c>
      <c r="C996" t="s">
        <v>108</v>
      </c>
      <c r="D996">
        <v>2019</v>
      </c>
      <c r="E996" s="7">
        <v>5620.47</v>
      </c>
      <c r="F996" s="8">
        <v>7155.4834522625824</v>
      </c>
      <c r="G996" s="7">
        <v>7724.83</v>
      </c>
      <c r="H996" s="7">
        <v>9834.5680666735607</v>
      </c>
    </row>
    <row r="997" spans="1:8" x14ac:dyDescent="0.35">
      <c r="A997">
        <v>313930</v>
      </c>
      <c r="B997">
        <v>3139300</v>
      </c>
      <c r="C997" t="s">
        <v>108</v>
      </c>
      <c r="D997">
        <v>2020</v>
      </c>
      <c r="E997" s="7">
        <v>6960.71</v>
      </c>
      <c r="F997" s="8">
        <v>8478.7348503845824</v>
      </c>
      <c r="G997" s="7">
        <v>7865.37</v>
      </c>
      <c r="H997" s="7">
        <v>9580.6928065186858</v>
      </c>
    </row>
    <row r="998" spans="1:8" x14ac:dyDescent="0.35">
      <c r="A998">
        <v>313930</v>
      </c>
      <c r="B998">
        <v>3139300</v>
      </c>
      <c r="C998" t="s">
        <v>108</v>
      </c>
      <c r="D998">
        <v>2021</v>
      </c>
      <c r="E998" s="7">
        <v>7925.84</v>
      </c>
      <c r="F998" s="8">
        <v>8771.8142850046734</v>
      </c>
      <c r="G998" s="7">
        <v>9595.02</v>
      </c>
      <c r="H998" s="7">
        <v>10619.160725785425</v>
      </c>
    </row>
    <row r="999" spans="1:8" x14ac:dyDescent="0.35">
      <c r="A999">
        <v>313930</v>
      </c>
      <c r="B999">
        <v>3139300</v>
      </c>
      <c r="C999" t="s">
        <v>108</v>
      </c>
      <c r="D999">
        <v>2022</v>
      </c>
      <c r="E999" s="7">
        <v>7966.38</v>
      </c>
      <c r="F999" s="8">
        <v>8334.5215563268357</v>
      </c>
      <c r="G999" s="7">
        <v>13520.7</v>
      </c>
      <c r="H999" s="7">
        <v>14145.521843600631</v>
      </c>
    </row>
    <row r="1000" spans="1:8" x14ac:dyDescent="0.35">
      <c r="A1000">
        <v>313930</v>
      </c>
      <c r="B1000">
        <v>3139300</v>
      </c>
      <c r="C1000" t="s">
        <v>108</v>
      </c>
      <c r="D1000">
        <v>2023</v>
      </c>
      <c r="E1000" s="7">
        <v>11091.21</v>
      </c>
      <c r="F1000" s="8">
        <v>11091.21</v>
      </c>
      <c r="G1000" s="7">
        <v>15913.34</v>
      </c>
      <c r="H1000" s="7">
        <v>15913.338325266672</v>
      </c>
    </row>
    <row r="1001" spans="1:8" x14ac:dyDescent="0.35">
      <c r="A1001">
        <v>313930</v>
      </c>
      <c r="B1001">
        <v>3139300</v>
      </c>
      <c r="C1001" t="s">
        <v>108</v>
      </c>
      <c r="D1001">
        <v>2024</v>
      </c>
      <c r="E1001" s="7">
        <v>11587.55</v>
      </c>
      <c r="F1001" s="8">
        <v>11053.532115836913</v>
      </c>
      <c r="G1001" s="7">
        <v>16180.98</v>
      </c>
      <c r="H1001" s="7">
        <v>15435.269650286838</v>
      </c>
    </row>
    <row r="1002" spans="1:8" x14ac:dyDescent="0.35">
      <c r="A1002">
        <v>313960</v>
      </c>
      <c r="B1002">
        <v>3139607</v>
      </c>
      <c r="C1002" t="s">
        <v>109</v>
      </c>
      <c r="D1002">
        <v>2015</v>
      </c>
      <c r="E1002" s="7">
        <v>4691.1000000000004</v>
      </c>
      <c r="F1002" s="8">
        <v>7071.6413794715099</v>
      </c>
      <c r="G1002" s="7">
        <v>5482.66</v>
      </c>
      <c r="H1002" s="7">
        <v>8264.8789442871439</v>
      </c>
    </row>
    <row r="1003" spans="1:8" x14ac:dyDescent="0.35">
      <c r="A1003">
        <v>313960</v>
      </c>
      <c r="B1003">
        <v>3139607</v>
      </c>
      <c r="C1003" t="s">
        <v>109</v>
      </c>
      <c r="D1003">
        <v>2016</v>
      </c>
      <c r="E1003" s="7">
        <v>6246.24</v>
      </c>
      <c r="F1003" s="8">
        <v>8858.9044548024376</v>
      </c>
      <c r="G1003" s="7">
        <v>5246.28</v>
      </c>
      <c r="H1003" s="7">
        <v>7440.6853176386621</v>
      </c>
    </row>
    <row r="1004" spans="1:8" x14ac:dyDescent="0.35">
      <c r="A1004">
        <v>313960</v>
      </c>
      <c r="B1004">
        <v>3139607</v>
      </c>
      <c r="C1004" t="s">
        <v>109</v>
      </c>
      <c r="D1004">
        <v>2017</v>
      </c>
      <c r="E1004" s="7">
        <v>5407.63</v>
      </c>
      <c r="F1004" s="8">
        <v>7449.9412280584002</v>
      </c>
      <c r="G1004" s="7">
        <v>5391.78</v>
      </c>
      <c r="H1004" s="7">
        <v>7428.1107138194175</v>
      </c>
    </row>
    <row r="1005" spans="1:8" x14ac:dyDescent="0.35">
      <c r="A1005">
        <v>313960</v>
      </c>
      <c r="B1005">
        <v>3139607</v>
      </c>
      <c r="C1005" t="s">
        <v>109</v>
      </c>
      <c r="D1005">
        <v>2018</v>
      </c>
      <c r="E1005" s="7">
        <v>4778.32</v>
      </c>
      <c r="F1005" s="8">
        <v>6345.2903684853381</v>
      </c>
      <c r="G1005" s="7">
        <v>5383.45</v>
      </c>
      <c r="H1005" s="7">
        <v>7148.8612626099884</v>
      </c>
    </row>
    <row r="1006" spans="1:8" x14ac:dyDescent="0.35">
      <c r="A1006">
        <v>313960</v>
      </c>
      <c r="B1006">
        <v>3139607</v>
      </c>
      <c r="C1006" t="s">
        <v>109</v>
      </c>
      <c r="D1006">
        <v>2019</v>
      </c>
      <c r="E1006" s="7">
        <v>5612.29</v>
      </c>
      <c r="F1006" s="8">
        <v>7145.0694024340964</v>
      </c>
      <c r="G1006" s="7">
        <v>5359.35</v>
      </c>
      <c r="H1006" s="7">
        <v>6823.053780988479</v>
      </c>
    </row>
    <row r="1007" spans="1:8" x14ac:dyDescent="0.35">
      <c r="A1007">
        <v>313960</v>
      </c>
      <c r="B1007">
        <v>3139607</v>
      </c>
      <c r="C1007" t="s">
        <v>109</v>
      </c>
      <c r="D1007">
        <v>2020</v>
      </c>
      <c r="E1007" s="7">
        <v>6202.91</v>
      </c>
      <c r="F1007" s="8">
        <v>7555.6702104812621</v>
      </c>
      <c r="G1007" s="7">
        <v>5434.86</v>
      </c>
      <c r="H1007" s="7">
        <v>6620.1203682259629</v>
      </c>
    </row>
    <row r="1008" spans="1:8" x14ac:dyDescent="0.35">
      <c r="A1008">
        <v>313960</v>
      </c>
      <c r="B1008">
        <v>3139607</v>
      </c>
      <c r="C1008" t="s">
        <v>109</v>
      </c>
      <c r="D1008">
        <v>2021</v>
      </c>
      <c r="E1008" s="7">
        <v>8060.87</v>
      </c>
      <c r="F1008" s="8">
        <v>8921.2568782066792</v>
      </c>
      <c r="G1008" s="7">
        <v>8289.8799999999992</v>
      </c>
      <c r="H1008" s="7">
        <v>9174.7159286443693</v>
      </c>
    </row>
    <row r="1009" spans="1:8" x14ac:dyDescent="0.35">
      <c r="A1009">
        <v>313960</v>
      </c>
      <c r="B1009">
        <v>3139607</v>
      </c>
      <c r="C1009" t="s">
        <v>109</v>
      </c>
      <c r="D1009">
        <v>2022</v>
      </c>
      <c r="E1009" s="7">
        <v>9634.49</v>
      </c>
      <c r="F1009" s="8">
        <v>10079.718088920607</v>
      </c>
      <c r="G1009" s="7">
        <v>9935.0499999999993</v>
      </c>
      <c r="H1009" s="7">
        <v>10394.165868830092</v>
      </c>
    </row>
    <row r="1010" spans="1:8" x14ac:dyDescent="0.35">
      <c r="A1010">
        <v>313960</v>
      </c>
      <c r="B1010">
        <v>3139607</v>
      </c>
      <c r="C1010" t="s">
        <v>109</v>
      </c>
      <c r="D1010">
        <v>2023</v>
      </c>
      <c r="E1010" s="7">
        <v>11520.73</v>
      </c>
      <c r="F1010" s="8">
        <v>11520.73</v>
      </c>
      <c r="G1010" s="7">
        <v>11309.86</v>
      </c>
      <c r="H1010" s="7">
        <v>11309.855740244477</v>
      </c>
    </row>
    <row r="1011" spans="1:8" x14ac:dyDescent="0.35">
      <c r="A1011">
        <v>313960</v>
      </c>
      <c r="B1011">
        <v>3139607</v>
      </c>
      <c r="C1011" t="s">
        <v>109</v>
      </c>
      <c r="D1011">
        <v>2024</v>
      </c>
      <c r="E1011" s="7">
        <v>12807.69</v>
      </c>
      <c r="F1011" s="8">
        <v>12217.441369804945</v>
      </c>
      <c r="G1011" s="7">
        <v>11618.36</v>
      </c>
      <c r="H1011" s="7">
        <v>11082.924650333749</v>
      </c>
    </row>
    <row r="1012" spans="1:8" x14ac:dyDescent="0.35">
      <c r="A1012">
        <v>314010</v>
      </c>
      <c r="B1012">
        <v>3140100</v>
      </c>
      <c r="C1012" s="9" t="s">
        <v>110</v>
      </c>
      <c r="D1012">
        <v>2015</v>
      </c>
      <c r="E1012" s="7">
        <v>5546.88</v>
      </c>
      <c r="F1012" s="8">
        <v>8361.6947272415691</v>
      </c>
      <c r="G1012" s="7">
        <v>5784.5308333333332</v>
      </c>
      <c r="H1012" s="7">
        <v>8719.9436383425655</v>
      </c>
    </row>
    <row r="1013" spans="1:8" x14ac:dyDescent="0.35">
      <c r="A1013">
        <v>314010</v>
      </c>
      <c r="B1013">
        <v>3140100</v>
      </c>
      <c r="C1013" t="s">
        <v>110</v>
      </c>
      <c r="D1013">
        <v>2016</v>
      </c>
      <c r="E1013" s="7">
        <v>6579.08</v>
      </c>
      <c r="F1013" s="8">
        <v>9330.9640872751643</v>
      </c>
      <c r="G1013" s="7">
        <v>7356.82</v>
      </c>
      <c r="H1013" s="7">
        <v>10434.021850102268</v>
      </c>
    </row>
    <row r="1014" spans="1:8" x14ac:dyDescent="0.35">
      <c r="A1014">
        <v>314010</v>
      </c>
      <c r="B1014">
        <v>3140100</v>
      </c>
      <c r="C1014" t="s">
        <v>110</v>
      </c>
      <c r="D1014">
        <v>2017</v>
      </c>
      <c r="E1014" s="7">
        <v>6728.71</v>
      </c>
      <c r="F1014" s="8">
        <v>9269.9563469854329</v>
      </c>
      <c r="G1014" s="7">
        <v>6874.93</v>
      </c>
      <c r="H1014" s="7">
        <v>9471.4011429672555</v>
      </c>
    </row>
    <row r="1015" spans="1:8" x14ac:dyDescent="0.35">
      <c r="A1015">
        <v>314010</v>
      </c>
      <c r="B1015">
        <v>3140100</v>
      </c>
      <c r="C1015" t="s">
        <v>110</v>
      </c>
      <c r="D1015">
        <v>2018</v>
      </c>
      <c r="E1015" s="7">
        <v>5808.64</v>
      </c>
      <c r="F1015" s="8">
        <v>7713.4866325400308</v>
      </c>
      <c r="G1015" s="7">
        <v>6424.37</v>
      </c>
      <c r="H1015" s="7">
        <v>8531.139355872152</v>
      </c>
    </row>
    <row r="1016" spans="1:8" x14ac:dyDescent="0.35">
      <c r="A1016">
        <v>314010</v>
      </c>
      <c r="B1016">
        <v>3140100</v>
      </c>
      <c r="C1016" t="s">
        <v>110</v>
      </c>
      <c r="D1016">
        <v>2019</v>
      </c>
      <c r="E1016" s="7">
        <v>7877.27</v>
      </c>
      <c r="F1016" s="8">
        <v>10028.640867045722</v>
      </c>
      <c r="G1016" s="7">
        <v>7719.84</v>
      </c>
      <c r="H1016" s="7">
        <v>9828.2119846821861</v>
      </c>
    </row>
    <row r="1017" spans="1:8" x14ac:dyDescent="0.35">
      <c r="A1017">
        <v>314010</v>
      </c>
      <c r="B1017">
        <v>3140100</v>
      </c>
      <c r="C1017" t="s">
        <v>110</v>
      </c>
      <c r="D1017">
        <v>2020</v>
      </c>
      <c r="E1017" s="7">
        <v>8219.5</v>
      </c>
      <c r="F1017" s="8">
        <v>10012.047780001763</v>
      </c>
      <c r="G1017" s="7">
        <v>7088.98</v>
      </c>
      <c r="H1017" s="7">
        <v>8634.9808137035761</v>
      </c>
    </row>
    <row r="1018" spans="1:8" x14ac:dyDescent="0.35">
      <c r="A1018">
        <v>314010</v>
      </c>
      <c r="B1018">
        <v>3140100</v>
      </c>
      <c r="C1018" t="s">
        <v>110</v>
      </c>
      <c r="D1018">
        <v>2021</v>
      </c>
      <c r="E1018" s="7">
        <v>13325.5</v>
      </c>
      <c r="F1018" s="8">
        <v>14747.81363928994</v>
      </c>
      <c r="G1018" s="7">
        <v>12570.82</v>
      </c>
      <c r="H1018" s="7">
        <v>13912.582833195831</v>
      </c>
    </row>
    <row r="1019" spans="1:8" x14ac:dyDescent="0.35">
      <c r="A1019">
        <v>314010</v>
      </c>
      <c r="B1019">
        <v>3140100</v>
      </c>
      <c r="C1019" t="s">
        <v>110</v>
      </c>
      <c r="D1019">
        <v>2022</v>
      </c>
      <c r="E1019" s="7">
        <v>14433.54</v>
      </c>
      <c r="F1019" s="8">
        <v>15100.541307859487</v>
      </c>
      <c r="G1019" s="7">
        <v>16411.28</v>
      </c>
      <c r="H1019" s="7">
        <v>17169.674484013045</v>
      </c>
    </row>
    <row r="1020" spans="1:8" x14ac:dyDescent="0.35">
      <c r="A1020">
        <v>314010</v>
      </c>
      <c r="B1020">
        <v>3140100</v>
      </c>
      <c r="C1020" t="s">
        <v>110</v>
      </c>
      <c r="D1020">
        <v>2023</v>
      </c>
      <c r="E1020" s="7">
        <v>16788.650000000001</v>
      </c>
      <c r="F1020" s="8">
        <v>16788.650000000001</v>
      </c>
      <c r="G1020" s="7">
        <v>29754.720000000001</v>
      </c>
      <c r="H1020" s="7">
        <v>29754.715188667211</v>
      </c>
    </row>
    <row r="1021" spans="1:8" x14ac:dyDescent="0.35">
      <c r="A1021">
        <v>314010</v>
      </c>
      <c r="B1021">
        <v>3140100</v>
      </c>
      <c r="C1021" t="s">
        <v>110</v>
      </c>
      <c r="D1021">
        <v>2024</v>
      </c>
      <c r="E1021" s="7">
        <v>17704.79</v>
      </c>
      <c r="F1021" s="8">
        <v>16888.856131723122</v>
      </c>
      <c r="G1021" s="7">
        <v>28709.29</v>
      </c>
      <c r="H1021" s="7">
        <v>27386.21080928413</v>
      </c>
    </row>
    <row r="1022" spans="1:8" x14ac:dyDescent="0.35">
      <c r="A1022">
        <v>314060</v>
      </c>
      <c r="B1022">
        <v>3140605</v>
      </c>
      <c r="C1022" t="s">
        <v>111</v>
      </c>
      <c r="D1022">
        <v>2015</v>
      </c>
      <c r="E1022" s="7">
        <v>6029.27</v>
      </c>
      <c r="F1022" s="8">
        <v>9088.8779220238721</v>
      </c>
      <c r="G1022" s="7">
        <v>6937.65</v>
      </c>
      <c r="H1022" s="7">
        <v>10458.219130286181</v>
      </c>
    </row>
    <row r="1023" spans="1:8" x14ac:dyDescent="0.35">
      <c r="A1023">
        <v>314060</v>
      </c>
      <c r="B1023">
        <v>3140605</v>
      </c>
      <c r="C1023" t="s">
        <v>111</v>
      </c>
      <c r="D1023">
        <v>2016</v>
      </c>
      <c r="E1023" s="7">
        <v>5661.09</v>
      </c>
      <c r="F1023" s="8">
        <v>8028.9991130724302</v>
      </c>
      <c r="G1023" s="7">
        <v>8142.4</v>
      </c>
      <c r="H1023" s="7">
        <v>11548.191547031101</v>
      </c>
    </row>
    <row r="1024" spans="1:8" x14ac:dyDescent="0.35">
      <c r="A1024">
        <v>314060</v>
      </c>
      <c r="B1024">
        <v>3140605</v>
      </c>
      <c r="C1024" t="s">
        <v>111</v>
      </c>
      <c r="D1024">
        <v>2017</v>
      </c>
      <c r="E1024" s="7">
        <v>8168.44</v>
      </c>
      <c r="F1024" s="8">
        <v>11253.432266061352</v>
      </c>
      <c r="G1024" s="7">
        <v>9078.33</v>
      </c>
      <c r="H1024" s="7">
        <v>12506.959351889189</v>
      </c>
    </row>
    <row r="1025" spans="1:8" x14ac:dyDescent="0.35">
      <c r="A1025">
        <v>314060</v>
      </c>
      <c r="B1025">
        <v>3140605</v>
      </c>
      <c r="C1025" t="s">
        <v>111</v>
      </c>
      <c r="D1025">
        <v>2018</v>
      </c>
      <c r="E1025" s="7">
        <v>5297.78</v>
      </c>
      <c r="F1025" s="8">
        <v>7035.0986138128583</v>
      </c>
      <c r="G1025" s="7">
        <v>6724.11</v>
      </c>
      <c r="H1025" s="7">
        <v>8929.1692661007255</v>
      </c>
    </row>
    <row r="1026" spans="1:8" x14ac:dyDescent="0.35">
      <c r="A1026">
        <v>314060</v>
      </c>
      <c r="B1026">
        <v>3140605</v>
      </c>
      <c r="C1026" t="s">
        <v>111</v>
      </c>
      <c r="D1026">
        <v>2019</v>
      </c>
      <c r="E1026" s="7">
        <v>6315.39</v>
      </c>
      <c r="F1026" s="8">
        <v>8040.1939054179793</v>
      </c>
      <c r="G1026" s="7">
        <v>7956.54</v>
      </c>
      <c r="H1026" s="7">
        <v>10129.562182315805</v>
      </c>
    </row>
    <row r="1027" spans="1:8" x14ac:dyDescent="0.35">
      <c r="A1027">
        <v>314060</v>
      </c>
      <c r="B1027">
        <v>3140605</v>
      </c>
      <c r="C1027" t="s">
        <v>111</v>
      </c>
      <c r="D1027">
        <v>2020</v>
      </c>
      <c r="E1027" s="7">
        <v>8628.7199999999993</v>
      </c>
      <c r="F1027" s="8">
        <v>10510.512430227727</v>
      </c>
      <c r="G1027" s="7">
        <v>9705.07</v>
      </c>
      <c r="H1027" s="7">
        <v>11821.602589326776</v>
      </c>
    </row>
    <row r="1028" spans="1:8" x14ac:dyDescent="0.35">
      <c r="A1028">
        <v>314060</v>
      </c>
      <c r="B1028">
        <v>3140605</v>
      </c>
      <c r="C1028" t="s">
        <v>111</v>
      </c>
      <c r="D1028">
        <v>2021</v>
      </c>
      <c r="E1028" s="7">
        <v>9867.8799999999992</v>
      </c>
      <c r="F1028" s="8">
        <v>10921.140314050235</v>
      </c>
      <c r="G1028" s="7">
        <v>8989.27</v>
      </c>
      <c r="H1028" s="7">
        <v>9948.7546228347965</v>
      </c>
    </row>
    <row r="1029" spans="1:8" x14ac:dyDescent="0.35">
      <c r="A1029">
        <v>314060</v>
      </c>
      <c r="B1029">
        <v>3140605</v>
      </c>
      <c r="C1029" t="s">
        <v>111</v>
      </c>
      <c r="D1029">
        <v>2022</v>
      </c>
      <c r="E1029" s="7">
        <v>10009.879999999999</v>
      </c>
      <c r="F1029" s="8">
        <v>10472.455574080683</v>
      </c>
      <c r="G1029" s="7">
        <v>12463.96</v>
      </c>
      <c r="H1029" s="7">
        <v>13039.942535983282</v>
      </c>
    </row>
    <row r="1030" spans="1:8" x14ac:dyDescent="0.35">
      <c r="A1030">
        <v>314060</v>
      </c>
      <c r="B1030">
        <v>3140605</v>
      </c>
      <c r="C1030" t="s">
        <v>111</v>
      </c>
      <c r="D1030">
        <v>2023</v>
      </c>
      <c r="E1030" s="7">
        <v>14270.22</v>
      </c>
      <c r="F1030" s="8">
        <v>14270.22</v>
      </c>
      <c r="G1030" s="7">
        <v>18865.21</v>
      </c>
      <c r="H1030" s="7">
        <v>18865.209093910453</v>
      </c>
    </row>
    <row r="1031" spans="1:8" x14ac:dyDescent="0.35">
      <c r="A1031">
        <v>314060</v>
      </c>
      <c r="B1031">
        <v>3140605</v>
      </c>
      <c r="C1031" t="s">
        <v>111</v>
      </c>
      <c r="D1031">
        <v>2024</v>
      </c>
      <c r="E1031" s="7">
        <v>16152.99</v>
      </c>
      <c r="F1031" s="8">
        <v>15408.571590352793</v>
      </c>
      <c r="G1031" s="7">
        <v>18845.43</v>
      </c>
      <c r="H1031" s="7">
        <v>17976.931060917988</v>
      </c>
    </row>
    <row r="1032" spans="1:8" x14ac:dyDescent="0.35">
      <c r="A1032">
        <v>314085</v>
      </c>
      <c r="B1032">
        <v>3140852</v>
      </c>
      <c r="C1032" t="s">
        <v>113</v>
      </c>
      <c r="D1032">
        <v>2015</v>
      </c>
      <c r="E1032" s="7">
        <v>5489.14</v>
      </c>
      <c r="F1032" s="8">
        <v>8274.6540388634312</v>
      </c>
      <c r="G1032" s="7">
        <v>5683.39</v>
      </c>
      <c r="H1032" s="7">
        <v>8567.4717396806682</v>
      </c>
    </row>
    <row r="1033" spans="1:8" x14ac:dyDescent="0.35">
      <c r="A1033">
        <v>314085</v>
      </c>
      <c r="B1033">
        <v>3140852</v>
      </c>
      <c r="C1033" t="s">
        <v>113</v>
      </c>
      <c r="D1033">
        <v>2016</v>
      </c>
      <c r="E1033" s="7">
        <v>5769.75</v>
      </c>
      <c r="F1033" s="8">
        <v>8183.1091949871234</v>
      </c>
      <c r="G1033" s="7">
        <v>6940.39</v>
      </c>
      <c r="H1033" s="7">
        <v>9843.4050297674548</v>
      </c>
    </row>
    <row r="1034" spans="1:8" x14ac:dyDescent="0.35">
      <c r="A1034">
        <v>314085</v>
      </c>
      <c r="B1034">
        <v>3140852</v>
      </c>
      <c r="C1034" t="s">
        <v>113</v>
      </c>
      <c r="D1034">
        <v>2017</v>
      </c>
      <c r="E1034" s="7">
        <v>6408.16</v>
      </c>
      <c r="F1034" s="8">
        <v>8828.343540514923</v>
      </c>
      <c r="G1034" s="7">
        <v>7895.55</v>
      </c>
      <c r="H1034" s="7">
        <v>10877.480042419109</v>
      </c>
    </row>
    <row r="1035" spans="1:8" x14ac:dyDescent="0.35">
      <c r="A1035">
        <v>314085</v>
      </c>
      <c r="B1035">
        <v>3140852</v>
      </c>
      <c r="C1035" t="s">
        <v>113</v>
      </c>
      <c r="D1035">
        <v>2018</v>
      </c>
      <c r="E1035" s="7">
        <v>6542.02</v>
      </c>
      <c r="F1035" s="8">
        <v>8687.3663748845738</v>
      </c>
      <c r="G1035" s="7">
        <v>7537.39</v>
      </c>
      <c r="H1035" s="7">
        <v>10009.157214271034</v>
      </c>
    </row>
    <row r="1036" spans="1:8" x14ac:dyDescent="0.35">
      <c r="A1036">
        <v>314085</v>
      </c>
      <c r="B1036">
        <v>3140852</v>
      </c>
      <c r="C1036" t="s">
        <v>113</v>
      </c>
      <c r="D1036">
        <v>2019</v>
      </c>
      <c r="E1036" s="7">
        <v>7333.07</v>
      </c>
      <c r="F1036" s="8">
        <v>9335.813737869461</v>
      </c>
      <c r="G1036" s="7">
        <v>9301.1</v>
      </c>
      <c r="H1036" s="7">
        <v>11841.338739138417</v>
      </c>
    </row>
    <row r="1037" spans="1:8" x14ac:dyDescent="0.35">
      <c r="A1037">
        <v>314085</v>
      </c>
      <c r="B1037">
        <v>3140852</v>
      </c>
      <c r="C1037" t="s">
        <v>113</v>
      </c>
      <c r="D1037">
        <v>2020</v>
      </c>
      <c r="E1037" s="7">
        <v>7063.61</v>
      </c>
      <c r="F1037" s="8">
        <v>8604.0757733801638</v>
      </c>
      <c r="G1037" s="7">
        <v>7827.54</v>
      </c>
      <c r="H1037" s="7">
        <v>9534.6014080104487</v>
      </c>
    </row>
    <row r="1038" spans="1:8" x14ac:dyDescent="0.35">
      <c r="A1038">
        <v>314085</v>
      </c>
      <c r="B1038">
        <v>3140852</v>
      </c>
      <c r="C1038" t="s">
        <v>113</v>
      </c>
      <c r="D1038">
        <v>2021</v>
      </c>
      <c r="E1038" s="7">
        <v>8902.15</v>
      </c>
      <c r="F1038" s="8">
        <v>9852.3319341867045</v>
      </c>
      <c r="G1038" s="7">
        <v>9825.77</v>
      </c>
      <c r="H1038" s="7">
        <v>10874.53483544777</v>
      </c>
    </row>
    <row r="1039" spans="1:8" x14ac:dyDescent="0.35">
      <c r="A1039">
        <v>314085</v>
      </c>
      <c r="B1039">
        <v>3140852</v>
      </c>
      <c r="C1039" t="s">
        <v>113</v>
      </c>
      <c r="D1039">
        <v>2022</v>
      </c>
      <c r="E1039" s="7">
        <v>10061.19</v>
      </c>
      <c r="F1039" s="8">
        <v>10526.136706672291</v>
      </c>
      <c r="G1039" s="7">
        <v>11057.56</v>
      </c>
      <c r="H1039" s="7">
        <v>11568.55117114448</v>
      </c>
    </row>
    <row r="1040" spans="1:8" x14ac:dyDescent="0.35">
      <c r="A1040">
        <v>314085</v>
      </c>
      <c r="B1040">
        <v>3140852</v>
      </c>
      <c r="C1040" t="s">
        <v>113</v>
      </c>
      <c r="D1040">
        <v>2023</v>
      </c>
      <c r="E1040" s="7">
        <v>10177.469999999999</v>
      </c>
      <c r="F1040" s="8">
        <v>10177.469999999999</v>
      </c>
      <c r="G1040" s="7">
        <v>13921.26</v>
      </c>
      <c r="H1040" s="7">
        <v>13921.261224025438</v>
      </c>
    </row>
    <row r="1041" spans="1:8" x14ac:dyDescent="0.35">
      <c r="A1041">
        <v>314085</v>
      </c>
      <c r="B1041">
        <v>3140852</v>
      </c>
      <c r="C1041" t="s">
        <v>113</v>
      </c>
      <c r="D1041">
        <v>2024</v>
      </c>
      <c r="E1041" s="7">
        <v>14052.27</v>
      </c>
      <c r="F1041" s="8">
        <v>13404.664294472221</v>
      </c>
      <c r="G1041" s="7">
        <v>17205.009999999998</v>
      </c>
      <c r="H1041" s="7">
        <v>16412.110670561393</v>
      </c>
    </row>
    <row r="1042" spans="1:8" x14ac:dyDescent="0.35">
      <c r="A1042">
        <v>314100</v>
      </c>
      <c r="B1042">
        <v>3141009</v>
      </c>
      <c r="C1042" t="s">
        <v>114</v>
      </c>
      <c r="D1042">
        <v>2015</v>
      </c>
      <c r="E1042" s="7">
        <v>6220.42</v>
      </c>
      <c r="F1042" s="8">
        <v>9377.0287288039399</v>
      </c>
      <c r="G1042" s="7">
        <v>5519.28</v>
      </c>
      <c r="H1042" s="7">
        <v>8320.0941861697265</v>
      </c>
    </row>
    <row r="1043" spans="1:8" x14ac:dyDescent="0.35">
      <c r="A1043">
        <v>314100</v>
      </c>
      <c r="B1043">
        <v>3141009</v>
      </c>
      <c r="C1043" t="s">
        <v>114</v>
      </c>
      <c r="D1043">
        <v>2016</v>
      </c>
      <c r="E1043" s="7">
        <v>6591.32</v>
      </c>
      <c r="F1043" s="8">
        <v>9348.3238093682612</v>
      </c>
      <c r="G1043" s="7">
        <v>8105.36</v>
      </c>
      <c r="H1043" s="7">
        <v>11495.646645878383</v>
      </c>
    </row>
    <row r="1044" spans="1:8" x14ac:dyDescent="0.35">
      <c r="A1044">
        <v>314100</v>
      </c>
      <c r="B1044">
        <v>3141009</v>
      </c>
      <c r="C1044" t="s">
        <v>114</v>
      </c>
      <c r="D1044">
        <v>2017</v>
      </c>
      <c r="E1044" s="7">
        <v>6880.07</v>
      </c>
      <c r="F1044" s="8">
        <v>9478.4808030371441</v>
      </c>
      <c r="G1044" s="7">
        <v>9141.76</v>
      </c>
      <c r="H1044" s="7">
        <v>12594.345842614497</v>
      </c>
    </row>
    <row r="1045" spans="1:8" x14ac:dyDescent="0.35">
      <c r="A1045">
        <v>314100</v>
      </c>
      <c r="B1045">
        <v>3141009</v>
      </c>
      <c r="C1045" t="s">
        <v>114</v>
      </c>
      <c r="D1045">
        <v>2018</v>
      </c>
      <c r="E1045" s="7">
        <v>7378.44</v>
      </c>
      <c r="F1045" s="8">
        <v>9798.07636710119</v>
      </c>
      <c r="G1045" s="7">
        <v>6669.81</v>
      </c>
      <c r="H1045" s="7">
        <v>8857.0652530928237</v>
      </c>
    </row>
    <row r="1046" spans="1:8" x14ac:dyDescent="0.35">
      <c r="A1046">
        <v>314100</v>
      </c>
      <c r="B1046">
        <v>3141009</v>
      </c>
      <c r="C1046" t="s">
        <v>114</v>
      </c>
      <c r="D1046">
        <v>2019</v>
      </c>
      <c r="E1046" s="7">
        <v>7927.84</v>
      </c>
      <c r="F1046" s="8">
        <v>10093.02210174334</v>
      </c>
      <c r="G1046" s="7">
        <v>8667.8700000000008</v>
      </c>
      <c r="H1046" s="7">
        <v>11035.158777172795</v>
      </c>
    </row>
    <row r="1047" spans="1:8" x14ac:dyDescent="0.35">
      <c r="A1047">
        <v>314100</v>
      </c>
      <c r="B1047">
        <v>3141009</v>
      </c>
      <c r="C1047" t="s">
        <v>114</v>
      </c>
      <c r="D1047">
        <v>2020</v>
      </c>
      <c r="E1047" s="7">
        <v>7328.61</v>
      </c>
      <c r="F1047" s="8">
        <v>8926.8682378488611</v>
      </c>
      <c r="G1047" s="7">
        <v>7968.77</v>
      </c>
      <c r="H1047" s="7">
        <v>9706.640228345881</v>
      </c>
    </row>
    <row r="1048" spans="1:8" x14ac:dyDescent="0.35">
      <c r="A1048">
        <v>314100</v>
      </c>
      <c r="B1048">
        <v>3141009</v>
      </c>
      <c r="C1048" t="s">
        <v>114</v>
      </c>
      <c r="D1048">
        <v>2021</v>
      </c>
      <c r="E1048" s="7">
        <v>8746.17</v>
      </c>
      <c r="F1048" s="8">
        <v>9679.7032169560989</v>
      </c>
      <c r="G1048" s="7">
        <v>7947.79</v>
      </c>
      <c r="H1048" s="7">
        <v>8796.1056596069193</v>
      </c>
    </row>
    <row r="1049" spans="1:8" x14ac:dyDescent="0.35">
      <c r="A1049">
        <v>314100</v>
      </c>
      <c r="B1049">
        <v>3141009</v>
      </c>
      <c r="C1049" t="s">
        <v>114</v>
      </c>
      <c r="D1049">
        <v>2022</v>
      </c>
      <c r="E1049" s="7">
        <v>18528.91</v>
      </c>
      <c r="F1049" s="8">
        <v>19385.166136970605</v>
      </c>
      <c r="G1049" s="7">
        <v>25509.599999999999</v>
      </c>
      <c r="H1049" s="7">
        <v>26688.443967102397</v>
      </c>
    </row>
    <row r="1050" spans="1:8" x14ac:dyDescent="0.35">
      <c r="A1050">
        <v>314100</v>
      </c>
      <c r="B1050">
        <v>3141009</v>
      </c>
      <c r="C1050" t="s">
        <v>114</v>
      </c>
      <c r="D1050">
        <v>2023</v>
      </c>
      <c r="E1050" s="7">
        <v>16968.04</v>
      </c>
      <c r="F1050" s="8">
        <v>16968.04</v>
      </c>
      <c r="G1050" s="7">
        <v>21684.6</v>
      </c>
      <c r="H1050" s="7">
        <v>21684.601398344905</v>
      </c>
    </row>
    <row r="1051" spans="1:8" x14ac:dyDescent="0.35">
      <c r="A1051">
        <v>314100</v>
      </c>
      <c r="B1051">
        <v>3141009</v>
      </c>
      <c r="C1051" t="s">
        <v>114</v>
      </c>
      <c r="D1051">
        <v>2024</v>
      </c>
      <c r="E1051" s="7">
        <v>18878.59</v>
      </c>
      <c r="F1051" s="8">
        <v>18008.560987155834</v>
      </c>
      <c r="G1051" s="7">
        <v>22444.09</v>
      </c>
      <c r="H1051" s="7">
        <v>21409.740897489366</v>
      </c>
    </row>
    <row r="1052" spans="1:8" x14ac:dyDescent="0.35">
      <c r="A1052">
        <v>314140</v>
      </c>
      <c r="B1052">
        <v>3141405</v>
      </c>
      <c r="C1052" t="s">
        <v>115</v>
      </c>
      <c r="D1052">
        <v>2015</v>
      </c>
      <c r="E1052" s="7">
        <v>6160.18</v>
      </c>
      <c r="F1052" s="8">
        <v>9286.2193926782202</v>
      </c>
      <c r="G1052" s="7">
        <v>7134.15</v>
      </c>
      <c r="H1052" s="7">
        <v>10754.439822163573</v>
      </c>
    </row>
    <row r="1053" spans="1:8" x14ac:dyDescent="0.35">
      <c r="A1053">
        <v>314140</v>
      </c>
      <c r="B1053">
        <v>3141405</v>
      </c>
      <c r="C1053" t="s">
        <v>115</v>
      </c>
      <c r="D1053">
        <v>2016</v>
      </c>
      <c r="E1053" s="7">
        <v>6641.5</v>
      </c>
      <c r="F1053" s="8">
        <v>9419.4929968381603</v>
      </c>
      <c r="G1053" s="7">
        <v>8453.84</v>
      </c>
      <c r="H1053" s="7">
        <v>11989.899850157588</v>
      </c>
    </row>
    <row r="1054" spans="1:8" x14ac:dyDescent="0.35">
      <c r="A1054">
        <v>314140</v>
      </c>
      <c r="B1054">
        <v>3141405</v>
      </c>
      <c r="C1054" t="s">
        <v>115</v>
      </c>
      <c r="D1054">
        <v>2017</v>
      </c>
      <c r="E1054" s="7">
        <v>6803.4</v>
      </c>
      <c r="F1054" s="8">
        <v>9372.8546795865313</v>
      </c>
      <c r="G1054" s="7">
        <v>8113.53</v>
      </c>
      <c r="H1054" s="7">
        <v>11177.778732778224</v>
      </c>
    </row>
    <row r="1055" spans="1:8" x14ac:dyDescent="0.35">
      <c r="A1055">
        <v>314140</v>
      </c>
      <c r="B1055">
        <v>3141405</v>
      </c>
      <c r="C1055" t="s">
        <v>115</v>
      </c>
      <c r="D1055">
        <v>2018</v>
      </c>
      <c r="E1055" s="7">
        <v>6063.81</v>
      </c>
      <c r="F1055" s="8">
        <v>8052.3353792389553</v>
      </c>
      <c r="G1055" s="7">
        <v>7799.68</v>
      </c>
      <c r="H1055" s="7">
        <v>10357.456627856791</v>
      </c>
    </row>
    <row r="1056" spans="1:8" x14ac:dyDescent="0.35">
      <c r="A1056">
        <v>314140</v>
      </c>
      <c r="B1056">
        <v>3141405</v>
      </c>
      <c r="C1056" t="s">
        <v>115</v>
      </c>
      <c r="D1056">
        <v>2019</v>
      </c>
      <c r="E1056" s="7">
        <v>6524.98</v>
      </c>
      <c r="F1056" s="8">
        <v>8307.025287270335</v>
      </c>
      <c r="G1056" s="7">
        <v>9489.6</v>
      </c>
      <c r="H1056" s="7">
        <v>12081.313485124483</v>
      </c>
    </row>
    <row r="1057" spans="1:8" x14ac:dyDescent="0.35">
      <c r="A1057">
        <v>314140</v>
      </c>
      <c r="B1057">
        <v>3141405</v>
      </c>
      <c r="C1057" t="s">
        <v>115</v>
      </c>
      <c r="D1057">
        <v>2020</v>
      </c>
      <c r="E1057" s="7">
        <v>7292.93</v>
      </c>
      <c r="F1057" s="8">
        <v>8883.4069731988875</v>
      </c>
      <c r="G1057" s="7">
        <v>8166.48</v>
      </c>
      <c r="H1057" s="7">
        <v>9947.4594007122378</v>
      </c>
    </row>
    <row r="1058" spans="1:8" x14ac:dyDescent="0.35">
      <c r="A1058">
        <v>314140</v>
      </c>
      <c r="B1058">
        <v>3141405</v>
      </c>
      <c r="C1058" t="s">
        <v>115</v>
      </c>
      <c r="D1058">
        <v>2021</v>
      </c>
      <c r="E1058" s="7">
        <v>9332.19</v>
      </c>
      <c r="F1058" s="8">
        <v>10328.272782743252</v>
      </c>
      <c r="G1058" s="7">
        <v>9851</v>
      </c>
      <c r="H1058" s="7">
        <v>10902.453188989215</v>
      </c>
    </row>
    <row r="1059" spans="1:8" x14ac:dyDescent="0.35">
      <c r="A1059">
        <v>314140</v>
      </c>
      <c r="B1059">
        <v>3141405</v>
      </c>
      <c r="C1059" t="s">
        <v>115</v>
      </c>
      <c r="D1059">
        <v>2022</v>
      </c>
      <c r="E1059" s="7">
        <v>11033.22</v>
      </c>
      <c r="F1059" s="8">
        <v>11543.086059878686</v>
      </c>
      <c r="G1059" s="7">
        <v>12233.03</v>
      </c>
      <c r="H1059" s="7">
        <v>12798.336681628491</v>
      </c>
    </row>
    <row r="1060" spans="1:8" x14ac:dyDescent="0.35">
      <c r="A1060">
        <v>314140</v>
      </c>
      <c r="B1060">
        <v>3141405</v>
      </c>
      <c r="C1060" t="s">
        <v>115</v>
      </c>
      <c r="D1060">
        <v>2023</v>
      </c>
      <c r="E1060" s="7">
        <v>11174.67</v>
      </c>
      <c r="F1060" s="8">
        <v>11174.67</v>
      </c>
      <c r="G1060" s="7">
        <v>14206.93</v>
      </c>
      <c r="H1060" s="7">
        <v>14206.928835323064</v>
      </c>
    </row>
    <row r="1061" spans="1:8" x14ac:dyDescent="0.35">
      <c r="A1061">
        <v>314140</v>
      </c>
      <c r="B1061">
        <v>3141405</v>
      </c>
      <c r="C1061" t="s">
        <v>115</v>
      </c>
      <c r="D1061">
        <v>2024</v>
      </c>
      <c r="E1061" s="7">
        <v>13340.25</v>
      </c>
      <c r="F1061" s="8">
        <v>12725.458082881489</v>
      </c>
      <c r="G1061" s="7">
        <v>16531.900000000001</v>
      </c>
      <c r="H1061" s="7">
        <v>15770.023016274698</v>
      </c>
    </row>
    <row r="1062" spans="1:8" x14ac:dyDescent="0.35">
      <c r="A1062">
        <v>314150</v>
      </c>
      <c r="B1062">
        <v>3141504</v>
      </c>
      <c r="C1062" t="s">
        <v>116</v>
      </c>
      <c r="D1062">
        <v>2015</v>
      </c>
      <c r="E1062" s="7">
        <v>5837.8</v>
      </c>
      <c r="F1062" s="8">
        <v>8800.2447283321126</v>
      </c>
      <c r="G1062" s="7">
        <v>5518.67</v>
      </c>
      <c r="H1062" s="7">
        <v>8319.1747567574275</v>
      </c>
    </row>
    <row r="1063" spans="1:8" x14ac:dyDescent="0.35">
      <c r="A1063">
        <v>314150</v>
      </c>
      <c r="B1063">
        <v>3141504</v>
      </c>
      <c r="C1063" t="s">
        <v>116</v>
      </c>
      <c r="D1063">
        <v>2016</v>
      </c>
      <c r="E1063" s="7">
        <v>6021.17</v>
      </c>
      <c r="F1063" s="8">
        <v>8539.6926368699878</v>
      </c>
      <c r="G1063" s="7">
        <v>7284</v>
      </c>
      <c r="H1063" s="7">
        <v>10330.74051405615</v>
      </c>
    </row>
    <row r="1064" spans="1:8" x14ac:dyDescent="0.35">
      <c r="A1064">
        <v>314150</v>
      </c>
      <c r="B1064">
        <v>3141504</v>
      </c>
      <c r="C1064" t="s">
        <v>116</v>
      </c>
      <c r="D1064">
        <v>2017</v>
      </c>
      <c r="E1064" s="7">
        <v>6034.88</v>
      </c>
      <c r="F1064" s="8">
        <v>8314.086081774285</v>
      </c>
      <c r="G1064" s="7">
        <v>7210.95</v>
      </c>
      <c r="H1064" s="7">
        <v>9934.3308559932484</v>
      </c>
    </row>
    <row r="1065" spans="1:8" x14ac:dyDescent="0.35">
      <c r="A1065">
        <v>314150</v>
      </c>
      <c r="B1065">
        <v>3141504</v>
      </c>
      <c r="C1065" t="s">
        <v>116</v>
      </c>
      <c r="D1065">
        <v>2018</v>
      </c>
      <c r="E1065" s="7">
        <v>6784.14</v>
      </c>
      <c r="F1065" s="8">
        <v>9008.885591684133</v>
      </c>
      <c r="G1065" s="7">
        <v>7605.2</v>
      </c>
      <c r="H1065" s="7">
        <v>10099.196943152341</v>
      </c>
    </row>
    <row r="1066" spans="1:8" x14ac:dyDescent="0.35">
      <c r="A1066">
        <v>314150</v>
      </c>
      <c r="B1066">
        <v>3141504</v>
      </c>
      <c r="C1066" t="s">
        <v>116</v>
      </c>
      <c r="D1066">
        <v>2019</v>
      </c>
      <c r="E1066" s="7">
        <v>7631.73</v>
      </c>
      <c r="F1066" s="8">
        <v>9716.0411366195185</v>
      </c>
      <c r="G1066" s="7">
        <v>8633.7800000000007</v>
      </c>
      <c r="H1066" s="7">
        <v>10991.763783288689</v>
      </c>
    </row>
    <row r="1067" spans="1:8" x14ac:dyDescent="0.35">
      <c r="A1067">
        <v>314150</v>
      </c>
      <c r="B1067">
        <v>3141504</v>
      </c>
      <c r="C1067" t="s">
        <v>116</v>
      </c>
      <c r="D1067">
        <v>2020</v>
      </c>
      <c r="E1067" s="7">
        <v>8401.7000000000007</v>
      </c>
      <c r="F1067" s="8">
        <v>10233.982825383639</v>
      </c>
      <c r="G1067" s="7">
        <v>9185.77</v>
      </c>
      <c r="H1067" s="7">
        <v>11189.051836588993</v>
      </c>
    </row>
    <row r="1068" spans="1:8" x14ac:dyDescent="0.35">
      <c r="A1068">
        <v>314150</v>
      </c>
      <c r="B1068">
        <v>3141504</v>
      </c>
      <c r="C1068" t="s">
        <v>116</v>
      </c>
      <c r="D1068">
        <v>2021</v>
      </c>
      <c r="E1068" s="7">
        <v>11650.51</v>
      </c>
      <c r="F1068" s="8">
        <v>12894.041520594637</v>
      </c>
      <c r="G1068" s="7">
        <v>11335.12</v>
      </c>
      <c r="H1068" s="7">
        <v>12544.986337240143</v>
      </c>
    </row>
    <row r="1069" spans="1:8" x14ac:dyDescent="0.35">
      <c r="A1069">
        <v>314150</v>
      </c>
      <c r="B1069">
        <v>3141504</v>
      </c>
      <c r="C1069" t="s">
        <v>116</v>
      </c>
      <c r="D1069">
        <v>2022</v>
      </c>
      <c r="E1069" s="7">
        <v>14405.85</v>
      </c>
      <c r="F1069" s="8">
        <v>15071.571700347078</v>
      </c>
      <c r="G1069" s="7">
        <v>17553.09</v>
      </c>
      <c r="H1069" s="7">
        <v>18364.249383270846</v>
      </c>
    </row>
    <row r="1070" spans="1:8" x14ac:dyDescent="0.35">
      <c r="A1070">
        <v>314150</v>
      </c>
      <c r="B1070">
        <v>3141504</v>
      </c>
      <c r="C1070" t="s">
        <v>116</v>
      </c>
      <c r="D1070">
        <v>2023</v>
      </c>
      <c r="E1070" s="7">
        <v>15944.73</v>
      </c>
      <c r="F1070" s="8">
        <v>15944.73</v>
      </c>
      <c r="G1070" s="7">
        <v>18211.810000000001</v>
      </c>
      <c r="H1070" s="7">
        <v>18211.811749627839</v>
      </c>
    </row>
    <row r="1071" spans="1:8" x14ac:dyDescent="0.35">
      <c r="A1071">
        <v>314150</v>
      </c>
      <c r="B1071">
        <v>3141504</v>
      </c>
      <c r="C1071" t="s">
        <v>116</v>
      </c>
      <c r="D1071">
        <v>2024</v>
      </c>
      <c r="E1071" s="7">
        <v>19554.41</v>
      </c>
      <c r="F1071" s="8">
        <v>18653.235493373708</v>
      </c>
      <c r="G1071" s="7">
        <v>20654.47</v>
      </c>
      <c r="H1071" s="7">
        <v>19702.600909692501</v>
      </c>
    </row>
    <row r="1072" spans="1:8" x14ac:dyDescent="0.35">
      <c r="A1072">
        <v>314180</v>
      </c>
      <c r="B1072">
        <v>3141801</v>
      </c>
      <c r="C1072" t="s">
        <v>117</v>
      </c>
      <c r="D1072">
        <v>2015</v>
      </c>
      <c r="E1072" s="7">
        <v>7648.06</v>
      </c>
      <c r="F1072" s="8">
        <v>11529.137636946743</v>
      </c>
      <c r="G1072" s="7">
        <v>8193.64</v>
      </c>
      <c r="H1072" s="7">
        <v>12351.574792542877</v>
      </c>
    </row>
    <row r="1073" spans="1:8" x14ac:dyDescent="0.35">
      <c r="A1073">
        <v>314180</v>
      </c>
      <c r="B1073">
        <v>3141801</v>
      </c>
      <c r="C1073" t="s">
        <v>117</v>
      </c>
      <c r="D1073">
        <v>2016</v>
      </c>
      <c r="E1073" s="7">
        <v>6887.71</v>
      </c>
      <c r="F1073" s="8">
        <v>9768.6872106078699</v>
      </c>
      <c r="G1073" s="7">
        <v>9516.5</v>
      </c>
      <c r="H1073" s="7">
        <v>13497.038949103215</v>
      </c>
    </row>
    <row r="1074" spans="1:8" x14ac:dyDescent="0.35">
      <c r="A1074">
        <v>314180</v>
      </c>
      <c r="B1074">
        <v>3141801</v>
      </c>
      <c r="C1074" t="s">
        <v>117</v>
      </c>
      <c r="D1074">
        <v>2017</v>
      </c>
      <c r="E1074" s="7">
        <v>7852.01</v>
      </c>
      <c r="F1074" s="8">
        <v>10817.495468833267</v>
      </c>
      <c r="G1074" s="7">
        <v>11254.37</v>
      </c>
      <c r="H1074" s="7">
        <v>15504.826261657463</v>
      </c>
    </row>
    <row r="1075" spans="1:8" x14ac:dyDescent="0.35">
      <c r="A1075">
        <v>314180</v>
      </c>
      <c r="B1075">
        <v>3141801</v>
      </c>
      <c r="C1075" t="s">
        <v>117</v>
      </c>
      <c r="D1075">
        <v>2018</v>
      </c>
      <c r="E1075" s="7">
        <v>8298.33</v>
      </c>
      <c r="F1075" s="8">
        <v>11019.628954007463</v>
      </c>
      <c r="G1075" s="7">
        <v>12429.78</v>
      </c>
      <c r="H1075" s="7">
        <v>16505.915347704744</v>
      </c>
    </row>
    <row r="1076" spans="1:8" x14ac:dyDescent="0.35">
      <c r="A1076">
        <v>314180</v>
      </c>
      <c r="B1076">
        <v>3141801</v>
      </c>
      <c r="C1076" t="s">
        <v>117</v>
      </c>
      <c r="D1076">
        <v>2019</v>
      </c>
      <c r="E1076" s="7">
        <v>8211.68</v>
      </c>
      <c r="F1076" s="8">
        <v>10454.38199212443</v>
      </c>
      <c r="G1076" s="7">
        <v>12980.4</v>
      </c>
      <c r="H1076" s="7">
        <v>16525.494128800627</v>
      </c>
    </row>
    <row r="1077" spans="1:8" x14ac:dyDescent="0.35">
      <c r="A1077">
        <v>314180</v>
      </c>
      <c r="B1077">
        <v>3141801</v>
      </c>
      <c r="C1077" t="s">
        <v>117</v>
      </c>
      <c r="D1077">
        <v>2020</v>
      </c>
      <c r="E1077" s="7">
        <v>8174.95</v>
      </c>
      <c r="F1077" s="8">
        <v>9957.7821034278732</v>
      </c>
      <c r="G1077" s="7">
        <v>8982.4500000000007</v>
      </c>
      <c r="H1077" s="7">
        <v>10941.381252968105</v>
      </c>
    </row>
    <row r="1078" spans="1:8" x14ac:dyDescent="0.35">
      <c r="A1078">
        <v>314180</v>
      </c>
      <c r="B1078">
        <v>3141801</v>
      </c>
      <c r="C1078" t="s">
        <v>117</v>
      </c>
      <c r="D1078">
        <v>2021</v>
      </c>
      <c r="E1078" s="7">
        <v>8757.06</v>
      </c>
      <c r="F1078" s="8">
        <v>9691.755574506049</v>
      </c>
      <c r="G1078" s="7">
        <v>10618.59</v>
      </c>
      <c r="H1078" s="7">
        <v>11751.975976132049</v>
      </c>
    </row>
    <row r="1079" spans="1:8" x14ac:dyDescent="0.35">
      <c r="A1079">
        <v>314180</v>
      </c>
      <c r="B1079">
        <v>3141801</v>
      </c>
      <c r="C1079" t="s">
        <v>117</v>
      </c>
      <c r="D1079">
        <v>2022</v>
      </c>
      <c r="E1079" s="7">
        <v>11411.96</v>
      </c>
      <c r="F1079" s="8">
        <v>11939.328354903933</v>
      </c>
      <c r="G1079" s="7">
        <v>20070.009999999998</v>
      </c>
      <c r="H1079" s="7">
        <v>20997.482263355156</v>
      </c>
    </row>
    <row r="1080" spans="1:8" x14ac:dyDescent="0.35">
      <c r="A1080">
        <v>314180</v>
      </c>
      <c r="B1080">
        <v>3141801</v>
      </c>
      <c r="C1080" t="s">
        <v>117</v>
      </c>
      <c r="D1080">
        <v>2023</v>
      </c>
      <c r="E1080" s="7">
        <v>15298.89</v>
      </c>
      <c r="F1080" s="8">
        <v>15298.89</v>
      </c>
      <c r="G1080" s="7">
        <v>18483.330000000002</v>
      </c>
      <c r="H1080" s="7">
        <v>18483.32565545438</v>
      </c>
    </row>
    <row r="1081" spans="1:8" x14ac:dyDescent="0.35">
      <c r="A1081">
        <v>314180</v>
      </c>
      <c r="B1081">
        <v>3141801</v>
      </c>
      <c r="C1081" t="s">
        <v>117</v>
      </c>
      <c r="D1081">
        <v>2024</v>
      </c>
      <c r="E1081" s="7">
        <v>12961.05</v>
      </c>
      <c r="F1081" s="8">
        <v>12363.733699528202</v>
      </c>
      <c r="G1081" s="7">
        <v>20776.259999999998</v>
      </c>
      <c r="H1081" s="7">
        <v>19818.773314073533</v>
      </c>
    </row>
    <row r="1082" spans="1:8" x14ac:dyDescent="0.35">
      <c r="A1082">
        <v>314200</v>
      </c>
      <c r="B1082">
        <v>3142007</v>
      </c>
      <c r="C1082" t="s">
        <v>118</v>
      </c>
      <c r="D1082">
        <v>2015</v>
      </c>
      <c r="E1082" s="7">
        <v>5861.06</v>
      </c>
      <c r="F1082" s="8">
        <v>8835.3082269756105</v>
      </c>
      <c r="G1082" s="7">
        <v>6237.8</v>
      </c>
      <c r="H1082" s="7">
        <v>9403.234969798812</v>
      </c>
    </row>
    <row r="1083" spans="1:8" x14ac:dyDescent="0.35">
      <c r="A1083">
        <v>314200</v>
      </c>
      <c r="B1083">
        <v>3142007</v>
      </c>
      <c r="C1083" t="s">
        <v>118</v>
      </c>
      <c r="D1083">
        <v>2016</v>
      </c>
      <c r="E1083" s="7">
        <v>7091.04</v>
      </c>
      <c r="F1083" s="8">
        <v>10057.065665933791</v>
      </c>
      <c r="G1083" s="7">
        <v>7764.64</v>
      </c>
      <c r="H1083" s="7">
        <v>11012.417463143322</v>
      </c>
    </row>
    <row r="1084" spans="1:8" x14ac:dyDescent="0.35">
      <c r="A1084">
        <v>314200</v>
      </c>
      <c r="B1084">
        <v>3142007</v>
      </c>
      <c r="C1084" t="s">
        <v>118</v>
      </c>
      <c r="D1084">
        <v>2017</v>
      </c>
      <c r="E1084" s="7">
        <v>6680.65</v>
      </c>
      <c r="F1084" s="8">
        <v>9203.7454236381454</v>
      </c>
      <c r="G1084" s="7">
        <v>7691.65</v>
      </c>
      <c r="H1084" s="7">
        <v>10596.575675290034</v>
      </c>
    </row>
    <row r="1085" spans="1:8" x14ac:dyDescent="0.35">
      <c r="A1085">
        <v>314200</v>
      </c>
      <c r="B1085">
        <v>3142007</v>
      </c>
      <c r="C1085" t="s">
        <v>118</v>
      </c>
      <c r="D1085">
        <v>2018</v>
      </c>
      <c r="E1085" s="7">
        <v>7055.79</v>
      </c>
      <c r="F1085" s="8">
        <v>9369.6186795893045</v>
      </c>
      <c r="G1085" s="7">
        <v>7845.09</v>
      </c>
      <c r="H1085" s="7">
        <v>10417.759030835383</v>
      </c>
    </row>
    <row r="1086" spans="1:8" x14ac:dyDescent="0.35">
      <c r="A1086">
        <v>314200</v>
      </c>
      <c r="B1086">
        <v>3142007</v>
      </c>
      <c r="C1086" t="s">
        <v>118</v>
      </c>
      <c r="D1086">
        <v>2019</v>
      </c>
      <c r="E1086" s="7">
        <v>6668.3</v>
      </c>
      <c r="F1086" s="8">
        <v>8489.4875881772477</v>
      </c>
      <c r="G1086" s="7">
        <v>8424.9</v>
      </c>
      <c r="H1086" s="7">
        <v>10725.839261232806</v>
      </c>
    </row>
    <row r="1087" spans="1:8" x14ac:dyDescent="0.35">
      <c r="A1087">
        <v>314200</v>
      </c>
      <c r="B1087">
        <v>3142007</v>
      </c>
      <c r="C1087" t="s">
        <v>118</v>
      </c>
      <c r="D1087">
        <v>2020</v>
      </c>
      <c r="E1087" s="7">
        <v>8138.19</v>
      </c>
      <c r="F1087" s="8">
        <v>9913.0053072245937</v>
      </c>
      <c r="G1087" s="7">
        <v>8118.79</v>
      </c>
      <c r="H1087" s="7">
        <v>9889.3791132458409</v>
      </c>
    </row>
    <row r="1088" spans="1:8" x14ac:dyDescent="0.35">
      <c r="A1088">
        <v>314200</v>
      </c>
      <c r="B1088">
        <v>3142007</v>
      </c>
      <c r="C1088" t="s">
        <v>118</v>
      </c>
      <c r="D1088">
        <v>2021</v>
      </c>
      <c r="E1088" s="7">
        <v>10044.129999999999</v>
      </c>
      <c r="F1088" s="8">
        <v>11116.202574672714</v>
      </c>
      <c r="G1088" s="7">
        <v>8505.44</v>
      </c>
      <c r="H1088" s="7">
        <v>9413.2763804719762</v>
      </c>
    </row>
    <row r="1089" spans="1:8" x14ac:dyDescent="0.35">
      <c r="A1089">
        <v>314200</v>
      </c>
      <c r="B1089">
        <v>3142007</v>
      </c>
      <c r="C1089" t="s">
        <v>118</v>
      </c>
      <c r="D1089">
        <v>2022</v>
      </c>
      <c r="E1089" s="7">
        <v>11995.39</v>
      </c>
      <c r="F1089" s="8">
        <v>12549.719763750581</v>
      </c>
      <c r="G1089" s="7">
        <v>14323.23</v>
      </c>
      <c r="H1089" s="7">
        <v>14985.134002257651</v>
      </c>
    </row>
    <row r="1090" spans="1:8" x14ac:dyDescent="0.35">
      <c r="A1090">
        <v>314200</v>
      </c>
      <c r="B1090">
        <v>3142007</v>
      </c>
      <c r="C1090" t="s">
        <v>118</v>
      </c>
      <c r="D1090">
        <v>2023</v>
      </c>
      <c r="E1090" s="7">
        <v>15181.56</v>
      </c>
      <c r="F1090" s="8">
        <v>15181.56</v>
      </c>
      <c r="G1090" s="7">
        <v>16574.400000000001</v>
      </c>
      <c r="H1090" s="7">
        <v>16574.403602668848</v>
      </c>
    </row>
    <row r="1091" spans="1:8" x14ac:dyDescent="0.35">
      <c r="A1091">
        <v>314200</v>
      </c>
      <c r="B1091">
        <v>3142007</v>
      </c>
      <c r="C1091" t="s">
        <v>118</v>
      </c>
      <c r="D1091">
        <v>2024</v>
      </c>
      <c r="E1091" s="7">
        <v>15689.97</v>
      </c>
      <c r="F1091" s="8">
        <v>14966.890092514612</v>
      </c>
      <c r="G1091" s="7">
        <v>17287.77</v>
      </c>
      <c r="H1091" s="7">
        <v>16491.050376139803</v>
      </c>
    </row>
    <row r="1092" spans="1:8" x14ac:dyDescent="0.35">
      <c r="A1092">
        <v>314225</v>
      </c>
      <c r="B1092">
        <v>3142254</v>
      </c>
      <c r="C1092" t="s">
        <v>119</v>
      </c>
      <c r="D1092">
        <v>2015</v>
      </c>
      <c r="E1092" s="7">
        <v>5951.5</v>
      </c>
      <c r="F1092" s="8">
        <v>8971.6428278921121</v>
      </c>
      <c r="G1092" s="7">
        <v>4929.6899999999996</v>
      </c>
      <c r="H1092" s="7">
        <v>7431.3088564266454</v>
      </c>
    </row>
    <row r="1093" spans="1:8" x14ac:dyDescent="0.35">
      <c r="A1093">
        <v>314225</v>
      </c>
      <c r="B1093">
        <v>3142254</v>
      </c>
      <c r="C1093" t="s">
        <v>119</v>
      </c>
      <c r="D1093">
        <v>2016</v>
      </c>
      <c r="E1093" s="7">
        <v>5014.55</v>
      </c>
      <c r="F1093" s="8">
        <v>7112.025688066672</v>
      </c>
      <c r="G1093" s="7">
        <v>6098.39</v>
      </c>
      <c r="H1093" s="7">
        <v>8649.2117857649482</v>
      </c>
    </row>
    <row r="1094" spans="1:8" x14ac:dyDescent="0.35">
      <c r="A1094">
        <v>314225</v>
      </c>
      <c r="B1094">
        <v>3142254</v>
      </c>
      <c r="C1094" t="s">
        <v>119</v>
      </c>
      <c r="D1094">
        <v>2017</v>
      </c>
      <c r="E1094" s="7">
        <v>6152.23</v>
      </c>
      <c r="F1094" s="8">
        <v>8475.7559081330874</v>
      </c>
      <c r="G1094" s="7">
        <v>7071.33</v>
      </c>
      <c r="H1094" s="7">
        <v>9741.9780956197883</v>
      </c>
    </row>
    <row r="1095" spans="1:8" x14ac:dyDescent="0.35">
      <c r="A1095">
        <v>314225</v>
      </c>
      <c r="B1095">
        <v>3142254</v>
      </c>
      <c r="C1095" t="s">
        <v>119</v>
      </c>
      <c r="D1095">
        <v>2018</v>
      </c>
      <c r="E1095" s="7">
        <v>8302.27</v>
      </c>
      <c r="F1095" s="8">
        <v>11024.861011310413</v>
      </c>
      <c r="G1095" s="7">
        <v>8509.02</v>
      </c>
      <c r="H1095" s="7">
        <v>11299.416778939092</v>
      </c>
    </row>
    <row r="1096" spans="1:8" x14ac:dyDescent="0.35">
      <c r="A1096">
        <v>314225</v>
      </c>
      <c r="B1096">
        <v>3142254</v>
      </c>
      <c r="C1096" t="s">
        <v>119</v>
      </c>
      <c r="D1096">
        <v>2019</v>
      </c>
      <c r="E1096" s="7">
        <v>7600.58</v>
      </c>
      <c r="F1096" s="8">
        <v>9676.3837219303605</v>
      </c>
      <c r="G1096" s="7">
        <v>8295.7199999999993</v>
      </c>
      <c r="H1096" s="7">
        <v>10561.368686645514</v>
      </c>
    </row>
    <row r="1097" spans="1:8" x14ac:dyDescent="0.35">
      <c r="A1097">
        <v>314225</v>
      </c>
      <c r="B1097">
        <v>3142254</v>
      </c>
      <c r="C1097" t="s">
        <v>119</v>
      </c>
      <c r="D1097">
        <v>2020</v>
      </c>
      <c r="E1097" s="7">
        <v>8419.7199999999993</v>
      </c>
      <c r="F1097" s="8">
        <v>10255.932712967509</v>
      </c>
      <c r="G1097" s="7">
        <v>8455.92</v>
      </c>
      <c r="H1097" s="7">
        <v>10300.024379181285</v>
      </c>
    </row>
    <row r="1098" spans="1:8" x14ac:dyDescent="0.35">
      <c r="A1098">
        <v>314225</v>
      </c>
      <c r="B1098">
        <v>3142254</v>
      </c>
      <c r="C1098" t="s">
        <v>119</v>
      </c>
      <c r="D1098">
        <v>2021</v>
      </c>
      <c r="E1098" s="7">
        <v>10960.41</v>
      </c>
      <c r="F1098" s="8">
        <v>12130.282847938903</v>
      </c>
      <c r="G1098" s="7">
        <v>10951.6</v>
      </c>
      <c r="H1098" s="7">
        <v>12120.537294275216</v>
      </c>
    </row>
    <row r="1099" spans="1:8" x14ac:dyDescent="0.35">
      <c r="A1099">
        <v>314225</v>
      </c>
      <c r="B1099">
        <v>3142254</v>
      </c>
      <c r="C1099" t="s">
        <v>119</v>
      </c>
      <c r="D1099">
        <v>2022</v>
      </c>
      <c r="E1099" s="7">
        <v>12736</v>
      </c>
      <c r="F1099" s="8">
        <v>13324.55475904722</v>
      </c>
      <c r="G1099" s="7">
        <v>16772.13</v>
      </c>
      <c r="H1099" s="7">
        <v>17547.201485682661</v>
      </c>
    </row>
    <row r="1100" spans="1:8" x14ac:dyDescent="0.35">
      <c r="A1100">
        <v>314225</v>
      </c>
      <c r="B1100">
        <v>3142254</v>
      </c>
      <c r="C1100" t="s">
        <v>119</v>
      </c>
      <c r="D1100">
        <v>2023</v>
      </c>
      <c r="E1100" s="7">
        <v>15679.85</v>
      </c>
      <c r="F1100" s="8">
        <v>15679.85</v>
      </c>
      <c r="G1100" s="7">
        <v>17666.71</v>
      </c>
      <c r="H1100" s="7">
        <v>17666.712658450702</v>
      </c>
    </row>
    <row r="1101" spans="1:8" x14ac:dyDescent="0.35">
      <c r="A1101">
        <v>314225</v>
      </c>
      <c r="B1101">
        <v>3142254</v>
      </c>
      <c r="C1101" t="s">
        <v>119</v>
      </c>
      <c r="D1101">
        <v>2024</v>
      </c>
      <c r="E1101" s="7">
        <v>16226.86</v>
      </c>
      <c r="F1101" s="8">
        <v>15479.037255432717</v>
      </c>
      <c r="G1101" s="7">
        <v>31564.28</v>
      </c>
      <c r="H1101" s="7">
        <v>30109.626215225424</v>
      </c>
    </row>
    <row r="1102" spans="1:8" x14ac:dyDescent="0.35">
      <c r="A1102">
        <v>314250</v>
      </c>
      <c r="B1102">
        <v>3142502</v>
      </c>
      <c r="C1102" t="s">
        <v>120</v>
      </c>
      <c r="D1102">
        <v>2015</v>
      </c>
      <c r="E1102" s="7">
        <v>7257.42</v>
      </c>
      <c r="F1102" s="8">
        <v>10940.263814500675</v>
      </c>
      <c r="G1102" s="7">
        <v>7497.27</v>
      </c>
      <c r="H1102" s="7">
        <v>11301.824386510594</v>
      </c>
    </row>
    <row r="1103" spans="1:8" x14ac:dyDescent="0.35">
      <c r="A1103">
        <v>314250</v>
      </c>
      <c r="B1103">
        <v>3142502</v>
      </c>
      <c r="C1103" t="s">
        <v>120</v>
      </c>
      <c r="D1103">
        <v>2016</v>
      </c>
      <c r="E1103" s="7">
        <v>10144.74</v>
      </c>
      <c r="F1103" s="8">
        <v>14388.061038130536</v>
      </c>
      <c r="G1103" s="7">
        <v>18689.7</v>
      </c>
      <c r="H1103" s="7">
        <v>26507.189628178694</v>
      </c>
    </row>
    <row r="1104" spans="1:8" x14ac:dyDescent="0.35">
      <c r="A1104">
        <v>314250</v>
      </c>
      <c r="B1104">
        <v>3142502</v>
      </c>
      <c r="C1104" t="s">
        <v>120</v>
      </c>
      <c r="D1104">
        <v>2017</v>
      </c>
      <c r="E1104" s="7">
        <v>9980.2999999999993</v>
      </c>
      <c r="F1104" s="8">
        <v>13749.58132090976</v>
      </c>
      <c r="G1104" s="7">
        <v>18213.900000000001</v>
      </c>
      <c r="H1104" s="7">
        <v>25092.789236084958</v>
      </c>
    </row>
    <row r="1105" spans="1:8" x14ac:dyDescent="0.35">
      <c r="A1105">
        <v>314250</v>
      </c>
      <c r="B1105">
        <v>3142502</v>
      </c>
      <c r="C1105" t="s">
        <v>120</v>
      </c>
      <c r="D1105">
        <v>2018</v>
      </c>
      <c r="E1105" s="7">
        <v>13492.9</v>
      </c>
      <c r="F1105" s="8">
        <v>17917.671569282891</v>
      </c>
      <c r="G1105" s="7">
        <v>17854.18</v>
      </c>
      <c r="H1105" s="7">
        <v>23709.157617009409</v>
      </c>
    </row>
    <row r="1106" spans="1:8" x14ac:dyDescent="0.35">
      <c r="A1106">
        <v>314250</v>
      </c>
      <c r="B1106">
        <v>3142502</v>
      </c>
      <c r="C1106" t="s">
        <v>120</v>
      </c>
      <c r="D1106">
        <v>2019</v>
      </c>
      <c r="E1106" s="7">
        <v>11896.89</v>
      </c>
      <c r="F1106" s="8">
        <v>15146.064213204267</v>
      </c>
      <c r="G1106" s="7">
        <v>18064.77</v>
      </c>
      <c r="H1106" s="7">
        <v>22998.466797967129</v>
      </c>
    </row>
    <row r="1107" spans="1:8" x14ac:dyDescent="0.35">
      <c r="A1107">
        <v>314250</v>
      </c>
      <c r="B1107">
        <v>3142502</v>
      </c>
      <c r="C1107" t="s">
        <v>120</v>
      </c>
      <c r="D1107">
        <v>2020</v>
      </c>
      <c r="E1107" s="7">
        <v>10873.7</v>
      </c>
      <c r="F1107" s="8">
        <v>13245.088380729385</v>
      </c>
      <c r="G1107" s="7">
        <v>15415.91</v>
      </c>
      <c r="H1107" s="7">
        <v>18777.890199723657</v>
      </c>
    </row>
    <row r="1108" spans="1:8" x14ac:dyDescent="0.35">
      <c r="A1108">
        <v>314250</v>
      </c>
      <c r="B1108">
        <v>3142502</v>
      </c>
      <c r="C1108" t="s">
        <v>120</v>
      </c>
      <c r="D1108">
        <v>2021</v>
      </c>
      <c r="E1108" s="7">
        <v>16142.46</v>
      </c>
      <c r="F1108" s="8">
        <v>17865.445331108946</v>
      </c>
      <c r="G1108" s="7">
        <v>18457.47</v>
      </c>
      <c r="H1108" s="7">
        <v>20427.551824917202</v>
      </c>
    </row>
    <row r="1109" spans="1:8" x14ac:dyDescent="0.35">
      <c r="A1109">
        <v>314250</v>
      </c>
      <c r="B1109">
        <v>3142502</v>
      </c>
      <c r="C1109" t="s">
        <v>120</v>
      </c>
      <c r="D1109">
        <v>2022</v>
      </c>
      <c r="E1109" s="7">
        <v>18282.62</v>
      </c>
      <c r="F1109" s="8">
        <v>19127.494608107088</v>
      </c>
      <c r="G1109" s="7">
        <v>28202.560000000001</v>
      </c>
      <c r="H1109" s="7">
        <v>29505.84966926077</v>
      </c>
    </row>
    <row r="1110" spans="1:8" x14ac:dyDescent="0.35">
      <c r="A1110">
        <v>314250</v>
      </c>
      <c r="B1110">
        <v>3142502</v>
      </c>
      <c r="C1110" t="s">
        <v>120</v>
      </c>
      <c r="D1110">
        <v>2023</v>
      </c>
      <c r="E1110" s="7">
        <v>34319.07</v>
      </c>
      <c r="F1110" s="8">
        <v>34319.07</v>
      </c>
      <c r="G1110" s="7">
        <v>40983.4</v>
      </c>
      <c r="H1110" s="7">
        <v>40983.396625957699</v>
      </c>
    </row>
    <row r="1111" spans="1:8" x14ac:dyDescent="0.35">
      <c r="A1111">
        <v>314250</v>
      </c>
      <c r="B1111">
        <v>3142502</v>
      </c>
      <c r="C1111" t="s">
        <v>120</v>
      </c>
      <c r="D1111">
        <v>2024</v>
      </c>
      <c r="E1111" s="7">
        <v>20025.47</v>
      </c>
      <c r="F1111" s="8">
        <v>19102.586463896911</v>
      </c>
      <c r="G1111" s="7">
        <v>44162.34</v>
      </c>
      <c r="H1111" s="7">
        <v>42127.101205622588</v>
      </c>
    </row>
    <row r="1112" spans="1:8" x14ac:dyDescent="0.35">
      <c r="A1112">
        <v>314270</v>
      </c>
      <c r="B1112">
        <v>3142700</v>
      </c>
      <c r="C1112" t="s">
        <v>121</v>
      </c>
      <c r="D1112">
        <v>2015</v>
      </c>
      <c r="E1112" s="7">
        <v>9299.2800000000007</v>
      </c>
      <c r="F1112" s="8">
        <v>14018.284250451241</v>
      </c>
      <c r="G1112" s="7">
        <v>7032.41</v>
      </c>
      <c r="H1112" s="7">
        <v>10601.067362872218</v>
      </c>
    </row>
    <row r="1113" spans="1:8" x14ac:dyDescent="0.35">
      <c r="A1113">
        <v>314270</v>
      </c>
      <c r="B1113">
        <v>3142700</v>
      </c>
      <c r="C1113" t="s">
        <v>121</v>
      </c>
      <c r="D1113">
        <v>2016</v>
      </c>
      <c r="E1113" s="7">
        <v>7782.07</v>
      </c>
      <c r="F1113" s="8">
        <v>11037.138276880876</v>
      </c>
      <c r="G1113" s="7">
        <v>10035.24</v>
      </c>
      <c r="H1113" s="7">
        <v>14232.763117951668</v>
      </c>
    </row>
    <row r="1114" spans="1:8" x14ac:dyDescent="0.35">
      <c r="A1114">
        <v>314270</v>
      </c>
      <c r="B1114">
        <v>3142700</v>
      </c>
      <c r="C1114" t="s">
        <v>121</v>
      </c>
      <c r="D1114">
        <v>2017</v>
      </c>
      <c r="E1114" s="7">
        <v>7844.27</v>
      </c>
      <c r="F1114" s="8">
        <v>10806.832286421532</v>
      </c>
      <c r="G1114" s="7">
        <v>8163.91</v>
      </c>
      <c r="H1114" s="7">
        <v>11247.185297473032</v>
      </c>
    </row>
    <row r="1115" spans="1:8" x14ac:dyDescent="0.35">
      <c r="A1115">
        <v>314270</v>
      </c>
      <c r="B1115">
        <v>3142700</v>
      </c>
      <c r="C1115" t="s">
        <v>121</v>
      </c>
      <c r="D1115">
        <v>2018</v>
      </c>
      <c r="E1115" s="7">
        <v>7251.28</v>
      </c>
      <c r="F1115" s="8">
        <v>9629.2163654151173</v>
      </c>
      <c r="G1115" s="7">
        <v>8955.66</v>
      </c>
      <c r="H1115" s="7">
        <v>11892.517724134352</v>
      </c>
    </row>
    <row r="1116" spans="1:8" x14ac:dyDescent="0.35">
      <c r="A1116">
        <v>314270</v>
      </c>
      <c r="B1116">
        <v>3142700</v>
      </c>
      <c r="C1116" t="s">
        <v>121</v>
      </c>
      <c r="D1116">
        <v>2019</v>
      </c>
      <c r="E1116" s="7">
        <v>8105.29</v>
      </c>
      <c r="F1116" s="8">
        <v>10318.935688792821</v>
      </c>
      <c r="G1116" s="7">
        <v>11144.02</v>
      </c>
      <c r="H1116" s="7">
        <v>14187.575940591556</v>
      </c>
    </row>
    <row r="1117" spans="1:8" x14ac:dyDescent="0.35">
      <c r="A1117">
        <v>314270</v>
      </c>
      <c r="B1117">
        <v>3142700</v>
      </c>
      <c r="C1117" t="s">
        <v>121</v>
      </c>
      <c r="D1117">
        <v>2020</v>
      </c>
      <c r="E1117" s="7">
        <v>8963.42</v>
      </c>
      <c r="F1117" s="8">
        <v>10918.205403275553</v>
      </c>
      <c r="G1117" s="7">
        <v>8378.34</v>
      </c>
      <c r="H1117" s="7">
        <v>10205.528720755696</v>
      </c>
    </row>
    <row r="1118" spans="1:8" x14ac:dyDescent="0.35">
      <c r="A1118">
        <v>314270</v>
      </c>
      <c r="B1118">
        <v>3142700</v>
      </c>
      <c r="C1118" t="s">
        <v>121</v>
      </c>
      <c r="D1118">
        <v>2021</v>
      </c>
      <c r="E1118" s="7">
        <v>11178.87</v>
      </c>
      <c r="F1118" s="8">
        <v>12372.060444850034</v>
      </c>
      <c r="G1118" s="7">
        <v>9859.85</v>
      </c>
      <c r="H1118" s="7">
        <v>10912.252022463683</v>
      </c>
    </row>
    <row r="1119" spans="1:8" x14ac:dyDescent="0.35">
      <c r="A1119">
        <v>314270</v>
      </c>
      <c r="B1119">
        <v>3142700</v>
      </c>
      <c r="C1119" t="s">
        <v>121</v>
      </c>
      <c r="D1119">
        <v>2022</v>
      </c>
      <c r="E1119" s="7">
        <v>17920.96</v>
      </c>
      <c r="F1119" s="8">
        <v>18749.121612334708</v>
      </c>
      <c r="G1119" s="7">
        <v>22178.59</v>
      </c>
      <c r="H1119" s="7">
        <v>23203.503315210757</v>
      </c>
    </row>
    <row r="1120" spans="1:8" x14ac:dyDescent="0.35">
      <c r="A1120">
        <v>314270</v>
      </c>
      <c r="B1120">
        <v>3142700</v>
      </c>
      <c r="C1120" t="s">
        <v>121</v>
      </c>
      <c r="D1120">
        <v>2023</v>
      </c>
      <c r="E1120" s="7">
        <v>16678.59</v>
      </c>
      <c r="F1120" s="8">
        <v>16678.59</v>
      </c>
      <c r="G1120" s="7">
        <v>25253.85</v>
      </c>
      <c r="H1120" s="7">
        <v>25253.851769353056</v>
      </c>
    </row>
    <row r="1121" spans="1:8" x14ac:dyDescent="0.35">
      <c r="A1121">
        <v>314270</v>
      </c>
      <c r="B1121">
        <v>3142700</v>
      </c>
      <c r="C1121" t="s">
        <v>121</v>
      </c>
      <c r="D1121">
        <v>2024</v>
      </c>
      <c r="E1121" s="7">
        <v>14875.31</v>
      </c>
      <c r="F1121" s="8">
        <v>14189.774095303148</v>
      </c>
      <c r="G1121" s="7">
        <v>27853.29</v>
      </c>
      <c r="H1121" s="7">
        <v>26569.656132270193</v>
      </c>
    </row>
    <row r="1122" spans="1:8" x14ac:dyDescent="0.35">
      <c r="A1122">
        <v>314315</v>
      </c>
      <c r="B1122">
        <v>3143153</v>
      </c>
      <c r="C1122" t="s">
        <v>122</v>
      </c>
      <c r="D1122">
        <v>2015</v>
      </c>
      <c r="E1122" s="7">
        <v>5832.78</v>
      </c>
      <c r="F1122" s="8">
        <v>8792.6772836549699</v>
      </c>
      <c r="G1122" s="7">
        <v>5550.79</v>
      </c>
      <c r="H1122" s="7">
        <v>8367.5910046818553</v>
      </c>
    </row>
    <row r="1123" spans="1:8" x14ac:dyDescent="0.35">
      <c r="A1123">
        <v>314315</v>
      </c>
      <c r="B1123">
        <v>3143153</v>
      </c>
      <c r="C1123" t="s">
        <v>122</v>
      </c>
      <c r="D1123">
        <v>2016</v>
      </c>
      <c r="E1123" s="7">
        <v>6175.56</v>
      </c>
      <c r="F1123" s="8">
        <v>8758.6605693825004</v>
      </c>
      <c r="G1123" s="7">
        <v>8158.57</v>
      </c>
      <c r="H1123" s="7">
        <v>11571.120906865246</v>
      </c>
    </row>
    <row r="1124" spans="1:8" x14ac:dyDescent="0.35">
      <c r="A1124">
        <v>314315</v>
      </c>
      <c r="B1124">
        <v>3143153</v>
      </c>
      <c r="C1124" t="s">
        <v>122</v>
      </c>
      <c r="D1124">
        <v>2017</v>
      </c>
      <c r="E1124" s="7">
        <v>6034.15</v>
      </c>
      <c r="F1124" s="8">
        <v>8313.0803811075439</v>
      </c>
      <c r="G1124" s="7">
        <v>8979.5499999999993</v>
      </c>
      <c r="H1124" s="7">
        <v>12370.870381388115</v>
      </c>
    </row>
    <row r="1125" spans="1:8" x14ac:dyDescent="0.35">
      <c r="A1125">
        <v>314315</v>
      </c>
      <c r="B1125">
        <v>3143153</v>
      </c>
      <c r="C1125" t="s">
        <v>122</v>
      </c>
      <c r="D1125">
        <v>2018</v>
      </c>
      <c r="E1125" s="7">
        <v>5597.85</v>
      </c>
      <c r="F1125" s="8">
        <v>7433.5715668322036</v>
      </c>
      <c r="G1125" s="7">
        <v>9353.94</v>
      </c>
      <c r="H1125" s="7">
        <v>12421.403729734186</v>
      </c>
    </row>
    <row r="1126" spans="1:8" x14ac:dyDescent="0.35">
      <c r="A1126">
        <v>314315</v>
      </c>
      <c r="B1126">
        <v>3143153</v>
      </c>
      <c r="C1126" t="s">
        <v>122</v>
      </c>
      <c r="D1126">
        <v>2019</v>
      </c>
      <c r="E1126" s="7">
        <v>7155.46</v>
      </c>
      <c r="F1126" s="8">
        <v>9109.6964530238238</v>
      </c>
      <c r="G1126" s="7">
        <v>13299.03</v>
      </c>
      <c r="H1126" s="7">
        <v>16931.143305091398</v>
      </c>
    </row>
    <row r="1127" spans="1:8" x14ac:dyDescent="0.35">
      <c r="A1127">
        <v>314315</v>
      </c>
      <c r="B1127">
        <v>3143153</v>
      </c>
      <c r="C1127" t="s">
        <v>122</v>
      </c>
      <c r="D1127">
        <v>2020</v>
      </c>
      <c r="E1127" s="7">
        <v>7933.27</v>
      </c>
      <c r="F1127" s="8">
        <v>9663.3953758324224</v>
      </c>
      <c r="G1127" s="7">
        <v>8494.7999999999993</v>
      </c>
      <c r="H1127" s="7">
        <v>10347.389993007671</v>
      </c>
    </row>
    <row r="1128" spans="1:8" x14ac:dyDescent="0.35">
      <c r="A1128">
        <v>314315</v>
      </c>
      <c r="B1128">
        <v>3143153</v>
      </c>
      <c r="C1128" t="s">
        <v>122</v>
      </c>
      <c r="D1128">
        <v>2021</v>
      </c>
      <c r="E1128" s="7">
        <v>11394.71</v>
      </c>
      <c r="F1128" s="8">
        <v>12610.938392837301</v>
      </c>
      <c r="G1128" s="7">
        <v>14008.62</v>
      </c>
      <c r="H1128" s="7">
        <v>15503.849643381167</v>
      </c>
    </row>
    <row r="1129" spans="1:8" x14ac:dyDescent="0.35">
      <c r="A1129">
        <v>314315</v>
      </c>
      <c r="B1129">
        <v>3143153</v>
      </c>
      <c r="C1129" t="s">
        <v>122</v>
      </c>
      <c r="D1129">
        <v>2022</v>
      </c>
      <c r="E1129" s="7">
        <v>15939.41</v>
      </c>
      <c r="F1129" s="8">
        <v>16676.000421789009</v>
      </c>
      <c r="G1129" s="7">
        <v>22646.57</v>
      </c>
      <c r="H1129" s="7">
        <v>23693.114574509418</v>
      </c>
    </row>
    <row r="1130" spans="1:8" x14ac:dyDescent="0.35">
      <c r="A1130">
        <v>314315</v>
      </c>
      <c r="B1130">
        <v>3143153</v>
      </c>
      <c r="C1130" t="s">
        <v>122</v>
      </c>
      <c r="D1130">
        <v>2023</v>
      </c>
      <c r="E1130" s="7">
        <v>12456.37</v>
      </c>
      <c r="F1130" s="8">
        <v>12456.37</v>
      </c>
      <c r="G1130" s="7">
        <v>27882.39</v>
      </c>
      <c r="H1130" s="7">
        <v>27882.386490497262</v>
      </c>
    </row>
    <row r="1131" spans="1:8" x14ac:dyDescent="0.35">
      <c r="A1131">
        <v>314315</v>
      </c>
      <c r="B1131">
        <v>3143153</v>
      </c>
      <c r="C1131" t="s">
        <v>122</v>
      </c>
      <c r="D1131">
        <v>2024</v>
      </c>
      <c r="E1131" s="7">
        <v>19360.419999999998</v>
      </c>
      <c r="F1131" s="8">
        <v>18468.18561698472</v>
      </c>
      <c r="G1131" s="7">
        <v>32824.86</v>
      </c>
      <c r="H1131" s="7">
        <v>31312.112337000959</v>
      </c>
    </row>
    <row r="1132" spans="1:8" x14ac:dyDescent="0.35">
      <c r="A1132">
        <v>314330</v>
      </c>
      <c r="B1132">
        <v>3143302</v>
      </c>
      <c r="C1132" t="s">
        <v>123</v>
      </c>
      <c r="D1132">
        <v>2015</v>
      </c>
      <c r="E1132" s="7">
        <v>6140.22</v>
      </c>
      <c r="F1132" s="8">
        <v>9256.1305090615315</v>
      </c>
      <c r="G1132" s="7">
        <v>4924.6400000000003</v>
      </c>
      <c r="H1132" s="7">
        <v>7423.6978188967041</v>
      </c>
    </row>
    <row r="1133" spans="1:8" x14ac:dyDescent="0.35">
      <c r="A1133">
        <v>314330</v>
      </c>
      <c r="B1133">
        <v>3143302</v>
      </c>
      <c r="C1133" t="s">
        <v>123</v>
      </c>
      <c r="D1133">
        <v>2016</v>
      </c>
      <c r="E1133" s="7">
        <v>6189.15</v>
      </c>
      <c r="F1133" s="8">
        <v>8777.9349667064507</v>
      </c>
      <c r="G1133" s="7">
        <v>5814.86</v>
      </c>
      <c r="H1133" s="7">
        <v>8247.0888841431552</v>
      </c>
    </row>
    <row r="1134" spans="1:8" x14ac:dyDescent="0.35">
      <c r="A1134">
        <v>314330</v>
      </c>
      <c r="B1134">
        <v>3143302</v>
      </c>
      <c r="C1134" t="s">
        <v>123</v>
      </c>
      <c r="D1134">
        <v>2017</v>
      </c>
      <c r="E1134" s="7">
        <v>4834.67</v>
      </c>
      <c r="F1134" s="8">
        <v>6660.5901951607457</v>
      </c>
      <c r="G1134" s="7">
        <v>4841.28</v>
      </c>
      <c r="H1134" s="7">
        <v>6669.7016865874257</v>
      </c>
    </row>
    <row r="1135" spans="1:8" x14ac:dyDescent="0.35">
      <c r="A1135">
        <v>314330</v>
      </c>
      <c r="B1135">
        <v>3143302</v>
      </c>
      <c r="C1135" t="s">
        <v>123</v>
      </c>
      <c r="D1135">
        <v>2018</v>
      </c>
      <c r="E1135" s="7">
        <v>5206.7</v>
      </c>
      <c r="F1135" s="8">
        <v>6914.1504465152211</v>
      </c>
      <c r="G1135" s="7">
        <v>4979.72</v>
      </c>
      <c r="H1135" s="7">
        <v>6612.7368315678659</v>
      </c>
    </row>
    <row r="1136" spans="1:8" x14ac:dyDescent="0.35">
      <c r="A1136">
        <v>314330</v>
      </c>
      <c r="B1136">
        <v>3143302</v>
      </c>
      <c r="C1136" t="s">
        <v>123</v>
      </c>
      <c r="D1136">
        <v>2019</v>
      </c>
      <c r="E1136" s="7">
        <v>5642.9</v>
      </c>
      <c r="F1136" s="8">
        <v>7184.0393370612283</v>
      </c>
      <c r="G1136" s="7">
        <v>5500.58</v>
      </c>
      <c r="H1136" s="7">
        <v>7002.8510966824488</v>
      </c>
    </row>
    <row r="1137" spans="1:8" x14ac:dyDescent="0.35">
      <c r="A1137">
        <v>314330</v>
      </c>
      <c r="B1137">
        <v>3143302</v>
      </c>
      <c r="C1137" t="s">
        <v>123</v>
      </c>
      <c r="D1137">
        <v>2020</v>
      </c>
      <c r="E1137" s="7">
        <v>6361.65</v>
      </c>
      <c r="F1137" s="8">
        <v>7749.0289871218702</v>
      </c>
      <c r="G1137" s="7">
        <v>5041.76</v>
      </c>
      <c r="H1137" s="7">
        <v>6141.2938942294386</v>
      </c>
    </row>
    <row r="1138" spans="1:8" x14ac:dyDescent="0.35">
      <c r="A1138">
        <v>314330</v>
      </c>
      <c r="B1138">
        <v>3143302</v>
      </c>
      <c r="C1138" t="s">
        <v>123</v>
      </c>
      <c r="D1138">
        <v>2021</v>
      </c>
      <c r="E1138" s="7">
        <v>8755.2099999999991</v>
      </c>
      <c r="F1138" s="8">
        <v>9689.7081124796568</v>
      </c>
      <c r="G1138" s="7">
        <v>6939.23</v>
      </c>
      <c r="H1138" s="7">
        <v>7679.8924961746989</v>
      </c>
    </row>
    <row r="1139" spans="1:8" x14ac:dyDescent="0.35">
      <c r="A1139">
        <v>314330</v>
      </c>
      <c r="B1139">
        <v>3143302</v>
      </c>
      <c r="C1139" t="s">
        <v>123</v>
      </c>
      <c r="D1139">
        <v>2022</v>
      </c>
      <c r="E1139" s="7">
        <v>10023.61</v>
      </c>
      <c r="F1139" s="8">
        <v>10486.820063468382</v>
      </c>
      <c r="G1139" s="7">
        <v>8712.9699999999993</v>
      </c>
      <c r="H1139" s="7">
        <v>9115.6143574766502</v>
      </c>
    </row>
    <row r="1140" spans="1:8" x14ac:dyDescent="0.35">
      <c r="A1140">
        <v>314330</v>
      </c>
      <c r="B1140">
        <v>3143302</v>
      </c>
      <c r="C1140" t="s">
        <v>123</v>
      </c>
      <c r="D1140">
        <v>2023</v>
      </c>
      <c r="E1140" s="7">
        <v>14981.05</v>
      </c>
      <c r="F1140" s="8">
        <v>14981.05</v>
      </c>
      <c r="G1140" s="7">
        <v>13435.32</v>
      </c>
      <c r="H1140" s="7">
        <v>13435.323107438146</v>
      </c>
    </row>
    <row r="1141" spans="1:8" x14ac:dyDescent="0.35">
      <c r="A1141">
        <v>314330</v>
      </c>
      <c r="B1141">
        <v>3143302</v>
      </c>
      <c r="C1141" t="s">
        <v>123</v>
      </c>
      <c r="D1141">
        <v>2024</v>
      </c>
      <c r="E1141" s="7">
        <v>14796.54</v>
      </c>
      <c r="F1141" s="8">
        <v>14114.63424910922</v>
      </c>
      <c r="G1141" s="7">
        <v>11019.18</v>
      </c>
      <c r="H1141" s="7">
        <v>10511.353084090129</v>
      </c>
    </row>
    <row r="1142" spans="1:8" x14ac:dyDescent="0.35">
      <c r="A1142">
        <v>314345</v>
      </c>
      <c r="B1142">
        <v>3143450</v>
      </c>
      <c r="C1142" t="s">
        <v>124</v>
      </c>
      <c r="D1142">
        <v>2015</v>
      </c>
      <c r="E1142" s="7">
        <v>7329.71</v>
      </c>
      <c r="F1142" s="8">
        <v>11049.238032769737</v>
      </c>
      <c r="G1142" s="7">
        <v>7676.27</v>
      </c>
      <c r="H1142" s="7">
        <v>11571.659112681946</v>
      </c>
    </row>
    <row r="1143" spans="1:8" x14ac:dyDescent="0.35">
      <c r="A1143">
        <v>314345</v>
      </c>
      <c r="B1143">
        <v>3143450</v>
      </c>
      <c r="C1143" t="s">
        <v>124</v>
      </c>
      <c r="D1143">
        <v>2016</v>
      </c>
      <c r="E1143" s="7">
        <v>6298.82</v>
      </c>
      <c r="F1143" s="8">
        <v>8933.4775093494154</v>
      </c>
      <c r="G1143" s="7">
        <v>9512.02</v>
      </c>
      <c r="H1143" s="7">
        <v>13490.689132574624</v>
      </c>
    </row>
    <row r="1144" spans="1:8" x14ac:dyDescent="0.35">
      <c r="A1144">
        <v>314345</v>
      </c>
      <c r="B1144">
        <v>3143450</v>
      </c>
      <c r="C1144" t="s">
        <v>124</v>
      </c>
      <c r="D1144">
        <v>2017</v>
      </c>
      <c r="E1144" s="7">
        <v>5392.78</v>
      </c>
      <c r="F1144" s="8">
        <v>7429.4827966870471</v>
      </c>
      <c r="G1144" s="7">
        <v>8373.49</v>
      </c>
      <c r="H1144" s="7">
        <v>11535.923356785004</v>
      </c>
    </row>
    <row r="1145" spans="1:8" x14ac:dyDescent="0.35">
      <c r="A1145">
        <v>314345</v>
      </c>
      <c r="B1145">
        <v>3143450</v>
      </c>
      <c r="C1145" t="s">
        <v>124</v>
      </c>
      <c r="D1145">
        <v>2018</v>
      </c>
      <c r="E1145" s="7">
        <v>5102.41</v>
      </c>
      <c r="F1145" s="8">
        <v>6775.6602799861203</v>
      </c>
      <c r="G1145" s="7">
        <v>8465.68</v>
      </c>
      <c r="H1145" s="7">
        <v>11241.855103961825</v>
      </c>
    </row>
    <row r="1146" spans="1:8" x14ac:dyDescent="0.35">
      <c r="A1146">
        <v>314345</v>
      </c>
      <c r="B1146">
        <v>3143450</v>
      </c>
      <c r="C1146" t="s">
        <v>124</v>
      </c>
      <c r="D1146">
        <v>2019</v>
      </c>
      <c r="E1146" s="7">
        <v>5261.1</v>
      </c>
      <c r="F1146" s="8">
        <v>6697.9654709835067</v>
      </c>
      <c r="G1146" s="7">
        <v>9070.09</v>
      </c>
      <c r="H1146" s="7">
        <v>11547.233656606701</v>
      </c>
    </row>
    <row r="1147" spans="1:8" x14ac:dyDescent="0.35">
      <c r="A1147">
        <v>314345</v>
      </c>
      <c r="B1147">
        <v>3143450</v>
      </c>
      <c r="C1147" t="s">
        <v>124</v>
      </c>
      <c r="D1147">
        <v>2020</v>
      </c>
      <c r="E1147" s="7">
        <v>6506</v>
      </c>
      <c r="F1147" s="8">
        <v>7924.859523899443</v>
      </c>
      <c r="G1147" s="7">
        <v>6569.77</v>
      </c>
      <c r="H1147" s="7">
        <v>8002.538531834376</v>
      </c>
    </row>
    <row r="1148" spans="1:8" x14ac:dyDescent="0.35">
      <c r="A1148">
        <v>314345</v>
      </c>
      <c r="B1148">
        <v>3143450</v>
      </c>
      <c r="C1148" t="s">
        <v>124</v>
      </c>
      <c r="D1148">
        <v>2021</v>
      </c>
      <c r="E1148" s="7">
        <v>8949.89</v>
      </c>
      <c r="F1148" s="8">
        <v>9905.1675218299224</v>
      </c>
      <c r="G1148" s="7">
        <v>10105.59</v>
      </c>
      <c r="H1148" s="7">
        <v>11184.221605081097</v>
      </c>
    </row>
    <row r="1149" spans="1:8" x14ac:dyDescent="0.35">
      <c r="A1149">
        <v>314345</v>
      </c>
      <c r="B1149">
        <v>3143450</v>
      </c>
      <c r="C1149" t="s">
        <v>124</v>
      </c>
      <c r="D1149">
        <v>2022</v>
      </c>
      <c r="E1149" s="7">
        <v>11840.31</v>
      </c>
      <c r="F1149" s="8">
        <v>12387.473222290702</v>
      </c>
      <c r="G1149" s="7">
        <v>16265.42</v>
      </c>
      <c r="H1149" s="7">
        <v>17017.077924794998</v>
      </c>
    </row>
    <row r="1150" spans="1:8" x14ac:dyDescent="0.35">
      <c r="A1150">
        <v>314345</v>
      </c>
      <c r="B1150">
        <v>3143450</v>
      </c>
      <c r="C1150" t="s">
        <v>124</v>
      </c>
      <c r="D1150">
        <v>2023</v>
      </c>
      <c r="E1150" s="7">
        <v>12119.32</v>
      </c>
      <c r="F1150" s="8">
        <v>12119.32</v>
      </c>
      <c r="G1150" s="7">
        <v>18939.98</v>
      </c>
      <c r="H1150" s="7">
        <v>18939.979231771937</v>
      </c>
    </row>
    <row r="1151" spans="1:8" x14ac:dyDescent="0.35">
      <c r="A1151">
        <v>314345</v>
      </c>
      <c r="B1151">
        <v>3143450</v>
      </c>
      <c r="C1151" t="s">
        <v>124</v>
      </c>
      <c r="D1151">
        <v>2024</v>
      </c>
      <c r="E1151" s="7">
        <v>14167.32</v>
      </c>
      <c r="F1151" s="8">
        <v>13514.412159200057</v>
      </c>
      <c r="G1151" s="7">
        <v>19501.54</v>
      </c>
      <c r="H1151" s="7">
        <v>18602.80548599243</v>
      </c>
    </row>
    <row r="1152" spans="1:8" x14ac:dyDescent="0.35">
      <c r="A1152">
        <v>314360</v>
      </c>
      <c r="B1152">
        <v>3143609</v>
      </c>
      <c r="C1152" t="s">
        <v>125</v>
      </c>
      <c r="D1152">
        <v>2015</v>
      </c>
      <c r="E1152" s="7">
        <v>5364.59</v>
      </c>
      <c r="F1152" s="8">
        <v>8086.9000080789292</v>
      </c>
      <c r="G1152" s="7">
        <v>4904.6000000000004</v>
      </c>
      <c r="H1152" s="7">
        <v>7393.4897612965042</v>
      </c>
    </row>
    <row r="1153" spans="1:8" x14ac:dyDescent="0.35">
      <c r="A1153">
        <v>314360</v>
      </c>
      <c r="B1153">
        <v>3143609</v>
      </c>
      <c r="C1153" t="s">
        <v>125</v>
      </c>
      <c r="D1153">
        <v>2016</v>
      </c>
      <c r="E1153" s="7">
        <v>6006.06</v>
      </c>
      <c r="F1153" s="8">
        <v>8518.2624570638873</v>
      </c>
      <c r="G1153" s="7">
        <v>6897.45</v>
      </c>
      <c r="H1153" s="7">
        <v>9782.5016083210248</v>
      </c>
    </row>
    <row r="1154" spans="1:8" x14ac:dyDescent="0.35">
      <c r="A1154">
        <v>314360</v>
      </c>
      <c r="B1154">
        <v>3143609</v>
      </c>
      <c r="C1154" t="s">
        <v>125</v>
      </c>
      <c r="D1154">
        <v>2017</v>
      </c>
      <c r="E1154" s="7">
        <v>7826.1</v>
      </c>
      <c r="F1154" s="8">
        <v>10781.799983524732</v>
      </c>
      <c r="G1154" s="7">
        <v>7766.57</v>
      </c>
      <c r="H1154" s="7">
        <v>10699.782477120325</v>
      </c>
    </row>
    <row r="1155" spans="1:8" x14ac:dyDescent="0.35">
      <c r="A1155">
        <v>314360</v>
      </c>
      <c r="B1155">
        <v>3143609</v>
      </c>
      <c r="C1155" t="s">
        <v>125</v>
      </c>
      <c r="D1155">
        <v>2018</v>
      </c>
      <c r="E1155" s="7">
        <v>7413.8</v>
      </c>
      <c r="F1155" s="8">
        <v>9845.0320894951801</v>
      </c>
      <c r="G1155" s="7">
        <v>8507.49</v>
      </c>
      <c r="H1155" s="7">
        <v>11297.378423459821</v>
      </c>
    </row>
    <row r="1156" spans="1:8" x14ac:dyDescent="0.35">
      <c r="A1156">
        <v>314360</v>
      </c>
      <c r="B1156">
        <v>3143609</v>
      </c>
      <c r="C1156" t="s">
        <v>125</v>
      </c>
      <c r="D1156">
        <v>2019</v>
      </c>
      <c r="E1156" s="7">
        <v>8809.5300000000007</v>
      </c>
      <c r="F1156" s="8">
        <v>11215.511538574316</v>
      </c>
      <c r="G1156" s="7">
        <v>8985.15</v>
      </c>
      <c r="H1156" s="7">
        <v>11439.089403938109</v>
      </c>
    </row>
    <row r="1157" spans="1:8" x14ac:dyDescent="0.35">
      <c r="A1157">
        <v>314360</v>
      </c>
      <c r="B1157">
        <v>3143609</v>
      </c>
      <c r="C1157" t="s">
        <v>125</v>
      </c>
      <c r="D1157">
        <v>2020</v>
      </c>
      <c r="E1157" s="7">
        <v>9971.2199999999993</v>
      </c>
      <c r="F1157" s="8">
        <v>12145.79123607387</v>
      </c>
      <c r="G1157" s="7">
        <v>10746.79</v>
      </c>
      <c r="H1157" s="7">
        <v>13090.497213442906</v>
      </c>
    </row>
    <row r="1158" spans="1:8" x14ac:dyDescent="0.35">
      <c r="A1158">
        <v>314360</v>
      </c>
      <c r="B1158">
        <v>3143609</v>
      </c>
      <c r="C1158" t="s">
        <v>125</v>
      </c>
      <c r="D1158">
        <v>2021</v>
      </c>
      <c r="E1158" s="7">
        <v>11098</v>
      </c>
      <c r="F1158" s="8">
        <v>12282.558685890943</v>
      </c>
      <c r="G1158" s="7">
        <v>12044.95</v>
      </c>
      <c r="H1158" s="7">
        <v>13330.585953715934</v>
      </c>
    </row>
    <row r="1159" spans="1:8" x14ac:dyDescent="0.35">
      <c r="A1159">
        <v>314360</v>
      </c>
      <c r="B1159">
        <v>3143609</v>
      </c>
      <c r="C1159" t="s">
        <v>125</v>
      </c>
      <c r="D1159">
        <v>2022</v>
      </c>
      <c r="E1159" s="7">
        <v>13842.79</v>
      </c>
      <c r="F1159" s="8">
        <v>14482.491627904465</v>
      </c>
      <c r="G1159" s="7">
        <v>19052.68</v>
      </c>
      <c r="H1159" s="7">
        <v>19933.141839440228</v>
      </c>
    </row>
    <row r="1160" spans="1:8" x14ac:dyDescent="0.35">
      <c r="A1160">
        <v>314360</v>
      </c>
      <c r="B1160">
        <v>3143609</v>
      </c>
      <c r="C1160" t="s">
        <v>125</v>
      </c>
      <c r="D1160">
        <v>2023</v>
      </c>
      <c r="E1160" s="7">
        <v>17911.2</v>
      </c>
      <c r="F1160" s="8">
        <v>17911.2</v>
      </c>
      <c r="G1160" s="7">
        <v>32960.33</v>
      </c>
      <c r="H1160" s="7">
        <v>32960.326268686331</v>
      </c>
    </row>
    <row r="1161" spans="1:8" x14ac:dyDescent="0.35">
      <c r="A1161">
        <v>314360</v>
      </c>
      <c r="B1161">
        <v>3143609</v>
      </c>
      <c r="C1161" t="s">
        <v>125</v>
      </c>
      <c r="D1161">
        <v>2024</v>
      </c>
      <c r="E1161" s="7">
        <v>19395.240000000002</v>
      </c>
      <c r="F1161" s="8">
        <v>18501.400920329557</v>
      </c>
      <c r="G1161" s="7">
        <v>15735.13</v>
      </c>
      <c r="H1161" s="7">
        <v>15009.965482559663</v>
      </c>
    </row>
    <row r="1162" spans="1:8" x14ac:dyDescent="0.35">
      <c r="A1162">
        <v>314400</v>
      </c>
      <c r="B1162">
        <v>3144003</v>
      </c>
      <c r="C1162" t="s">
        <v>126</v>
      </c>
      <c r="D1162">
        <v>2015</v>
      </c>
      <c r="E1162" s="7">
        <v>6934.82</v>
      </c>
      <c r="F1162" s="8">
        <v>10453.95750915278</v>
      </c>
      <c r="G1162" s="7">
        <v>5872.7</v>
      </c>
      <c r="H1162" s="7">
        <v>8852.8540598735708</v>
      </c>
    </row>
    <row r="1163" spans="1:8" x14ac:dyDescent="0.35">
      <c r="A1163">
        <v>314400</v>
      </c>
      <c r="B1163">
        <v>3144003</v>
      </c>
      <c r="C1163" t="s">
        <v>126</v>
      </c>
      <c r="D1163">
        <v>2016</v>
      </c>
      <c r="E1163" s="7">
        <v>6289.29</v>
      </c>
      <c r="F1163" s="8">
        <v>8919.9613204975194</v>
      </c>
      <c r="G1163" s="7">
        <v>8380.56</v>
      </c>
      <c r="H1163" s="7">
        <v>11885.963906676479</v>
      </c>
    </row>
    <row r="1164" spans="1:8" x14ac:dyDescent="0.35">
      <c r="A1164">
        <v>314400</v>
      </c>
      <c r="B1164">
        <v>3144003</v>
      </c>
      <c r="C1164" t="s">
        <v>126</v>
      </c>
      <c r="D1164">
        <v>2017</v>
      </c>
      <c r="E1164" s="7">
        <v>6831.5</v>
      </c>
      <c r="F1164" s="8">
        <v>9411.5672668952866</v>
      </c>
      <c r="G1164" s="7">
        <v>7397.42</v>
      </c>
      <c r="H1164" s="7">
        <v>10191.216269864641</v>
      </c>
    </row>
    <row r="1165" spans="1:8" x14ac:dyDescent="0.35">
      <c r="A1165">
        <v>314400</v>
      </c>
      <c r="B1165">
        <v>3144003</v>
      </c>
      <c r="C1165" t="s">
        <v>126</v>
      </c>
      <c r="D1165">
        <v>2018</v>
      </c>
      <c r="E1165" s="7">
        <v>6811.75</v>
      </c>
      <c r="F1165" s="8">
        <v>9045.5498308045517</v>
      </c>
      <c r="G1165" s="7">
        <v>9269.89</v>
      </c>
      <c r="H1165" s="7">
        <v>12309.796286678686</v>
      </c>
    </row>
    <row r="1166" spans="1:8" x14ac:dyDescent="0.35">
      <c r="A1166">
        <v>314400</v>
      </c>
      <c r="B1166">
        <v>3144003</v>
      </c>
      <c r="C1166" t="s">
        <v>126</v>
      </c>
      <c r="D1166">
        <v>2019</v>
      </c>
      <c r="E1166" s="7">
        <v>7874.1</v>
      </c>
      <c r="F1166" s="8">
        <v>10024.605104459377</v>
      </c>
      <c r="G1166" s="7">
        <v>9822.65</v>
      </c>
      <c r="H1166" s="7">
        <v>12505.331003604775</v>
      </c>
    </row>
    <row r="1167" spans="1:8" x14ac:dyDescent="0.35">
      <c r="A1167">
        <v>314400</v>
      </c>
      <c r="B1167">
        <v>3144003</v>
      </c>
      <c r="C1167" t="s">
        <v>126</v>
      </c>
      <c r="D1167">
        <v>2020</v>
      </c>
      <c r="E1167" s="7">
        <v>9442.94</v>
      </c>
      <c r="F1167" s="8">
        <v>11502.301412943592</v>
      </c>
      <c r="G1167" s="7">
        <v>8558.51</v>
      </c>
      <c r="H1167" s="7">
        <v>10424.98955514384</v>
      </c>
    </row>
    <row r="1168" spans="1:8" x14ac:dyDescent="0.35">
      <c r="A1168">
        <v>314400</v>
      </c>
      <c r="B1168">
        <v>3144003</v>
      </c>
      <c r="C1168" t="s">
        <v>126</v>
      </c>
      <c r="D1168">
        <v>2021</v>
      </c>
      <c r="E1168" s="7">
        <v>11082.75</v>
      </c>
      <c r="F1168" s="8">
        <v>12265.68095837609</v>
      </c>
      <c r="G1168" s="7">
        <v>9870.6200000000008</v>
      </c>
      <c r="H1168" s="7">
        <v>10924.17036728948</v>
      </c>
    </row>
    <row r="1169" spans="1:8" x14ac:dyDescent="0.35">
      <c r="A1169">
        <v>314400</v>
      </c>
      <c r="B1169">
        <v>3144003</v>
      </c>
      <c r="C1169" t="s">
        <v>126</v>
      </c>
      <c r="D1169">
        <v>2022</v>
      </c>
      <c r="E1169" s="7">
        <v>11762.69</v>
      </c>
      <c r="F1169" s="8">
        <v>12306.266254608758</v>
      </c>
      <c r="G1169" s="7">
        <v>17717.5</v>
      </c>
      <c r="H1169" s="7">
        <v>18536.260661337255</v>
      </c>
    </row>
    <row r="1170" spans="1:8" x14ac:dyDescent="0.35">
      <c r="A1170">
        <v>314400</v>
      </c>
      <c r="B1170">
        <v>3144003</v>
      </c>
      <c r="C1170" t="s">
        <v>126</v>
      </c>
      <c r="D1170">
        <v>2023</v>
      </c>
      <c r="E1170" s="7">
        <v>14431.85</v>
      </c>
      <c r="F1170" s="8">
        <v>14431.85</v>
      </c>
      <c r="G1170" s="7">
        <v>20808.68</v>
      </c>
      <c r="H1170" s="7">
        <v>20808.684729920504</v>
      </c>
    </row>
    <row r="1171" spans="1:8" x14ac:dyDescent="0.35">
      <c r="A1171">
        <v>314400</v>
      </c>
      <c r="B1171">
        <v>3144003</v>
      </c>
      <c r="C1171" t="s">
        <v>126</v>
      </c>
      <c r="D1171">
        <v>2024</v>
      </c>
      <c r="E1171" s="7">
        <v>20039.23</v>
      </c>
      <c r="F1171" s="8">
        <v>19115.712327596648</v>
      </c>
      <c r="G1171" s="7">
        <v>26015.95</v>
      </c>
      <c r="H1171" s="7">
        <v>24816.99198999392</v>
      </c>
    </row>
    <row r="1172" spans="1:8" x14ac:dyDescent="0.35">
      <c r="A1172">
        <v>314420</v>
      </c>
      <c r="B1172">
        <v>3144201</v>
      </c>
      <c r="C1172" s="9" t="s">
        <v>127</v>
      </c>
      <c r="D1172">
        <v>2015</v>
      </c>
      <c r="E1172" s="7">
        <v>9249.61</v>
      </c>
      <c r="F1172" s="8">
        <v>13943.408757002295</v>
      </c>
      <c r="G1172" s="7">
        <v>9816.173535353535</v>
      </c>
      <c r="H1172" s="7">
        <v>14797.480113551021</v>
      </c>
    </row>
    <row r="1173" spans="1:8" x14ac:dyDescent="0.35">
      <c r="A1173">
        <v>314420</v>
      </c>
      <c r="B1173">
        <v>3144201</v>
      </c>
      <c r="C1173" t="s">
        <v>127</v>
      </c>
      <c r="D1173">
        <v>2016</v>
      </c>
      <c r="E1173" s="7">
        <v>8903.76</v>
      </c>
      <c r="F1173" s="8">
        <v>12628.006469250582</v>
      </c>
      <c r="G1173" s="7">
        <v>10497.69</v>
      </c>
      <c r="H1173" s="7">
        <v>14888.645238868587</v>
      </c>
    </row>
    <row r="1174" spans="1:8" x14ac:dyDescent="0.35">
      <c r="A1174">
        <v>314420</v>
      </c>
      <c r="B1174">
        <v>3144201</v>
      </c>
      <c r="C1174" t="s">
        <v>127</v>
      </c>
      <c r="D1174">
        <v>2017</v>
      </c>
      <c r="E1174" s="7">
        <v>9251.23</v>
      </c>
      <c r="F1174" s="8">
        <v>12745.161889265853</v>
      </c>
      <c r="G1174" s="7">
        <v>7663.59</v>
      </c>
      <c r="H1174" s="7">
        <v>10557.91298402117</v>
      </c>
    </row>
    <row r="1175" spans="1:8" x14ac:dyDescent="0.35">
      <c r="A1175">
        <v>314420</v>
      </c>
      <c r="B1175">
        <v>3144201</v>
      </c>
      <c r="C1175" t="s">
        <v>127</v>
      </c>
      <c r="D1175">
        <v>2018</v>
      </c>
      <c r="E1175" s="7">
        <v>9225.59</v>
      </c>
      <c r="F1175" s="8">
        <v>12250.968409523568</v>
      </c>
      <c r="G1175" s="7">
        <v>10220.6</v>
      </c>
      <c r="H1175" s="7">
        <v>13572.270300150778</v>
      </c>
    </row>
    <row r="1176" spans="1:8" x14ac:dyDescent="0.35">
      <c r="A1176">
        <v>314420</v>
      </c>
      <c r="B1176">
        <v>3144201</v>
      </c>
      <c r="C1176" t="s">
        <v>127</v>
      </c>
      <c r="D1176">
        <v>2019</v>
      </c>
      <c r="E1176" s="7">
        <v>9581.14</v>
      </c>
      <c r="F1176" s="8">
        <v>12197.856891649828</v>
      </c>
      <c r="G1176" s="7">
        <v>9496.4</v>
      </c>
      <c r="H1176" s="7">
        <v>12089.970525693674</v>
      </c>
    </row>
    <row r="1177" spans="1:8" x14ac:dyDescent="0.35">
      <c r="A1177">
        <v>314420</v>
      </c>
      <c r="B1177">
        <v>3144201</v>
      </c>
      <c r="C1177" t="s">
        <v>127</v>
      </c>
      <c r="D1177">
        <v>2020</v>
      </c>
      <c r="E1177" s="7">
        <v>10899.66</v>
      </c>
      <c r="F1177" s="8">
        <v>13276.7098613996</v>
      </c>
      <c r="G1177" s="7">
        <v>10375.25</v>
      </c>
      <c r="H1177" s="7">
        <v>12637.938665189931</v>
      </c>
    </row>
    <row r="1178" spans="1:8" x14ac:dyDescent="0.35">
      <c r="A1178">
        <v>314420</v>
      </c>
      <c r="B1178">
        <v>3144201</v>
      </c>
      <c r="C1178" t="s">
        <v>127</v>
      </c>
      <c r="D1178">
        <v>2021</v>
      </c>
      <c r="E1178" s="7">
        <v>13172.63</v>
      </c>
      <c r="F1178" s="8">
        <v>14578.626871736133</v>
      </c>
      <c r="G1178" s="7">
        <v>11650.24</v>
      </c>
      <c r="H1178" s="7">
        <v>12893.746599751332</v>
      </c>
    </row>
    <row r="1179" spans="1:8" x14ac:dyDescent="0.35">
      <c r="A1179">
        <v>314420</v>
      </c>
      <c r="B1179">
        <v>3144201</v>
      </c>
      <c r="C1179" t="s">
        <v>127</v>
      </c>
      <c r="D1179">
        <v>2022</v>
      </c>
      <c r="E1179" s="7">
        <v>15605.02</v>
      </c>
      <c r="F1179" s="8">
        <v>16326.157624531017</v>
      </c>
      <c r="G1179" s="7">
        <v>19872.48</v>
      </c>
      <c r="H1179" s="7">
        <v>20790.822252000573</v>
      </c>
    </row>
    <row r="1180" spans="1:8" x14ac:dyDescent="0.35">
      <c r="A1180">
        <v>314420</v>
      </c>
      <c r="B1180">
        <v>3144201</v>
      </c>
      <c r="C1180" t="s">
        <v>127</v>
      </c>
      <c r="D1180">
        <v>2023</v>
      </c>
      <c r="E1180" s="7">
        <v>16580.88</v>
      </c>
      <c r="F1180" s="8">
        <v>16580.88</v>
      </c>
      <c r="G1180" s="7">
        <v>26834.48</v>
      </c>
      <c r="H1180" s="7">
        <v>26834.484842533599</v>
      </c>
    </row>
    <row r="1181" spans="1:8" x14ac:dyDescent="0.35">
      <c r="A1181">
        <v>314420</v>
      </c>
      <c r="B1181">
        <v>3144201</v>
      </c>
      <c r="C1181" t="s">
        <v>127</v>
      </c>
      <c r="D1181">
        <v>2024</v>
      </c>
      <c r="E1181" s="7">
        <v>19321.12</v>
      </c>
      <c r="F1181" s="8">
        <v>18430.696776621364</v>
      </c>
      <c r="G1181" s="7">
        <v>36167.99</v>
      </c>
      <c r="H1181" s="7">
        <v>34501.175075102889</v>
      </c>
    </row>
    <row r="1182" spans="1:8" x14ac:dyDescent="0.35">
      <c r="A1182">
        <v>314430</v>
      </c>
      <c r="B1182">
        <v>3144300</v>
      </c>
      <c r="C1182" t="s">
        <v>128</v>
      </c>
      <c r="D1182">
        <v>2015</v>
      </c>
      <c r="E1182" s="7">
        <v>7606.31</v>
      </c>
      <c r="F1182" s="8">
        <v>11466.201219562136</v>
      </c>
      <c r="G1182" s="7">
        <v>6815.83</v>
      </c>
      <c r="H1182" s="7">
        <v>10274.588669436709</v>
      </c>
    </row>
    <row r="1183" spans="1:8" x14ac:dyDescent="0.35">
      <c r="A1183">
        <v>314430</v>
      </c>
      <c r="B1183">
        <v>3144300</v>
      </c>
      <c r="C1183" t="s">
        <v>128</v>
      </c>
      <c r="D1183">
        <v>2016</v>
      </c>
      <c r="E1183" s="7">
        <v>6604.35</v>
      </c>
      <c r="F1183" s="8">
        <v>9366.8039710408957</v>
      </c>
      <c r="G1183" s="7">
        <v>7787.33</v>
      </c>
      <c r="H1183" s="7">
        <v>11044.595422305243</v>
      </c>
    </row>
    <row r="1184" spans="1:8" x14ac:dyDescent="0.35">
      <c r="A1184">
        <v>314430</v>
      </c>
      <c r="B1184">
        <v>3144300</v>
      </c>
      <c r="C1184" t="s">
        <v>128</v>
      </c>
      <c r="D1184">
        <v>2017</v>
      </c>
      <c r="E1184" s="7">
        <v>7193.35</v>
      </c>
      <c r="F1184" s="8">
        <v>9910.0779330046425</v>
      </c>
      <c r="G1184" s="7">
        <v>8369.9599999999991</v>
      </c>
      <c r="H1184" s="7">
        <v>11531.060812688551</v>
      </c>
    </row>
    <row r="1185" spans="1:8" x14ac:dyDescent="0.35">
      <c r="A1185">
        <v>314430</v>
      </c>
      <c r="B1185">
        <v>3144300</v>
      </c>
      <c r="C1185" t="s">
        <v>128</v>
      </c>
      <c r="D1185">
        <v>2018</v>
      </c>
      <c r="E1185" s="7">
        <v>6558.61</v>
      </c>
      <c r="F1185" s="8">
        <v>8709.3967887566396</v>
      </c>
      <c r="G1185" s="7">
        <v>8308.2999999999993</v>
      </c>
      <c r="H1185" s="7">
        <v>11032.86659057235</v>
      </c>
    </row>
    <row r="1186" spans="1:8" x14ac:dyDescent="0.35">
      <c r="A1186">
        <v>314430</v>
      </c>
      <c r="B1186">
        <v>3144300</v>
      </c>
      <c r="C1186" t="s">
        <v>128</v>
      </c>
      <c r="D1186">
        <v>2019</v>
      </c>
      <c r="E1186" s="7">
        <v>6793.61</v>
      </c>
      <c r="F1186" s="8">
        <v>8649.0211559043273</v>
      </c>
      <c r="G1186" s="7">
        <v>8235.73</v>
      </c>
      <c r="H1186" s="7">
        <v>10484.995656892608</v>
      </c>
    </row>
    <row r="1187" spans="1:8" x14ac:dyDescent="0.35">
      <c r="A1187">
        <v>314430</v>
      </c>
      <c r="B1187">
        <v>3144300</v>
      </c>
      <c r="C1187" t="s">
        <v>128</v>
      </c>
      <c r="D1187">
        <v>2020</v>
      </c>
      <c r="E1187" s="7">
        <v>8428.68</v>
      </c>
      <c r="F1187" s="8">
        <v>10266.846752520867</v>
      </c>
      <c r="G1187" s="7">
        <v>6516.01</v>
      </c>
      <c r="H1187" s="7">
        <v>7937.0497098619526</v>
      </c>
    </row>
    <row r="1188" spans="1:8" x14ac:dyDescent="0.35">
      <c r="A1188">
        <v>314430</v>
      </c>
      <c r="B1188">
        <v>3144300</v>
      </c>
      <c r="C1188" t="s">
        <v>128</v>
      </c>
      <c r="D1188">
        <v>2021</v>
      </c>
      <c r="E1188" s="7">
        <v>11565.56</v>
      </c>
      <c r="F1188" s="8">
        <v>12800.024277815177</v>
      </c>
      <c r="G1188" s="7">
        <v>8108.44</v>
      </c>
      <c r="H1188" s="7">
        <v>8973.9005643664041</v>
      </c>
    </row>
    <row r="1189" spans="1:8" x14ac:dyDescent="0.35">
      <c r="A1189">
        <v>314430</v>
      </c>
      <c r="B1189">
        <v>3144300</v>
      </c>
      <c r="C1189" t="s">
        <v>128</v>
      </c>
      <c r="D1189">
        <v>2022</v>
      </c>
      <c r="E1189" s="7">
        <v>13074.85</v>
      </c>
      <c r="F1189" s="8">
        <v>13679.06366137944</v>
      </c>
      <c r="G1189" s="7">
        <v>13172.54</v>
      </c>
      <c r="H1189" s="7">
        <v>13781.273234054615</v>
      </c>
    </row>
    <row r="1190" spans="1:8" x14ac:dyDescent="0.35">
      <c r="A1190">
        <v>314430</v>
      </c>
      <c r="B1190">
        <v>3144300</v>
      </c>
      <c r="C1190" t="s">
        <v>128</v>
      </c>
      <c r="D1190">
        <v>2023</v>
      </c>
      <c r="E1190" s="7">
        <v>18087.14</v>
      </c>
      <c r="F1190" s="8">
        <v>18087.14</v>
      </c>
      <c r="G1190" s="7">
        <v>19454.599999999999</v>
      </c>
      <c r="H1190" s="7">
        <v>19454.603815610095</v>
      </c>
    </row>
    <row r="1191" spans="1:8" x14ac:dyDescent="0.35">
      <c r="A1191">
        <v>314430</v>
      </c>
      <c r="B1191">
        <v>3144300</v>
      </c>
      <c r="C1191" t="s">
        <v>128</v>
      </c>
      <c r="D1191">
        <v>2024</v>
      </c>
      <c r="E1191" s="7">
        <v>18918.21</v>
      </c>
      <c r="F1191" s="8">
        <v>18046.355080163368</v>
      </c>
      <c r="G1191" s="7">
        <v>17498.740000000002</v>
      </c>
      <c r="H1191" s="7">
        <v>16692.299779343684</v>
      </c>
    </row>
    <row r="1192" spans="1:8" x14ac:dyDescent="0.35">
      <c r="A1192">
        <v>314435</v>
      </c>
      <c r="B1192">
        <v>3144359</v>
      </c>
      <c r="C1192" t="s">
        <v>129</v>
      </c>
      <c r="D1192">
        <v>2015</v>
      </c>
      <c r="E1192" s="7">
        <v>4709.0600000000004</v>
      </c>
      <c r="F1192" s="8">
        <v>7098.7153448901336</v>
      </c>
      <c r="G1192" s="7">
        <v>5251.92</v>
      </c>
      <c r="H1192" s="7">
        <v>7917.0599796228362</v>
      </c>
    </row>
    <row r="1193" spans="1:8" x14ac:dyDescent="0.35">
      <c r="A1193">
        <v>314435</v>
      </c>
      <c r="B1193">
        <v>3144359</v>
      </c>
      <c r="C1193" t="s">
        <v>129</v>
      </c>
      <c r="D1193">
        <v>2016</v>
      </c>
      <c r="E1193" s="7">
        <v>4397.49</v>
      </c>
      <c r="F1193" s="8">
        <v>6236.8630969910173</v>
      </c>
      <c r="G1193" s="7">
        <v>4998.37</v>
      </c>
      <c r="H1193" s="7">
        <v>7089.0757800587426</v>
      </c>
    </row>
    <row r="1194" spans="1:8" x14ac:dyDescent="0.35">
      <c r="A1194">
        <v>314435</v>
      </c>
      <c r="B1194">
        <v>3144359</v>
      </c>
      <c r="C1194" t="s">
        <v>129</v>
      </c>
      <c r="D1194">
        <v>2017</v>
      </c>
      <c r="E1194" s="7">
        <v>3903.87</v>
      </c>
      <c r="F1194" s="8">
        <v>5378.2529614600753</v>
      </c>
      <c r="G1194" s="7">
        <v>5087.16</v>
      </c>
      <c r="H1194" s="7">
        <v>7008.4424307771487</v>
      </c>
    </row>
    <row r="1195" spans="1:8" x14ac:dyDescent="0.35">
      <c r="A1195">
        <v>314435</v>
      </c>
      <c r="B1195">
        <v>3144359</v>
      </c>
      <c r="C1195" t="s">
        <v>129</v>
      </c>
      <c r="D1195">
        <v>2018</v>
      </c>
      <c r="E1195" s="7">
        <v>4828.03</v>
      </c>
      <c r="F1195" s="8">
        <v>6411.3019341019999</v>
      </c>
      <c r="G1195" s="7">
        <v>5518.34</v>
      </c>
      <c r="H1195" s="7">
        <v>7327.993179410224</v>
      </c>
    </row>
    <row r="1196" spans="1:8" x14ac:dyDescent="0.35">
      <c r="A1196">
        <v>314435</v>
      </c>
      <c r="B1196">
        <v>3144359</v>
      </c>
      <c r="C1196" t="s">
        <v>129</v>
      </c>
      <c r="D1196">
        <v>2019</v>
      </c>
      <c r="E1196" s="7">
        <v>5697.45</v>
      </c>
      <c r="F1196" s="8">
        <v>7253.4875544382312</v>
      </c>
      <c r="G1196" s="7">
        <v>7010.98</v>
      </c>
      <c r="H1196" s="7">
        <v>8925.7626665578937</v>
      </c>
    </row>
    <row r="1197" spans="1:8" x14ac:dyDescent="0.35">
      <c r="A1197">
        <v>314435</v>
      </c>
      <c r="B1197">
        <v>3144359</v>
      </c>
      <c r="C1197" t="s">
        <v>129</v>
      </c>
      <c r="D1197">
        <v>2020</v>
      </c>
      <c r="E1197" s="7">
        <v>5076.82</v>
      </c>
      <c r="F1197" s="8">
        <v>6183.9971300527459</v>
      </c>
      <c r="G1197" s="7">
        <v>7624.07</v>
      </c>
      <c r="H1197" s="7">
        <v>9286.7642015335132</v>
      </c>
    </row>
    <row r="1198" spans="1:8" x14ac:dyDescent="0.35">
      <c r="A1198">
        <v>314435</v>
      </c>
      <c r="B1198">
        <v>3144359</v>
      </c>
      <c r="C1198" t="s">
        <v>129</v>
      </c>
      <c r="D1198">
        <v>2021</v>
      </c>
      <c r="E1198" s="7">
        <v>9177.49</v>
      </c>
      <c r="F1198" s="8">
        <v>10157.060687887661</v>
      </c>
      <c r="G1198" s="7">
        <v>7271.66</v>
      </c>
      <c r="H1198" s="7">
        <v>8047.8054980143033</v>
      </c>
    </row>
    <row r="1199" spans="1:8" x14ac:dyDescent="0.35">
      <c r="A1199">
        <v>314435</v>
      </c>
      <c r="B1199">
        <v>3144359</v>
      </c>
      <c r="C1199" t="s">
        <v>129</v>
      </c>
      <c r="D1199">
        <v>2022</v>
      </c>
      <c r="E1199" s="7">
        <v>8966.99</v>
      </c>
      <c r="F1199" s="8">
        <v>9381.3716456366856</v>
      </c>
      <c r="G1199" s="7">
        <v>10201.469999999999</v>
      </c>
      <c r="H1199" s="7">
        <v>10672.898012108859</v>
      </c>
    </row>
    <row r="1200" spans="1:8" x14ac:dyDescent="0.35">
      <c r="A1200">
        <v>314435</v>
      </c>
      <c r="B1200">
        <v>3144359</v>
      </c>
      <c r="C1200" t="s">
        <v>129</v>
      </c>
      <c r="D1200">
        <v>2023</v>
      </c>
      <c r="E1200" s="7">
        <v>12570.89</v>
      </c>
      <c r="F1200" s="8">
        <v>12570.89</v>
      </c>
      <c r="G1200" s="7">
        <v>13318.4</v>
      </c>
      <c r="H1200" s="7">
        <v>13318.402289915966</v>
      </c>
    </row>
    <row r="1201" spans="1:8" x14ac:dyDescent="0.35">
      <c r="A1201">
        <v>314435</v>
      </c>
      <c r="B1201">
        <v>3144359</v>
      </c>
      <c r="C1201" t="s">
        <v>129</v>
      </c>
      <c r="D1201">
        <v>2024</v>
      </c>
      <c r="E1201" s="7">
        <v>14105.82</v>
      </c>
      <c r="F1201" s="8">
        <v>13455.746416646716</v>
      </c>
      <c r="G1201" s="7">
        <v>15618.87</v>
      </c>
      <c r="H1201" s="7">
        <v>14899.070531664456</v>
      </c>
    </row>
    <row r="1202" spans="1:8" x14ac:dyDescent="0.35">
      <c r="A1202">
        <v>314437</v>
      </c>
      <c r="B1202">
        <v>3144375</v>
      </c>
      <c r="C1202" t="s">
        <v>130</v>
      </c>
      <c r="D1202">
        <v>2015</v>
      </c>
      <c r="E1202" s="7">
        <v>5625.65</v>
      </c>
      <c r="F1202" s="8">
        <v>8480.4372804723607</v>
      </c>
      <c r="G1202" s="7">
        <v>5471.85</v>
      </c>
      <c r="H1202" s="7">
        <v>8248.5946481446936</v>
      </c>
    </row>
    <row r="1203" spans="1:8" x14ac:dyDescent="0.35">
      <c r="A1203">
        <v>314437</v>
      </c>
      <c r="B1203">
        <v>3144375</v>
      </c>
      <c r="C1203" t="s">
        <v>130</v>
      </c>
      <c r="D1203">
        <v>2016</v>
      </c>
      <c r="E1203" s="7">
        <v>6874.99</v>
      </c>
      <c r="F1203" s="8">
        <v>9750.6467150993576</v>
      </c>
      <c r="G1203" s="7">
        <v>7839.51</v>
      </c>
      <c r="H1203" s="7">
        <v>11118.600150072751</v>
      </c>
    </row>
    <row r="1204" spans="1:8" x14ac:dyDescent="0.35">
      <c r="A1204">
        <v>314437</v>
      </c>
      <c r="B1204">
        <v>3144375</v>
      </c>
      <c r="C1204" t="s">
        <v>130</v>
      </c>
      <c r="D1204">
        <v>2017</v>
      </c>
      <c r="E1204" s="7">
        <v>5865.33</v>
      </c>
      <c r="F1204" s="8">
        <v>8080.5017693828486</v>
      </c>
      <c r="G1204" s="7">
        <v>7119.75</v>
      </c>
      <c r="H1204" s="7">
        <v>9808.6857147662522</v>
      </c>
    </row>
    <row r="1205" spans="1:8" x14ac:dyDescent="0.35">
      <c r="A1205">
        <v>314437</v>
      </c>
      <c r="B1205">
        <v>3144375</v>
      </c>
      <c r="C1205" t="s">
        <v>130</v>
      </c>
      <c r="D1205">
        <v>2018</v>
      </c>
      <c r="E1205" s="7">
        <v>7561.61</v>
      </c>
      <c r="F1205" s="8">
        <v>10041.313914355342</v>
      </c>
      <c r="G1205" s="7">
        <v>7788.04</v>
      </c>
      <c r="H1205" s="7">
        <v>10341.997988237879</v>
      </c>
    </row>
    <row r="1206" spans="1:8" x14ac:dyDescent="0.35">
      <c r="A1206">
        <v>314437</v>
      </c>
      <c r="B1206">
        <v>3144375</v>
      </c>
      <c r="C1206" t="s">
        <v>130</v>
      </c>
      <c r="D1206">
        <v>2019</v>
      </c>
      <c r="E1206" s="7">
        <v>9719</v>
      </c>
      <c r="F1206" s="8">
        <v>12373.368005262912</v>
      </c>
      <c r="G1206" s="7">
        <v>8957.64</v>
      </c>
      <c r="H1206" s="7">
        <v>11404.071419106493</v>
      </c>
    </row>
    <row r="1207" spans="1:8" x14ac:dyDescent="0.35">
      <c r="A1207">
        <v>314437</v>
      </c>
      <c r="B1207">
        <v>3144375</v>
      </c>
      <c r="C1207" t="s">
        <v>130</v>
      </c>
      <c r="D1207">
        <v>2020</v>
      </c>
      <c r="E1207" s="7">
        <v>9245.85</v>
      </c>
      <c r="F1207" s="8">
        <v>11262.229085312891</v>
      </c>
      <c r="G1207" s="7">
        <v>8578.6200000000008</v>
      </c>
      <c r="H1207" s="7">
        <v>10449.490826421019</v>
      </c>
    </row>
    <row r="1208" spans="1:8" x14ac:dyDescent="0.35">
      <c r="A1208">
        <v>314437</v>
      </c>
      <c r="B1208">
        <v>3144375</v>
      </c>
      <c r="C1208" t="s">
        <v>130</v>
      </c>
      <c r="D1208">
        <v>2021</v>
      </c>
      <c r="E1208" s="7">
        <v>10286.18</v>
      </c>
      <c r="F1208" s="8">
        <v>11384.08807926092</v>
      </c>
      <c r="G1208" s="7">
        <v>7009.86</v>
      </c>
      <c r="H1208" s="7">
        <v>7758.0639582926378</v>
      </c>
    </row>
    <row r="1209" spans="1:8" x14ac:dyDescent="0.35">
      <c r="A1209">
        <v>314437</v>
      </c>
      <c r="B1209">
        <v>3144375</v>
      </c>
      <c r="C1209" t="s">
        <v>130</v>
      </c>
      <c r="D1209">
        <v>2022</v>
      </c>
      <c r="E1209" s="7">
        <v>12029.59</v>
      </c>
      <c r="F1209" s="8">
        <v>12585.500210732322</v>
      </c>
      <c r="G1209" s="7">
        <v>15764.66</v>
      </c>
      <c r="H1209" s="7">
        <v>16493.177627967736</v>
      </c>
    </row>
    <row r="1210" spans="1:8" x14ac:dyDescent="0.35">
      <c r="A1210">
        <v>314437</v>
      </c>
      <c r="B1210">
        <v>3144375</v>
      </c>
      <c r="C1210" t="s">
        <v>130</v>
      </c>
      <c r="D1210">
        <v>2023</v>
      </c>
      <c r="E1210" s="7">
        <v>17330.43</v>
      </c>
      <c r="F1210" s="8">
        <v>17330.43</v>
      </c>
      <c r="G1210" s="7">
        <v>19748.32</v>
      </c>
      <c r="H1210" s="7">
        <v>19748.324717909079</v>
      </c>
    </row>
    <row r="1211" spans="1:8" x14ac:dyDescent="0.35">
      <c r="A1211">
        <v>314437</v>
      </c>
      <c r="B1211">
        <v>3144375</v>
      </c>
      <c r="C1211" t="s">
        <v>130</v>
      </c>
      <c r="D1211">
        <v>2024</v>
      </c>
      <c r="E1211" s="7">
        <v>17121.55</v>
      </c>
      <c r="F1211" s="8">
        <v>16332.495031124568</v>
      </c>
      <c r="G1211" s="7">
        <v>15796.88</v>
      </c>
      <c r="H1211" s="7">
        <v>15068.875537309017</v>
      </c>
    </row>
    <row r="1212" spans="1:8" x14ac:dyDescent="0.35">
      <c r="A1212">
        <v>314465</v>
      </c>
      <c r="B1212">
        <v>3144656</v>
      </c>
      <c r="C1212" t="s">
        <v>131</v>
      </c>
      <c r="D1212">
        <v>2015</v>
      </c>
      <c r="E1212" s="7">
        <v>7470.09</v>
      </c>
      <c r="F1212" s="8">
        <v>11260.855141091924</v>
      </c>
      <c r="G1212" s="7">
        <v>7430.45</v>
      </c>
      <c r="H1212" s="7">
        <v>11201.10192072419</v>
      </c>
    </row>
    <row r="1213" spans="1:8" x14ac:dyDescent="0.35">
      <c r="A1213">
        <v>314465</v>
      </c>
      <c r="B1213">
        <v>3144656</v>
      </c>
      <c r="C1213" t="s">
        <v>131</v>
      </c>
      <c r="D1213">
        <v>2016</v>
      </c>
      <c r="E1213" s="7">
        <v>4635.4399999999996</v>
      </c>
      <c r="F1213" s="8">
        <v>6574.3423349037839</v>
      </c>
      <c r="G1213" s="7">
        <v>8317.2000000000007</v>
      </c>
      <c r="H1213" s="7">
        <v>11796.100306725562</v>
      </c>
    </row>
    <row r="1214" spans="1:8" x14ac:dyDescent="0.35">
      <c r="A1214">
        <v>314465</v>
      </c>
      <c r="B1214">
        <v>3144656</v>
      </c>
      <c r="C1214" t="s">
        <v>131</v>
      </c>
      <c r="D1214">
        <v>2017</v>
      </c>
      <c r="E1214" s="7">
        <v>5392.27</v>
      </c>
      <c r="F1214" s="8">
        <v>7428.7801838924761</v>
      </c>
      <c r="G1214" s="7">
        <v>7225.5</v>
      </c>
      <c r="H1214" s="7">
        <v>9954.3738778028528</v>
      </c>
    </row>
    <row r="1215" spans="1:8" x14ac:dyDescent="0.35">
      <c r="A1215">
        <v>314465</v>
      </c>
      <c r="B1215">
        <v>3144656</v>
      </c>
      <c r="C1215" t="s">
        <v>131</v>
      </c>
      <c r="D1215">
        <v>2018</v>
      </c>
      <c r="E1215" s="7">
        <v>7375.15</v>
      </c>
      <c r="F1215" s="8">
        <v>9793.7074664598949</v>
      </c>
      <c r="G1215" s="7">
        <v>8244.2000000000007</v>
      </c>
      <c r="H1215" s="7">
        <v>10947.746739358441</v>
      </c>
    </row>
    <row r="1216" spans="1:8" x14ac:dyDescent="0.35">
      <c r="A1216">
        <v>314465</v>
      </c>
      <c r="B1216">
        <v>3144656</v>
      </c>
      <c r="C1216" t="s">
        <v>131</v>
      </c>
      <c r="D1216">
        <v>2019</v>
      </c>
      <c r="E1216" s="7">
        <v>6719.34</v>
      </c>
      <c r="F1216" s="8">
        <v>8554.4671851510739</v>
      </c>
      <c r="G1216" s="7">
        <v>9586.1299999999992</v>
      </c>
      <c r="H1216" s="7">
        <v>12204.209353531698</v>
      </c>
    </row>
    <row r="1217" spans="1:8" x14ac:dyDescent="0.35">
      <c r="A1217">
        <v>314465</v>
      </c>
      <c r="B1217">
        <v>3144656</v>
      </c>
      <c r="C1217" t="s">
        <v>131</v>
      </c>
      <c r="D1217">
        <v>2020</v>
      </c>
      <c r="E1217" s="7">
        <v>9109.52</v>
      </c>
      <c r="F1217" s="8">
        <v>11096.16758840339</v>
      </c>
      <c r="G1217" s="7">
        <v>8427.14</v>
      </c>
      <c r="H1217" s="7">
        <v>10264.971437333628</v>
      </c>
    </row>
    <row r="1218" spans="1:8" x14ac:dyDescent="0.35">
      <c r="A1218">
        <v>314465</v>
      </c>
      <c r="B1218">
        <v>3144656</v>
      </c>
      <c r="C1218" t="s">
        <v>131</v>
      </c>
      <c r="D1218">
        <v>2021</v>
      </c>
      <c r="E1218" s="7">
        <v>6844.53</v>
      </c>
      <c r="F1218" s="8">
        <v>7575.0893316220154</v>
      </c>
      <c r="G1218" s="7">
        <v>10964.8</v>
      </c>
      <c r="H1218" s="7">
        <v>12135.138620975769</v>
      </c>
    </row>
    <row r="1219" spans="1:8" x14ac:dyDescent="0.35">
      <c r="A1219">
        <v>314465</v>
      </c>
      <c r="B1219">
        <v>3144656</v>
      </c>
      <c r="C1219" t="s">
        <v>131</v>
      </c>
      <c r="D1219">
        <v>2022</v>
      </c>
      <c r="E1219" s="7">
        <v>12667.86</v>
      </c>
      <c r="F1219" s="8">
        <v>13253.265880177758</v>
      </c>
      <c r="G1219" s="7">
        <v>13862.91</v>
      </c>
      <c r="H1219" s="7">
        <v>14503.546586395607</v>
      </c>
    </row>
    <row r="1220" spans="1:8" x14ac:dyDescent="0.35">
      <c r="A1220">
        <v>314465</v>
      </c>
      <c r="B1220">
        <v>3144656</v>
      </c>
      <c r="C1220" t="s">
        <v>131</v>
      </c>
      <c r="D1220">
        <v>2023</v>
      </c>
      <c r="E1220" s="7">
        <v>15638.72</v>
      </c>
      <c r="F1220" s="8">
        <v>15638.72</v>
      </c>
      <c r="G1220" s="7">
        <v>22078.04</v>
      </c>
      <c r="H1220" s="7">
        <v>22078.036720408123</v>
      </c>
    </row>
    <row r="1221" spans="1:8" x14ac:dyDescent="0.35">
      <c r="A1221">
        <v>314465</v>
      </c>
      <c r="B1221">
        <v>3144656</v>
      </c>
      <c r="C1221" t="s">
        <v>131</v>
      </c>
      <c r="D1221">
        <v>2024</v>
      </c>
      <c r="E1221" s="7">
        <v>12867.92</v>
      </c>
      <c r="F1221" s="8">
        <v>12274.895640926696</v>
      </c>
      <c r="G1221" s="7">
        <v>12550.14</v>
      </c>
      <c r="H1221" s="7">
        <v>11971.762683461217</v>
      </c>
    </row>
    <row r="1222" spans="1:8" x14ac:dyDescent="0.35">
      <c r="A1222">
        <v>314467</v>
      </c>
      <c r="B1222">
        <v>3144672</v>
      </c>
      <c r="C1222" t="s">
        <v>132</v>
      </c>
      <c r="D1222">
        <v>2015</v>
      </c>
      <c r="E1222" s="7">
        <v>8219.85</v>
      </c>
      <c r="F1222" s="8">
        <v>12391.087675182556</v>
      </c>
      <c r="G1222" s="7">
        <v>8053.91</v>
      </c>
      <c r="H1222" s="7">
        <v>12140.942143546246</v>
      </c>
    </row>
    <row r="1223" spans="1:8" x14ac:dyDescent="0.35">
      <c r="A1223">
        <v>314467</v>
      </c>
      <c r="B1223">
        <v>3144672</v>
      </c>
      <c r="C1223" t="s">
        <v>132</v>
      </c>
      <c r="D1223">
        <v>2016</v>
      </c>
      <c r="E1223" s="7">
        <v>6795.09</v>
      </c>
      <c r="F1223" s="8">
        <v>9637.3263069916466</v>
      </c>
      <c r="G1223" s="7">
        <v>9731.34</v>
      </c>
      <c r="H1223" s="7">
        <v>13801.739266310091</v>
      </c>
    </row>
    <row r="1224" spans="1:8" x14ac:dyDescent="0.35">
      <c r="A1224">
        <v>314467</v>
      </c>
      <c r="B1224">
        <v>3144672</v>
      </c>
      <c r="C1224" t="s">
        <v>132</v>
      </c>
      <c r="D1224">
        <v>2017</v>
      </c>
      <c r="E1224" s="7">
        <v>8563.11</v>
      </c>
      <c r="F1224" s="8">
        <v>11797.158132009617</v>
      </c>
      <c r="G1224" s="7">
        <v>10014.42</v>
      </c>
      <c r="H1224" s="7">
        <v>13796.587019351118</v>
      </c>
    </row>
    <row r="1225" spans="1:8" x14ac:dyDescent="0.35">
      <c r="A1225">
        <v>314467</v>
      </c>
      <c r="B1225">
        <v>3144672</v>
      </c>
      <c r="C1225" t="s">
        <v>132</v>
      </c>
      <c r="D1225">
        <v>2018</v>
      </c>
      <c r="E1225" s="7">
        <v>7178.6</v>
      </c>
      <c r="F1225" s="8">
        <v>9532.7021713089234</v>
      </c>
      <c r="G1225" s="7">
        <v>11527.37</v>
      </c>
      <c r="H1225" s="7">
        <v>15307.584027747389</v>
      </c>
    </row>
    <row r="1226" spans="1:8" x14ac:dyDescent="0.35">
      <c r="A1226">
        <v>314467</v>
      </c>
      <c r="B1226">
        <v>3144672</v>
      </c>
      <c r="C1226" t="s">
        <v>132</v>
      </c>
      <c r="D1226">
        <v>2019</v>
      </c>
      <c r="E1226" s="7">
        <v>10168.67</v>
      </c>
      <c r="F1226" s="8">
        <v>12945.847930247639</v>
      </c>
      <c r="G1226" s="7">
        <v>15105.78</v>
      </c>
      <c r="H1226" s="7">
        <v>19231.343557206179</v>
      </c>
    </row>
    <row r="1227" spans="1:8" x14ac:dyDescent="0.35">
      <c r="A1227">
        <v>314467</v>
      </c>
      <c r="B1227">
        <v>3144672</v>
      </c>
      <c r="C1227" t="s">
        <v>132</v>
      </c>
      <c r="D1227">
        <v>2020</v>
      </c>
      <c r="E1227" s="7">
        <v>9661.5499999999993</v>
      </c>
      <c r="F1227" s="8">
        <v>11768.586924858693</v>
      </c>
      <c r="G1227" s="7">
        <v>12197.54</v>
      </c>
      <c r="H1227" s="7">
        <v>14857.638948412308</v>
      </c>
    </row>
    <row r="1228" spans="1:8" x14ac:dyDescent="0.35">
      <c r="A1228">
        <v>314467</v>
      </c>
      <c r="B1228">
        <v>3144672</v>
      </c>
      <c r="C1228" t="s">
        <v>132</v>
      </c>
      <c r="D1228">
        <v>2021</v>
      </c>
      <c r="E1228" s="7">
        <v>17230.099999999999</v>
      </c>
      <c r="F1228" s="8">
        <v>19069.175924830557</v>
      </c>
      <c r="G1228" s="7">
        <v>20092.43</v>
      </c>
      <c r="H1228" s="7">
        <v>22237.01717105908</v>
      </c>
    </row>
    <row r="1229" spans="1:8" x14ac:dyDescent="0.35">
      <c r="A1229">
        <v>314467</v>
      </c>
      <c r="B1229">
        <v>3144672</v>
      </c>
      <c r="C1229" t="s">
        <v>132</v>
      </c>
      <c r="D1229">
        <v>2022</v>
      </c>
      <c r="E1229" s="7">
        <v>18036.5</v>
      </c>
      <c r="F1229" s="8">
        <v>18870.00093526658</v>
      </c>
      <c r="G1229" s="7">
        <v>28868.959999999999</v>
      </c>
      <c r="H1229" s="7">
        <v>30203.049417389633</v>
      </c>
    </row>
    <row r="1230" spans="1:8" x14ac:dyDescent="0.35">
      <c r="A1230">
        <v>314467</v>
      </c>
      <c r="B1230">
        <v>3144672</v>
      </c>
      <c r="C1230" t="s">
        <v>132</v>
      </c>
      <c r="D1230">
        <v>2023</v>
      </c>
      <c r="E1230" s="7">
        <v>16191.72</v>
      </c>
      <c r="F1230" s="8">
        <v>16191.72</v>
      </c>
      <c r="G1230" s="7">
        <v>41288.1</v>
      </c>
      <c r="H1230" s="7">
        <v>41288.101697557999</v>
      </c>
    </row>
    <row r="1231" spans="1:8" x14ac:dyDescent="0.35">
      <c r="A1231">
        <v>314467</v>
      </c>
      <c r="B1231">
        <v>3144672</v>
      </c>
      <c r="C1231" t="s">
        <v>132</v>
      </c>
      <c r="D1231">
        <v>2024</v>
      </c>
      <c r="E1231" s="7">
        <v>14916.87</v>
      </c>
      <c r="F1231" s="8">
        <v>14229.418782466026</v>
      </c>
      <c r="G1231" s="7">
        <v>37149.019999999997</v>
      </c>
      <c r="H1231" s="7">
        <v>35436.986899623051</v>
      </c>
    </row>
    <row r="1232" spans="1:8" x14ac:dyDescent="0.35">
      <c r="A1232">
        <v>314505</v>
      </c>
      <c r="B1232">
        <v>3145059</v>
      </c>
      <c r="C1232" t="s">
        <v>133</v>
      </c>
      <c r="D1232">
        <v>2015</v>
      </c>
      <c r="E1232" s="7">
        <v>8552.2800000000007</v>
      </c>
      <c r="F1232" s="8">
        <v>12892.21230347394</v>
      </c>
      <c r="G1232" s="7">
        <v>8949.6299999999992</v>
      </c>
      <c r="H1232" s="7">
        <v>13491.195418368943</v>
      </c>
    </row>
    <row r="1233" spans="1:8" x14ac:dyDescent="0.35">
      <c r="A1233">
        <v>314505</v>
      </c>
      <c r="B1233">
        <v>3145059</v>
      </c>
      <c r="C1233" t="s">
        <v>133</v>
      </c>
      <c r="D1233">
        <v>2016</v>
      </c>
      <c r="E1233" s="7">
        <v>7766.9</v>
      </c>
      <c r="F1233" s="8">
        <v>11015.623000397847</v>
      </c>
      <c r="G1233" s="7">
        <v>11092.85</v>
      </c>
      <c r="H1233" s="7">
        <v>15732.739674756285</v>
      </c>
    </row>
    <row r="1234" spans="1:8" x14ac:dyDescent="0.35">
      <c r="A1234">
        <v>314505</v>
      </c>
      <c r="B1234">
        <v>3145059</v>
      </c>
      <c r="C1234" t="s">
        <v>133</v>
      </c>
      <c r="D1234">
        <v>2017</v>
      </c>
      <c r="E1234" s="7">
        <v>8752.16</v>
      </c>
      <c r="F1234" s="8">
        <v>12057.607051252324</v>
      </c>
      <c r="G1234" s="7">
        <v>10347.42</v>
      </c>
      <c r="H1234" s="7">
        <v>14255.355233214013</v>
      </c>
    </row>
    <row r="1235" spans="1:8" x14ac:dyDescent="0.35">
      <c r="A1235">
        <v>314505</v>
      </c>
      <c r="B1235">
        <v>3145059</v>
      </c>
      <c r="C1235" t="s">
        <v>133</v>
      </c>
      <c r="D1235">
        <v>2018</v>
      </c>
      <c r="E1235" s="7">
        <v>7769.88</v>
      </c>
      <c r="F1235" s="8">
        <v>10317.882588082603</v>
      </c>
      <c r="G1235" s="7">
        <v>9778.31</v>
      </c>
      <c r="H1235" s="7">
        <v>12984.946025519936</v>
      </c>
    </row>
    <row r="1236" spans="1:8" x14ac:dyDescent="0.35">
      <c r="A1236">
        <v>314505</v>
      </c>
      <c r="B1236">
        <v>3145059</v>
      </c>
      <c r="C1236" t="s">
        <v>133</v>
      </c>
      <c r="D1236">
        <v>2019</v>
      </c>
      <c r="E1236" s="7">
        <v>9131.85</v>
      </c>
      <c r="F1236" s="8">
        <v>11625.860748930972</v>
      </c>
      <c r="G1236" s="7">
        <v>10374.48</v>
      </c>
      <c r="H1236" s="7">
        <v>13207.866992631552</v>
      </c>
    </row>
    <row r="1237" spans="1:8" x14ac:dyDescent="0.35">
      <c r="A1237">
        <v>314505</v>
      </c>
      <c r="B1237">
        <v>3145059</v>
      </c>
      <c r="C1237" t="s">
        <v>133</v>
      </c>
      <c r="D1237">
        <v>2020</v>
      </c>
      <c r="E1237" s="7">
        <v>10077.52</v>
      </c>
      <c r="F1237" s="8">
        <v>12275.273647292825</v>
      </c>
      <c r="G1237" s="7">
        <v>10868.65</v>
      </c>
      <c r="H1237" s="7">
        <v>13238.934325618276</v>
      </c>
    </row>
    <row r="1238" spans="1:8" x14ac:dyDescent="0.35">
      <c r="A1238">
        <v>314505</v>
      </c>
      <c r="B1238">
        <v>3145059</v>
      </c>
      <c r="C1238" t="s">
        <v>133</v>
      </c>
      <c r="D1238">
        <v>2021</v>
      </c>
      <c r="E1238" s="7">
        <v>11535.87</v>
      </c>
      <c r="F1238" s="8">
        <v>12767.165279132163</v>
      </c>
      <c r="G1238" s="7">
        <v>11920.11</v>
      </c>
      <c r="H1238" s="7">
        <v>13192.422288754888</v>
      </c>
    </row>
    <row r="1239" spans="1:8" x14ac:dyDescent="0.35">
      <c r="A1239">
        <v>314505</v>
      </c>
      <c r="B1239">
        <v>3145059</v>
      </c>
      <c r="C1239" t="s">
        <v>133</v>
      </c>
      <c r="D1239">
        <v>2022</v>
      </c>
      <c r="E1239" s="7">
        <v>10922.67</v>
      </c>
      <c r="F1239" s="8">
        <v>11427.427334328069</v>
      </c>
      <c r="G1239" s="7">
        <v>15144.94</v>
      </c>
      <c r="H1239" s="7">
        <v>15844.818916721877</v>
      </c>
    </row>
    <row r="1240" spans="1:8" x14ac:dyDescent="0.35">
      <c r="A1240">
        <v>314505</v>
      </c>
      <c r="B1240">
        <v>3145059</v>
      </c>
      <c r="C1240" t="s">
        <v>133</v>
      </c>
      <c r="D1240">
        <v>2023</v>
      </c>
      <c r="E1240" s="7">
        <v>15846.85</v>
      </c>
      <c r="F1240" s="8">
        <v>15846.85</v>
      </c>
      <c r="G1240" s="7">
        <v>19341.55</v>
      </c>
      <c r="H1240" s="7">
        <v>19341.547197876371</v>
      </c>
    </row>
    <row r="1241" spans="1:8" x14ac:dyDescent="0.35">
      <c r="A1241">
        <v>314505</v>
      </c>
      <c r="B1241">
        <v>3145059</v>
      </c>
      <c r="C1241" t="s">
        <v>133</v>
      </c>
      <c r="D1241">
        <v>2024</v>
      </c>
      <c r="E1241" s="7">
        <v>13242.14</v>
      </c>
      <c r="F1241" s="8">
        <v>12631.869530004929</v>
      </c>
      <c r="G1241" s="7">
        <v>18796.61</v>
      </c>
      <c r="H1241" s="7">
        <v>17930.35839404833</v>
      </c>
    </row>
    <row r="1242" spans="1:8" x14ac:dyDescent="0.35">
      <c r="A1242">
        <v>314535</v>
      </c>
      <c r="B1242">
        <v>3145356</v>
      </c>
      <c r="C1242" t="s">
        <v>134</v>
      </c>
      <c r="D1242">
        <v>2015</v>
      </c>
      <c r="E1242" s="7">
        <v>5740.98</v>
      </c>
      <c r="F1242" s="8">
        <v>8654.292538363783</v>
      </c>
      <c r="G1242" s="7">
        <v>6605.57</v>
      </c>
      <c r="H1242" s="7">
        <v>9957.6332513511697</v>
      </c>
    </row>
    <row r="1243" spans="1:8" x14ac:dyDescent="0.35">
      <c r="A1243">
        <v>314535</v>
      </c>
      <c r="B1243">
        <v>3145356</v>
      </c>
      <c r="C1243" t="s">
        <v>134</v>
      </c>
      <c r="D1243">
        <v>2016</v>
      </c>
      <c r="E1243" s="7">
        <v>7008.69</v>
      </c>
      <c r="F1243" s="8">
        <v>9940.2704768515614</v>
      </c>
      <c r="G1243" s="7">
        <v>7280.33</v>
      </c>
      <c r="H1243" s="7">
        <v>10325.527213021929</v>
      </c>
    </row>
    <row r="1244" spans="1:8" x14ac:dyDescent="0.35">
      <c r="A1244">
        <v>314535</v>
      </c>
      <c r="B1244">
        <v>3145356</v>
      </c>
      <c r="C1244" t="s">
        <v>134</v>
      </c>
      <c r="D1244">
        <v>2017</v>
      </c>
      <c r="E1244" s="7">
        <v>6289.39</v>
      </c>
      <c r="F1244" s="8">
        <v>8664.7174197084896</v>
      </c>
      <c r="G1244" s="7">
        <v>7772.2</v>
      </c>
      <c r="H1244" s="7">
        <v>10707.547000349887</v>
      </c>
    </row>
    <row r="1245" spans="1:8" x14ac:dyDescent="0.35">
      <c r="A1245">
        <v>314535</v>
      </c>
      <c r="B1245">
        <v>3145356</v>
      </c>
      <c r="C1245" t="s">
        <v>134</v>
      </c>
      <c r="D1245">
        <v>2018</v>
      </c>
      <c r="E1245" s="7">
        <v>6021.51</v>
      </c>
      <c r="F1245" s="8">
        <v>7996.1637995651508</v>
      </c>
      <c r="G1245" s="7">
        <v>7749.26</v>
      </c>
      <c r="H1245" s="7">
        <v>10290.501147135365</v>
      </c>
    </row>
    <row r="1246" spans="1:8" x14ac:dyDescent="0.35">
      <c r="A1246">
        <v>314535</v>
      </c>
      <c r="B1246">
        <v>3145356</v>
      </c>
      <c r="C1246" t="s">
        <v>134</v>
      </c>
      <c r="D1246">
        <v>2019</v>
      </c>
      <c r="E1246" s="7">
        <v>10109.68</v>
      </c>
      <c r="F1246" s="8">
        <v>12870.747099027301</v>
      </c>
      <c r="G1246" s="7">
        <v>9127.39</v>
      </c>
      <c r="H1246" s="7">
        <v>11620.186719786341</v>
      </c>
    </row>
    <row r="1247" spans="1:8" x14ac:dyDescent="0.35">
      <c r="A1247">
        <v>314535</v>
      </c>
      <c r="B1247">
        <v>3145356</v>
      </c>
      <c r="C1247" t="s">
        <v>134</v>
      </c>
      <c r="D1247">
        <v>2020</v>
      </c>
      <c r="E1247" s="7">
        <v>11465.3</v>
      </c>
      <c r="F1247" s="8">
        <v>13965.707331596108</v>
      </c>
      <c r="G1247" s="7">
        <v>9284.33</v>
      </c>
      <c r="H1247" s="7">
        <v>11309.09907256113</v>
      </c>
    </row>
    <row r="1248" spans="1:8" x14ac:dyDescent="0.35">
      <c r="A1248">
        <v>314535</v>
      </c>
      <c r="B1248">
        <v>3145356</v>
      </c>
      <c r="C1248" t="s">
        <v>134</v>
      </c>
      <c r="D1248">
        <v>2021</v>
      </c>
      <c r="E1248" s="7">
        <v>12274.2</v>
      </c>
      <c r="F1248" s="8">
        <v>13584.301840184053</v>
      </c>
      <c r="G1248" s="7">
        <v>11613.71</v>
      </c>
      <c r="H1248" s="7">
        <v>12853.319095672347</v>
      </c>
    </row>
    <row r="1249" spans="1:8" x14ac:dyDescent="0.35">
      <c r="A1249">
        <v>314535</v>
      </c>
      <c r="B1249">
        <v>3145356</v>
      </c>
      <c r="C1249" t="s">
        <v>134</v>
      </c>
      <c r="D1249">
        <v>2022</v>
      </c>
      <c r="E1249" s="7">
        <v>13050.29</v>
      </c>
      <c r="F1249" s="8">
        <v>13653.368697114192</v>
      </c>
      <c r="G1249" s="7">
        <v>13808.15</v>
      </c>
      <c r="H1249" s="7">
        <v>14446.250037367676</v>
      </c>
    </row>
    <row r="1250" spans="1:8" x14ac:dyDescent="0.35">
      <c r="A1250">
        <v>314535</v>
      </c>
      <c r="B1250">
        <v>3145356</v>
      </c>
      <c r="C1250" t="s">
        <v>134</v>
      </c>
      <c r="D1250">
        <v>2023</v>
      </c>
      <c r="E1250" s="7">
        <v>18282.73</v>
      </c>
      <c r="F1250" s="8">
        <v>18282.73</v>
      </c>
      <c r="G1250" s="7">
        <v>19787.38</v>
      </c>
      <c r="H1250" s="7">
        <v>19787.380343580469</v>
      </c>
    </row>
    <row r="1251" spans="1:8" x14ac:dyDescent="0.35">
      <c r="A1251">
        <v>314535</v>
      </c>
      <c r="B1251">
        <v>3145356</v>
      </c>
      <c r="C1251" t="s">
        <v>134</v>
      </c>
      <c r="D1251">
        <v>2024</v>
      </c>
      <c r="E1251" s="7">
        <v>19144.5</v>
      </c>
      <c r="F1251" s="8">
        <v>18262.216395324274</v>
      </c>
      <c r="G1251" s="7">
        <v>27462.77</v>
      </c>
      <c r="H1251" s="7">
        <v>26197.139336548062</v>
      </c>
    </row>
    <row r="1252" spans="1:8" x14ac:dyDescent="0.35">
      <c r="A1252">
        <v>314537</v>
      </c>
      <c r="B1252">
        <v>3145372</v>
      </c>
      <c r="C1252" t="s">
        <v>135</v>
      </c>
      <c r="D1252">
        <v>2015</v>
      </c>
      <c r="E1252" s="7">
        <v>7444.12</v>
      </c>
      <c r="F1252" s="8">
        <v>11221.706428290048</v>
      </c>
      <c r="G1252" s="7">
        <v>6707.41</v>
      </c>
      <c r="H1252" s="7">
        <v>10111.14547129202</v>
      </c>
    </row>
    <row r="1253" spans="1:8" x14ac:dyDescent="0.35">
      <c r="A1253">
        <v>314537</v>
      </c>
      <c r="B1253">
        <v>3145372</v>
      </c>
      <c r="C1253" t="s">
        <v>135</v>
      </c>
      <c r="D1253">
        <v>2016</v>
      </c>
      <c r="E1253" s="7">
        <v>5713.42</v>
      </c>
      <c r="F1253" s="8">
        <v>8103.2175981322116</v>
      </c>
      <c r="G1253" s="7">
        <v>7411.25</v>
      </c>
      <c r="H1253" s="7">
        <v>10511.206811014737</v>
      </c>
    </row>
    <row r="1254" spans="1:8" x14ac:dyDescent="0.35">
      <c r="A1254">
        <v>314537</v>
      </c>
      <c r="B1254">
        <v>3145372</v>
      </c>
      <c r="C1254" t="s">
        <v>135</v>
      </c>
      <c r="D1254">
        <v>2017</v>
      </c>
      <c r="E1254" s="7">
        <v>5502.16</v>
      </c>
      <c r="F1254" s="8">
        <v>7580.1725760404843</v>
      </c>
      <c r="G1254" s="7">
        <v>7342.64</v>
      </c>
      <c r="H1254" s="7">
        <v>10115.754149349246</v>
      </c>
    </row>
    <row r="1255" spans="1:8" x14ac:dyDescent="0.35">
      <c r="A1255">
        <v>314537</v>
      </c>
      <c r="B1255">
        <v>3145372</v>
      </c>
      <c r="C1255" t="s">
        <v>135</v>
      </c>
      <c r="D1255">
        <v>2018</v>
      </c>
      <c r="E1255" s="7">
        <v>6154.16</v>
      </c>
      <c r="F1255" s="8">
        <v>8172.3141552088873</v>
      </c>
      <c r="G1255" s="7">
        <v>7513.27</v>
      </c>
      <c r="H1255" s="7">
        <v>9977.1185804482448</v>
      </c>
    </row>
    <row r="1256" spans="1:8" x14ac:dyDescent="0.35">
      <c r="A1256">
        <v>314537</v>
      </c>
      <c r="B1256">
        <v>3145372</v>
      </c>
      <c r="C1256" t="s">
        <v>135</v>
      </c>
      <c r="D1256">
        <v>2019</v>
      </c>
      <c r="E1256" s="7">
        <v>6107.26</v>
      </c>
      <c r="F1256" s="8">
        <v>7775.221265955548</v>
      </c>
      <c r="G1256" s="7">
        <v>7572.84</v>
      </c>
      <c r="H1256" s="7">
        <v>9641.0713377302509</v>
      </c>
    </row>
    <row r="1257" spans="1:8" x14ac:dyDescent="0.35">
      <c r="A1257">
        <v>314537</v>
      </c>
      <c r="B1257">
        <v>3145372</v>
      </c>
      <c r="C1257" t="s">
        <v>135</v>
      </c>
      <c r="D1257">
        <v>2020</v>
      </c>
      <c r="E1257" s="7">
        <v>6632</v>
      </c>
      <c r="F1257" s="8">
        <v>8078.3382051185217</v>
      </c>
      <c r="G1257" s="7">
        <v>6769.77</v>
      </c>
      <c r="H1257" s="7">
        <v>8246.1518677882596</v>
      </c>
    </row>
    <row r="1258" spans="1:8" x14ac:dyDescent="0.35">
      <c r="A1258">
        <v>314537</v>
      </c>
      <c r="B1258">
        <v>3145372</v>
      </c>
      <c r="C1258" t="s">
        <v>135</v>
      </c>
      <c r="D1258">
        <v>2021</v>
      </c>
      <c r="E1258" s="7">
        <v>9553.27</v>
      </c>
      <c r="F1258" s="8">
        <v>10572.950028578245</v>
      </c>
      <c r="G1258" s="7">
        <v>10044.23</v>
      </c>
      <c r="H1258" s="7">
        <v>11116.315272807893</v>
      </c>
    </row>
    <row r="1259" spans="1:8" x14ac:dyDescent="0.35">
      <c r="A1259">
        <v>314537</v>
      </c>
      <c r="B1259">
        <v>3145372</v>
      </c>
      <c r="C1259" t="s">
        <v>135</v>
      </c>
      <c r="D1259">
        <v>2022</v>
      </c>
      <c r="E1259" s="7">
        <v>11851.27</v>
      </c>
      <c r="F1259" s="8">
        <v>12398.93970471526</v>
      </c>
      <c r="G1259" s="7">
        <v>16479.73</v>
      </c>
      <c r="H1259" s="7">
        <v>17241.290069870713</v>
      </c>
    </row>
    <row r="1260" spans="1:8" x14ac:dyDescent="0.35">
      <c r="A1260">
        <v>314537</v>
      </c>
      <c r="B1260">
        <v>3145372</v>
      </c>
      <c r="C1260" t="s">
        <v>135</v>
      </c>
      <c r="D1260">
        <v>2023</v>
      </c>
      <c r="E1260" s="7">
        <v>12311.52</v>
      </c>
      <c r="F1260" s="8">
        <v>12311.52</v>
      </c>
      <c r="G1260" s="7">
        <v>16394.34</v>
      </c>
      <c r="H1260" s="7">
        <v>16394.335640408593</v>
      </c>
    </row>
    <row r="1261" spans="1:8" x14ac:dyDescent="0.35">
      <c r="A1261">
        <v>314537</v>
      </c>
      <c r="B1261">
        <v>3145372</v>
      </c>
      <c r="C1261" t="s">
        <v>135</v>
      </c>
      <c r="D1261">
        <v>2024</v>
      </c>
      <c r="E1261" s="7">
        <v>10978.46</v>
      </c>
      <c r="F1261" s="8">
        <v>10472.512325075699</v>
      </c>
      <c r="G1261" s="7">
        <v>11941.35</v>
      </c>
      <c r="H1261" s="7">
        <v>11391.024272363615</v>
      </c>
    </row>
    <row r="1262" spans="1:8" x14ac:dyDescent="0.35">
      <c r="A1262">
        <v>314545</v>
      </c>
      <c r="B1262">
        <v>3145455</v>
      </c>
      <c r="C1262" t="s">
        <v>136</v>
      </c>
      <c r="D1262">
        <v>2015</v>
      </c>
      <c r="E1262" s="7">
        <v>7298.27</v>
      </c>
      <c r="F1262" s="8">
        <v>11001.843518696156</v>
      </c>
      <c r="G1262" s="7">
        <v>8041.81</v>
      </c>
      <c r="H1262" s="7">
        <v>12122.692514931759</v>
      </c>
    </row>
    <row r="1263" spans="1:8" x14ac:dyDescent="0.35">
      <c r="A1263">
        <v>314545</v>
      </c>
      <c r="B1263">
        <v>3145455</v>
      </c>
      <c r="C1263" t="s">
        <v>136</v>
      </c>
      <c r="D1263">
        <v>2016</v>
      </c>
      <c r="E1263" s="7">
        <v>7183.41</v>
      </c>
      <c r="F1263" s="8">
        <v>10188.072000062819</v>
      </c>
      <c r="G1263" s="7">
        <v>8472.43</v>
      </c>
      <c r="H1263" s="7">
        <v>12016.267018321867</v>
      </c>
    </row>
    <row r="1264" spans="1:8" x14ac:dyDescent="0.35">
      <c r="A1264">
        <v>314545</v>
      </c>
      <c r="B1264">
        <v>3145455</v>
      </c>
      <c r="C1264" t="s">
        <v>136</v>
      </c>
      <c r="D1264">
        <v>2017</v>
      </c>
      <c r="E1264" s="7">
        <v>7472.22</v>
      </c>
      <c r="F1264" s="8">
        <v>10294.269364420743</v>
      </c>
      <c r="G1264" s="7">
        <v>9471.2099999999991</v>
      </c>
      <c r="H1264" s="7">
        <v>13048.22854282158</v>
      </c>
    </row>
    <row r="1265" spans="1:8" x14ac:dyDescent="0.35">
      <c r="A1265">
        <v>314545</v>
      </c>
      <c r="B1265">
        <v>3145455</v>
      </c>
      <c r="C1265" t="s">
        <v>136</v>
      </c>
      <c r="D1265">
        <v>2018</v>
      </c>
      <c r="E1265" s="7">
        <v>7771.36</v>
      </c>
      <c r="F1265" s="8">
        <v>10319.847929404523</v>
      </c>
      <c r="G1265" s="7">
        <v>9613.1299999999992</v>
      </c>
      <c r="H1265" s="7">
        <v>12765.595133671603</v>
      </c>
    </row>
    <row r="1266" spans="1:8" x14ac:dyDescent="0.35">
      <c r="A1266">
        <v>314545</v>
      </c>
      <c r="B1266">
        <v>3145455</v>
      </c>
      <c r="C1266" t="s">
        <v>136</v>
      </c>
      <c r="D1266">
        <v>2019</v>
      </c>
      <c r="E1266" s="7">
        <v>7822.52</v>
      </c>
      <c r="F1266" s="8">
        <v>9958.9380274235245</v>
      </c>
      <c r="G1266" s="7">
        <v>10873.99</v>
      </c>
      <c r="H1266" s="7">
        <v>13843.801950152332</v>
      </c>
    </row>
    <row r="1267" spans="1:8" x14ac:dyDescent="0.35">
      <c r="A1267">
        <v>314545</v>
      </c>
      <c r="B1267">
        <v>3145455</v>
      </c>
      <c r="C1267" t="s">
        <v>136</v>
      </c>
      <c r="D1267">
        <v>2020</v>
      </c>
      <c r="E1267" s="7">
        <v>9652.7900000000009</v>
      </c>
      <c r="F1267" s="8">
        <v>11757.916502259653</v>
      </c>
      <c r="G1267" s="7">
        <v>9763.7000000000007</v>
      </c>
      <c r="H1267" s="7">
        <v>11893.015008834711</v>
      </c>
    </row>
    <row r="1268" spans="1:8" x14ac:dyDescent="0.35">
      <c r="A1268">
        <v>314545</v>
      </c>
      <c r="B1268">
        <v>3145455</v>
      </c>
      <c r="C1268" t="s">
        <v>136</v>
      </c>
      <c r="D1268">
        <v>2021</v>
      </c>
      <c r="E1268" s="7">
        <v>9494.02</v>
      </c>
      <c r="F1268" s="8">
        <v>10507.375906922178</v>
      </c>
      <c r="G1268" s="7">
        <v>9900.94</v>
      </c>
      <c r="H1268" s="7">
        <v>10957.729134547117</v>
      </c>
    </row>
    <row r="1269" spans="1:8" x14ac:dyDescent="0.35">
      <c r="A1269">
        <v>314545</v>
      </c>
      <c r="B1269">
        <v>3145455</v>
      </c>
      <c r="C1269" t="s">
        <v>136</v>
      </c>
      <c r="D1269">
        <v>2022</v>
      </c>
      <c r="E1269" s="7">
        <v>13516.26</v>
      </c>
      <c r="F1269" s="8">
        <v>14140.872056180871</v>
      </c>
      <c r="G1269" s="7">
        <v>23730.83</v>
      </c>
      <c r="H1269" s="7">
        <v>24827.473338744723</v>
      </c>
    </row>
    <row r="1270" spans="1:8" x14ac:dyDescent="0.35">
      <c r="A1270">
        <v>314545</v>
      </c>
      <c r="B1270">
        <v>3145455</v>
      </c>
      <c r="C1270" t="s">
        <v>136</v>
      </c>
      <c r="D1270">
        <v>2023</v>
      </c>
      <c r="E1270" s="7">
        <v>16773.8</v>
      </c>
      <c r="F1270" s="8">
        <v>16773.8</v>
      </c>
      <c r="G1270" s="7">
        <v>21822.03</v>
      </c>
      <c r="H1270" s="7">
        <v>21822.033414692665</v>
      </c>
    </row>
    <row r="1271" spans="1:8" x14ac:dyDescent="0.35">
      <c r="A1271">
        <v>314545</v>
      </c>
      <c r="B1271">
        <v>3145455</v>
      </c>
      <c r="C1271" t="s">
        <v>136</v>
      </c>
      <c r="D1271">
        <v>2024</v>
      </c>
      <c r="E1271" s="7">
        <v>17815.75</v>
      </c>
      <c r="F1271" s="8">
        <v>16994.70248609253</v>
      </c>
      <c r="G1271" s="7">
        <v>22354.01</v>
      </c>
      <c r="H1271" s="7">
        <v>21323.814500966786</v>
      </c>
    </row>
    <row r="1272" spans="1:8" x14ac:dyDescent="0.35">
      <c r="A1272">
        <v>314630</v>
      </c>
      <c r="B1272">
        <v>3146305</v>
      </c>
      <c r="C1272" t="s">
        <v>137</v>
      </c>
      <c r="D1272">
        <v>2015</v>
      </c>
      <c r="E1272" s="7">
        <v>4412.83</v>
      </c>
      <c r="F1272" s="8">
        <v>6652.1607359837262</v>
      </c>
      <c r="G1272" s="7">
        <v>5167.9399999999996</v>
      </c>
      <c r="H1272" s="7">
        <v>7790.4572123548232</v>
      </c>
    </row>
    <row r="1273" spans="1:8" x14ac:dyDescent="0.35">
      <c r="A1273">
        <v>314630</v>
      </c>
      <c r="B1273">
        <v>3146305</v>
      </c>
      <c r="C1273" t="s">
        <v>137</v>
      </c>
      <c r="D1273">
        <v>2016</v>
      </c>
      <c r="E1273" s="7">
        <v>5831.31</v>
      </c>
      <c r="F1273" s="8">
        <v>8270.4183855141673</v>
      </c>
      <c r="G1273" s="7">
        <v>6383.68</v>
      </c>
      <c r="H1273" s="7">
        <v>9053.8369459207061</v>
      </c>
    </row>
    <row r="1274" spans="1:8" x14ac:dyDescent="0.35">
      <c r="A1274">
        <v>314630</v>
      </c>
      <c r="B1274">
        <v>3146305</v>
      </c>
      <c r="C1274" t="s">
        <v>137</v>
      </c>
      <c r="D1274">
        <v>2017</v>
      </c>
      <c r="E1274" s="7">
        <v>6433.71</v>
      </c>
      <c r="F1274" s="8">
        <v>8863.5430638508205</v>
      </c>
      <c r="G1274" s="7">
        <v>6336.72</v>
      </c>
      <c r="H1274" s="7">
        <v>8729.9228509245131</v>
      </c>
    </row>
    <row r="1275" spans="1:8" x14ac:dyDescent="0.35">
      <c r="A1275">
        <v>314630</v>
      </c>
      <c r="B1275">
        <v>3146305</v>
      </c>
      <c r="C1275" t="s">
        <v>137</v>
      </c>
      <c r="D1275">
        <v>2018</v>
      </c>
      <c r="E1275" s="7">
        <v>5126.87</v>
      </c>
      <c r="F1275" s="8">
        <v>6808.1415291308303</v>
      </c>
      <c r="G1275" s="7">
        <v>6146.45</v>
      </c>
      <c r="H1275" s="7">
        <v>8162.0802221007116</v>
      </c>
    </row>
    <row r="1276" spans="1:8" x14ac:dyDescent="0.35">
      <c r="A1276">
        <v>314630</v>
      </c>
      <c r="B1276">
        <v>3146305</v>
      </c>
      <c r="C1276" t="s">
        <v>137</v>
      </c>
      <c r="D1276">
        <v>2019</v>
      </c>
      <c r="E1276" s="7">
        <v>7251.12</v>
      </c>
      <c r="F1276" s="8">
        <v>9231.4822729007101</v>
      </c>
      <c r="G1276" s="7">
        <v>8231.42</v>
      </c>
      <c r="H1276" s="7">
        <v>10479.507775438211</v>
      </c>
    </row>
    <row r="1277" spans="1:8" x14ac:dyDescent="0.35">
      <c r="A1277">
        <v>314630</v>
      </c>
      <c r="B1277">
        <v>3146305</v>
      </c>
      <c r="C1277" t="s">
        <v>137</v>
      </c>
      <c r="D1277">
        <v>2020</v>
      </c>
      <c r="E1277" s="7">
        <v>8933.5</v>
      </c>
      <c r="F1277" s="8">
        <v>10881.760306909879</v>
      </c>
      <c r="G1277" s="7">
        <v>8654.91</v>
      </c>
      <c r="H1277" s="7">
        <v>10542.416828246232</v>
      </c>
    </row>
    <row r="1278" spans="1:8" x14ac:dyDescent="0.35">
      <c r="A1278">
        <v>314630</v>
      </c>
      <c r="B1278">
        <v>3146305</v>
      </c>
      <c r="C1278" t="s">
        <v>137</v>
      </c>
      <c r="D1278">
        <v>2021</v>
      </c>
      <c r="E1278" s="7">
        <v>12151.69</v>
      </c>
      <c r="F1278" s="8">
        <v>13448.715584587684</v>
      </c>
      <c r="G1278" s="7">
        <v>11127.67</v>
      </c>
      <c r="H1278" s="7">
        <v>12315.398683067957</v>
      </c>
    </row>
    <row r="1279" spans="1:8" x14ac:dyDescent="0.35">
      <c r="A1279">
        <v>314630</v>
      </c>
      <c r="B1279">
        <v>3146305</v>
      </c>
      <c r="C1279" t="s">
        <v>137</v>
      </c>
      <c r="D1279">
        <v>2022</v>
      </c>
      <c r="E1279" s="7">
        <v>16584.18</v>
      </c>
      <c r="F1279" s="8">
        <v>17350.566468584777</v>
      </c>
      <c r="G1279" s="7">
        <v>18595.86</v>
      </c>
      <c r="H1279" s="7">
        <v>19455.208661332665</v>
      </c>
    </row>
    <row r="1280" spans="1:8" x14ac:dyDescent="0.35">
      <c r="A1280">
        <v>314630</v>
      </c>
      <c r="B1280">
        <v>3146305</v>
      </c>
      <c r="C1280" t="s">
        <v>137</v>
      </c>
      <c r="D1280">
        <v>2023</v>
      </c>
      <c r="E1280" s="7">
        <v>18038.91</v>
      </c>
      <c r="F1280" s="8">
        <v>18038.91</v>
      </c>
      <c r="G1280" s="7">
        <v>18947.05</v>
      </c>
      <c r="H1280" s="7">
        <v>18947.046445050677</v>
      </c>
    </row>
    <row r="1281" spans="1:8" x14ac:dyDescent="0.35">
      <c r="A1281">
        <v>314630</v>
      </c>
      <c r="B1281">
        <v>3146305</v>
      </c>
      <c r="C1281" t="s">
        <v>137</v>
      </c>
      <c r="D1281">
        <v>2024</v>
      </c>
      <c r="E1281" s="7">
        <v>19544.87</v>
      </c>
      <c r="F1281" s="8">
        <v>18644.135148919089</v>
      </c>
      <c r="G1281" s="7">
        <v>21256.18</v>
      </c>
      <c r="H1281" s="7">
        <v>20276.582048194552</v>
      </c>
    </row>
    <row r="1282" spans="1:8" x14ac:dyDescent="0.35">
      <c r="A1282">
        <v>314655</v>
      </c>
      <c r="B1282">
        <v>3146552</v>
      </c>
      <c r="C1282" t="s">
        <v>138</v>
      </c>
      <c r="D1282">
        <v>2015</v>
      </c>
      <c r="E1282" s="7">
        <v>6211.2</v>
      </c>
      <c r="F1282" s="8">
        <v>9363.1299559108593</v>
      </c>
      <c r="G1282" s="7">
        <v>6411.51</v>
      </c>
      <c r="H1282" s="7">
        <v>9665.0860601431759</v>
      </c>
    </row>
    <row r="1283" spans="1:8" x14ac:dyDescent="0.35">
      <c r="A1283">
        <v>314655</v>
      </c>
      <c r="B1283">
        <v>3146552</v>
      </c>
      <c r="C1283" t="s">
        <v>138</v>
      </c>
      <c r="D1283">
        <v>2016</v>
      </c>
      <c r="E1283" s="7">
        <v>5345.34</v>
      </c>
      <c r="F1283" s="8">
        <v>7581.1778507443942</v>
      </c>
      <c r="G1283" s="7">
        <v>7823.33</v>
      </c>
      <c r="H1283" s="7">
        <v>11095.652935309254</v>
      </c>
    </row>
    <row r="1284" spans="1:8" x14ac:dyDescent="0.35">
      <c r="A1284">
        <v>314655</v>
      </c>
      <c r="B1284">
        <v>3146552</v>
      </c>
      <c r="C1284" t="s">
        <v>138</v>
      </c>
      <c r="D1284">
        <v>2017</v>
      </c>
      <c r="E1284" s="7">
        <v>6476.23</v>
      </c>
      <c r="F1284" s="8">
        <v>8922.1216835080522</v>
      </c>
      <c r="G1284" s="7">
        <v>8890.68</v>
      </c>
      <c r="H1284" s="7">
        <v>12248.436806075253</v>
      </c>
    </row>
    <row r="1285" spans="1:8" x14ac:dyDescent="0.35">
      <c r="A1285">
        <v>314655</v>
      </c>
      <c r="B1285">
        <v>3146552</v>
      </c>
      <c r="C1285" t="s">
        <v>138</v>
      </c>
      <c r="D1285">
        <v>2018</v>
      </c>
      <c r="E1285" s="7">
        <v>6161.32</v>
      </c>
      <c r="F1285" s="8">
        <v>8181.8221578203393</v>
      </c>
      <c r="G1285" s="7">
        <v>8569.1299999999992</v>
      </c>
      <c r="H1285" s="7">
        <v>11379.229749046022</v>
      </c>
    </row>
    <row r="1286" spans="1:8" x14ac:dyDescent="0.35">
      <c r="A1286">
        <v>314655</v>
      </c>
      <c r="B1286">
        <v>3146552</v>
      </c>
      <c r="C1286" t="s">
        <v>138</v>
      </c>
      <c r="D1286">
        <v>2019</v>
      </c>
      <c r="E1286" s="7">
        <v>6288.39</v>
      </c>
      <c r="F1286" s="8">
        <v>8005.8199023166208</v>
      </c>
      <c r="G1286" s="7">
        <v>8948</v>
      </c>
      <c r="H1286" s="7">
        <v>11391.797562698917</v>
      </c>
    </row>
    <row r="1287" spans="1:8" x14ac:dyDescent="0.35">
      <c r="A1287">
        <v>314655</v>
      </c>
      <c r="B1287">
        <v>3146552</v>
      </c>
      <c r="C1287" t="s">
        <v>138</v>
      </c>
      <c r="D1287">
        <v>2020</v>
      </c>
      <c r="E1287" s="7">
        <v>6892.77</v>
      </c>
      <c r="F1287" s="8">
        <v>8395.9781710034385</v>
      </c>
      <c r="G1287" s="7">
        <v>7634.01</v>
      </c>
      <c r="H1287" s="7">
        <v>9298.8715456465889</v>
      </c>
    </row>
    <row r="1288" spans="1:8" x14ac:dyDescent="0.35">
      <c r="A1288">
        <v>314655</v>
      </c>
      <c r="B1288">
        <v>3146552</v>
      </c>
      <c r="C1288" t="s">
        <v>138</v>
      </c>
      <c r="D1288">
        <v>2021</v>
      </c>
      <c r="E1288" s="7">
        <v>8325.0499999999993</v>
      </c>
      <c r="F1288" s="8">
        <v>9213.6344555754531</v>
      </c>
      <c r="G1288" s="7">
        <v>9839.93</v>
      </c>
      <c r="H1288" s="7">
        <v>10890.206583112848</v>
      </c>
    </row>
    <row r="1289" spans="1:8" x14ac:dyDescent="0.35">
      <c r="A1289">
        <v>314655</v>
      </c>
      <c r="B1289">
        <v>3146552</v>
      </c>
      <c r="C1289" t="s">
        <v>138</v>
      </c>
      <c r="D1289">
        <v>2022</v>
      </c>
      <c r="E1289" s="7">
        <v>10678.47</v>
      </c>
      <c r="F1289" s="8">
        <v>11171.942388335659</v>
      </c>
      <c r="G1289" s="7">
        <v>14767.34</v>
      </c>
      <c r="H1289" s="7">
        <v>15449.771953086141</v>
      </c>
    </row>
    <row r="1290" spans="1:8" x14ac:dyDescent="0.35">
      <c r="A1290">
        <v>314655</v>
      </c>
      <c r="B1290">
        <v>3146552</v>
      </c>
      <c r="C1290" t="s">
        <v>138</v>
      </c>
      <c r="D1290">
        <v>2023</v>
      </c>
      <c r="E1290" s="7">
        <v>11199.61</v>
      </c>
      <c r="F1290" s="8">
        <v>11199.61</v>
      </c>
      <c r="G1290" s="7">
        <v>17453.22</v>
      </c>
      <c r="H1290" s="7">
        <v>17453.218357860969</v>
      </c>
    </row>
    <row r="1291" spans="1:8" x14ac:dyDescent="0.35">
      <c r="A1291">
        <v>314655</v>
      </c>
      <c r="B1291">
        <v>3146552</v>
      </c>
      <c r="C1291" t="s">
        <v>138</v>
      </c>
      <c r="D1291">
        <v>2024</v>
      </c>
      <c r="E1291" s="7">
        <v>12807.46</v>
      </c>
      <c r="F1291" s="8">
        <v>12217.221969466938</v>
      </c>
      <c r="G1291" s="7">
        <v>17599.2</v>
      </c>
      <c r="H1291" s="7">
        <v>16788.127916032332</v>
      </c>
    </row>
    <row r="1292" spans="1:8" x14ac:dyDescent="0.35">
      <c r="A1292">
        <v>314675</v>
      </c>
      <c r="B1292">
        <v>3146750</v>
      </c>
      <c r="C1292" t="s">
        <v>139</v>
      </c>
      <c r="D1292">
        <v>2015</v>
      </c>
      <c r="E1292" s="7">
        <v>4171.51</v>
      </c>
      <c r="F1292" s="8">
        <v>6288.3807062051965</v>
      </c>
      <c r="G1292" s="7">
        <v>3711.73</v>
      </c>
      <c r="H1292" s="7">
        <v>5595.2852758261051</v>
      </c>
    </row>
    <row r="1293" spans="1:8" x14ac:dyDescent="0.35">
      <c r="A1293">
        <v>314675</v>
      </c>
      <c r="B1293">
        <v>3146750</v>
      </c>
      <c r="C1293" t="s">
        <v>139</v>
      </c>
      <c r="D1293">
        <v>2016</v>
      </c>
      <c r="E1293" s="7">
        <v>4763.33</v>
      </c>
      <c r="F1293" s="8">
        <v>6755.7259017735623</v>
      </c>
      <c r="G1293" s="7">
        <v>3869.63</v>
      </c>
      <c r="H1293" s="7">
        <v>5488.2128329621364</v>
      </c>
    </row>
    <row r="1294" spans="1:8" x14ac:dyDescent="0.35">
      <c r="A1294">
        <v>314675</v>
      </c>
      <c r="B1294">
        <v>3146750</v>
      </c>
      <c r="C1294" t="s">
        <v>139</v>
      </c>
      <c r="D1294">
        <v>2017</v>
      </c>
      <c r="E1294" s="7">
        <v>3630.83</v>
      </c>
      <c r="F1294" s="8">
        <v>5002.0933586564315</v>
      </c>
      <c r="G1294" s="7">
        <v>3215.8</v>
      </c>
      <c r="H1294" s="7">
        <v>4430.3154878658834</v>
      </c>
    </row>
    <row r="1295" spans="1:8" x14ac:dyDescent="0.35">
      <c r="A1295">
        <v>314675</v>
      </c>
      <c r="B1295">
        <v>3146750</v>
      </c>
      <c r="C1295" t="s">
        <v>139</v>
      </c>
      <c r="D1295">
        <v>2018</v>
      </c>
      <c r="E1295" s="7">
        <v>4420.45</v>
      </c>
      <c r="F1295" s="8">
        <v>5870.0628692450518</v>
      </c>
      <c r="G1295" s="7">
        <v>5306.83</v>
      </c>
      <c r="H1295" s="7">
        <v>7047.1102838082561</v>
      </c>
    </row>
    <row r="1296" spans="1:8" x14ac:dyDescent="0.35">
      <c r="A1296">
        <v>314675</v>
      </c>
      <c r="B1296">
        <v>3146750</v>
      </c>
      <c r="C1296" t="s">
        <v>139</v>
      </c>
      <c r="D1296">
        <v>2019</v>
      </c>
      <c r="E1296" s="7">
        <v>6214.02</v>
      </c>
      <c r="F1296" s="8">
        <v>7911.138620440769</v>
      </c>
      <c r="G1296" s="7">
        <v>6724.85</v>
      </c>
      <c r="H1296" s="7">
        <v>8561.4876126026957</v>
      </c>
    </row>
    <row r="1297" spans="1:8" x14ac:dyDescent="0.35">
      <c r="A1297">
        <v>314675</v>
      </c>
      <c r="B1297">
        <v>3146750</v>
      </c>
      <c r="C1297" t="s">
        <v>139</v>
      </c>
      <c r="D1297">
        <v>2020</v>
      </c>
      <c r="E1297" s="7">
        <v>5802.09</v>
      </c>
      <c r="F1297" s="8">
        <v>7067.437472336569</v>
      </c>
      <c r="G1297" s="7">
        <v>6010.85</v>
      </c>
      <c r="H1297" s="7">
        <v>7321.7266228339522</v>
      </c>
    </row>
    <row r="1298" spans="1:8" x14ac:dyDescent="0.35">
      <c r="A1298">
        <v>314675</v>
      </c>
      <c r="B1298">
        <v>3146750</v>
      </c>
      <c r="C1298" t="s">
        <v>139</v>
      </c>
      <c r="D1298">
        <v>2021</v>
      </c>
      <c r="E1298" s="7">
        <v>7422.15</v>
      </c>
      <c r="F1298" s="8">
        <v>8214.3623130731175</v>
      </c>
      <c r="G1298" s="7">
        <v>8327.14</v>
      </c>
      <c r="H1298" s="7">
        <v>9215.9492464010309</v>
      </c>
    </row>
    <row r="1299" spans="1:8" x14ac:dyDescent="0.35">
      <c r="A1299">
        <v>314675</v>
      </c>
      <c r="B1299">
        <v>3146750</v>
      </c>
      <c r="C1299" t="s">
        <v>139</v>
      </c>
      <c r="D1299">
        <v>2022</v>
      </c>
      <c r="E1299" s="7">
        <v>8246.2000000000007</v>
      </c>
      <c r="F1299" s="8">
        <v>8627.2725701990566</v>
      </c>
      <c r="G1299" s="7">
        <v>10328.4</v>
      </c>
      <c r="H1299" s="7">
        <v>10805.693944525055</v>
      </c>
    </row>
    <row r="1300" spans="1:8" x14ac:dyDescent="0.35">
      <c r="A1300">
        <v>314675</v>
      </c>
      <c r="B1300">
        <v>3146750</v>
      </c>
      <c r="C1300" t="s">
        <v>139</v>
      </c>
      <c r="D1300">
        <v>2023</v>
      </c>
      <c r="E1300" s="7">
        <v>10812.97</v>
      </c>
      <c r="F1300" s="8">
        <v>10812.97</v>
      </c>
      <c r="G1300" s="7">
        <v>12774.23</v>
      </c>
      <c r="H1300" s="7">
        <v>12774.233260818259</v>
      </c>
    </row>
    <row r="1301" spans="1:8" x14ac:dyDescent="0.35">
      <c r="A1301">
        <v>314675</v>
      </c>
      <c r="B1301">
        <v>3146750</v>
      </c>
      <c r="C1301" t="s">
        <v>139</v>
      </c>
      <c r="D1301">
        <v>2024</v>
      </c>
      <c r="E1301" s="7">
        <v>14067.95</v>
      </c>
      <c r="F1301" s="8">
        <v>13419.621674037042</v>
      </c>
      <c r="G1301" s="7">
        <v>15406.25</v>
      </c>
      <c r="H1301" s="7">
        <v>14696.241529568881</v>
      </c>
    </row>
    <row r="1302" spans="1:8" x14ac:dyDescent="0.35">
      <c r="A1302">
        <v>314795</v>
      </c>
      <c r="B1302">
        <v>3147956</v>
      </c>
      <c r="C1302" t="s">
        <v>140</v>
      </c>
      <c r="D1302">
        <v>2015</v>
      </c>
      <c r="E1302" s="7">
        <v>6202.12</v>
      </c>
      <c r="F1302" s="8">
        <v>9349.4422272916454</v>
      </c>
      <c r="G1302" s="7">
        <v>6681</v>
      </c>
      <c r="H1302" s="7">
        <v>10071.340677291646</v>
      </c>
    </row>
    <row r="1303" spans="1:8" x14ac:dyDescent="0.35">
      <c r="A1303">
        <v>314795</v>
      </c>
      <c r="B1303">
        <v>3147956</v>
      </c>
      <c r="C1303" t="s">
        <v>140</v>
      </c>
      <c r="D1303">
        <v>2016</v>
      </c>
      <c r="E1303" s="7">
        <v>6278.87</v>
      </c>
      <c r="F1303" s="8">
        <v>8905.1828642712062</v>
      </c>
      <c r="G1303" s="7">
        <v>8119.15</v>
      </c>
      <c r="H1303" s="7">
        <v>11515.212007872786</v>
      </c>
    </row>
    <row r="1304" spans="1:8" x14ac:dyDescent="0.35">
      <c r="A1304">
        <v>314795</v>
      </c>
      <c r="B1304">
        <v>3147956</v>
      </c>
      <c r="C1304" t="s">
        <v>140</v>
      </c>
      <c r="D1304">
        <v>2017</v>
      </c>
      <c r="E1304" s="7">
        <v>6496.58</v>
      </c>
      <c r="F1304" s="8">
        <v>8950.1573116836098</v>
      </c>
      <c r="G1304" s="7">
        <v>6875.14</v>
      </c>
      <c r="H1304" s="7">
        <v>9471.6876664028587</v>
      </c>
    </row>
    <row r="1305" spans="1:8" x14ac:dyDescent="0.35">
      <c r="A1305">
        <v>314795</v>
      </c>
      <c r="B1305">
        <v>3147956</v>
      </c>
      <c r="C1305" t="s">
        <v>140</v>
      </c>
      <c r="D1305">
        <v>2018</v>
      </c>
      <c r="E1305" s="7">
        <v>6053.11</v>
      </c>
      <c r="F1305" s="8">
        <v>8038.1264926548001</v>
      </c>
      <c r="G1305" s="7">
        <v>8690.15</v>
      </c>
      <c r="H1305" s="7">
        <v>11539.933993346303</v>
      </c>
    </row>
    <row r="1306" spans="1:8" x14ac:dyDescent="0.35">
      <c r="A1306">
        <v>314795</v>
      </c>
      <c r="B1306">
        <v>3147956</v>
      </c>
      <c r="C1306" t="s">
        <v>140</v>
      </c>
      <c r="D1306">
        <v>2019</v>
      </c>
      <c r="E1306" s="7">
        <v>5917.71</v>
      </c>
      <c r="F1306" s="8">
        <v>7533.9030330717542</v>
      </c>
      <c r="G1306" s="7">
        <v>8645.9500000000007</v>
      </c>
      <c r="H1306" s="7">
        <v>11007.254819231342</v>
      </c>
    </row>
    <row r="1307" spans="1:8" x14ac:dyDescent="0.35">
      <c r="A1307">
        <v>314795</v>
      </c>
      <c r="B1307">
        <v>3147956</v>
      </c>
      <c r="C1307" t="s">
        <v>140</v>
      </c>
      <c r="D1307">
        <v>2020</v>
      </c>
      <c r="E1307" s="7">
        <v>6319.21</v>
      </c>
      <c r="F1307" s="8">
        <v>7697.3334694160158</v>
      </c>
      <c r="G1307" s="7">
        <v>7171.11</v>
      </c>
      <c r="H1307" s="7">
        <v>8735.0212189548183</v>
      </c>
    </row>
    <row r="1308" spans="1:8" x14ac:dyDescent="0.35">
      <c r="A1308">
        <v>314795</v>
      </c>
      <c r="B1308">
        <v>3147956</v>
      </c>
      <c r="C1308" t="s">
        <v>140</v>
      </c>
      <c r="D1308">
        <v>2021</v>
      </c>
      <c r="E1308" s="7">
        <v>8778.83</v>
      </c>
      <c r="F1308" s="8">
        <v>9715.8492222436453</v>
      </c>
      <c r="G1308" s="7">
        <v>9257.08</v>
      </c>
      <c r="H1308" s="7">
        <v>10245.146873900787</v>
      </c>
    </row>
    <row r="1309" spans="1:8" x14ac:dyDescent="0.35">
      <c r="A1309">
        <v>314795</v>
      </c>
      <c r="B1309">
        <v>3147956</v>
      </c>
      <c r="C1309" t="s">
        <v>140</v>
      </c>
      <c r="D1309">
        <v>2022</v>
      </c>
      <c r="E1309" s="7">
        <v>11127.33</v>
      </c>
      <c r="F1309" s="8">
        <v>11641.545061792469</v>
      </c>
      <c r="G1309" s="7">
        <v>12943.25</v>
      </c>
      <c r="H1309" s="7">
        <v>13541.377740946404</v>
      </c>
    </row>
    <row r="1310" spans="1:8" x14ac:dyDescent="0.35">
      <c r="A1310">
        <v>314795</v>
      </c>
      <c r="B1310">
        <v>3147956</v>
      </c>
      <c r="C1310" t="s">
        <v>140</v>
      </c>
      <c r="D1310">
        <v>2023</v>
      </c>
      <c r="E1310" s="7">
        <v>11176.99</v>
      </c>
      <c r="F1310" s="8">
        <v>11176.99</v>
      </c>
      <c r="G1310" s="7">
        <v>17027.28</v>
      </c>
      <c r="H1310" s="7">
        <v>17027.277911670779</v>
      </c>
    </row>
    <row r="1311" spans="1:8" x14ac:dyDescent="0.35">
      <c r="A1311">
        <v>314795</v>
      </c>
      <c r="B1311">
        <v>3147956</v>
      </c>
      <c r="C1311" t="s">
        <v>140</v>
      </c>
      <c r="D1311">
        <v>2024</v>
      </c>
      <c r="E1311" s="7">
        <v>14118.09</v>
      </c>
      <c r="F1311" s="8">
        <v>13467.450947721993</v>
      </c>
      <c r="G1311" s="7">
        <v>20344.09</v>
      </c>
      <c r="H1311" s="7">
        <v>19406.526163239432</v>
      </c>
    </row>
    <row r="1312" spans="1:8" x14ac:dyDescent="0.35">
      <c r="A1312">
        <v>314860</v>
      </c>
      <c r="B1312">
        <v>3148608</v>
      </c>
      <c r="C1312" t="s">
        <v>141</v>
      </c>
      <c r="D1312">
        <v>2015</v>
      </c>
      <c r="E1312" s="7">
        <v>7549.76</v>
      </c>
      <c r="F1312" s="8">
        <v>11380.954407511847</v>
      </c>
      <c r="G1312" s="7">
        <v>9502.49</v>
      </c>
      <c r="H1312" s="7">
        <v>14324.610021730963</v>
      </c>
    </row>
    <row r="1313" spans="1:8" x14ac:dyDescent="0.35">
      <c r="A1313">
        <v>314860</v>
      </c>
      <c r="B1313">
        <v>3148608</v>
      </c>
      <c r="C1313" t="s">
        <v>141</v>
      </c>
      <c r="D1313">
        <v>2016</v>
      </c>
      <c r="E1313" s="7">
        <v>6523.24</v>
      </c>
      <c r="F1313" s="8">
        <v>9251.7674466151566</v>
      </c>
      <c r="G1313" s="7">
        <v>10633.48</v>
      </c>
      <c r="H1313" s="7">
        <v>15081.231417967063</v>
      </c>
    </row>
    <row r="1314" spans="1:8" x14ac:dyDescent="0.35">
      <c r="A1314">
        <v>314860</v>
      </c>
      <c r="B1314">
        <v>3148608</v>
      </c>
      <c r="C1314" t="s">
        <v>141</v>
      </c>
      <c r="D1314">
        <v>2017</v>
      </c>
      <c r="E1314" s="7">
        <v>8280.24</v>
      </c>
      <c r="F1314" s="8">
        <v>11407.456012008641</v>
      </c>
      <c r="G1314" s="7">
        <v>12316.16</v>
      </c>
      <c r="H1314" s="7">
        <v>16967.633501569588</v>
      </c>
    </row>
    <row r="1315" spans="1:8" x14ac:dyDescent="0.35">
      <c r="A1315">
        <v>314860</v>
      </c>
      <c r="B1315">
        <v>3148608</v>
      </c>
      <c r="C1315" t="s">
        <v>141</v>
      </c>
      <c r="D1315">
        <v>2018</v>
      </c>
      <c r="E1315" s="7">
        <v>7341.74</v>
      </c>
      <c r="F1315" s="8">
        <v>9749.3412140508699</v>
      </c>
      <c r="G1315" s="7">
        <v>13596.13</v>
      </c>
      <c r="H1315" s="7">
        <v>18054.756330525546</v>
      </c>
    </row>
    <row r="1316" spans="1:8" x14ac:dyDescent="0.35">
      <c r="A1316">
        <v>314860</v>
      </c>
      <c r="B1316">
        <v>3148608</v>
      </c>
      <c r="C1316" t="s">
        <v>141</v>
      </c>
      <c r="D1316">
        <v>2019</v>
      </c>
      <c r="E1316" s="7">
        <v>8358.59</v>
      </c>
      <c r="F1316" s="8">
        <v>10641.414762332597</v>
      </c>
      <c r="G1316" s="7">
        <v>13704.12</v>
      </c>
      <c r="H1316" s="7">
        <v>17446.875333217493</v>
      </c>
    </row>
    <row r="1317" spans="1:8" x14ac:dyDescent="0.35">
      <c r="A1317">
        <v>314860</v>
      </c>
      <c r="B1317">
        <v>3148608</v>
      </c>
      <c r="C1317" t="s">
        <v>141</v>
      </c>
      <c r="D1317">
        <v>2020</v>
      </c>
      <c r="E1317" s="7">
        <v>7657.7</v>
      </c>
      <c r="F1317" s="8">
        <v>9327.7277553281219</v>
      </c>
      <c r="G1317" s="7">
        <v>11661.22</v>
      </c>
      <c r="H1317" s="7">
        <v>14204.357990062226</v>
      </c>
    </row>
    <row r="1318" spans="1:8" x14ac:dyDescent="0.35">
      <c r="A1318">
        <v>314860</v>
      </c>
      <c r="B1318">
        <v>3148608</v>
      </c>
      <c r="C1318" t="s">
        <v>141</v>
      </c>
      <c r="D1318">
        <v>2021</v>
      </c>
      <c r="E1318" s="7">
        <v>6498.89</v>
      </c>
      <c r="F1318" s="8">
        <v>7192.5570209181642</v>
      </c>
      <c r="G1318" s="7">
        <v>14744.13</v>
      </c>
      <c r="H1318" s="7">
        <v>16317.864526302408</v>
      </c>
    </row>
    <row r="1319" spans="1:8" x14ac:dyDescent="0.35">
      <c r="A1319">
        <v>314860</v>
      </c>
      <c r="B1319">
        <v>3148608</v>
      </c>
      <c r="C1319" t="s">
        <v>141</v>
      </c>
      <c r="D1319">
        <v>2022</v>
      </c>
      <c r="E1319" s="7">
        <v>10348.89</v>
      </c>
      <c r="F1319" s="8">
        <v>10827.131870316911</v>
      </c>
      <c r="G1319" s="7">
        <v>29943.59</v>
      </c>
      <c r="H1319" s="7">
        <v>31327.3370278109</v>
      </c>
    </row>
    <row r="1320" spans="1:8" x14ac:dyDescent="0.35">
      <c r="A1320">
        <v>314860</v>
      </c>
      <c r="B1320">
        <v>3148608</v>
      </c>
      <c r="C1320" t="s">
        <v>141</v>
      </c>
      <c r="D1320">
        <v>2023</v>
      </c>
      <c r="E1320" s="7">
        <v>18279.52</v>
      </c>
      <c r="F1320" s="8">
        <v>18279.52</v>
      </c>
      <c r="G1320" s="7">
        <v>29960.21</v>
      </c>
      <c r="H1320" s="7">
        <v>29960.207156488552</v>
      </c>
    </row>
    <row r="1321" spans="1:8" x14ac:dyDescent="0.35">
      <c r="A1321">
        <v>314860</v>
      </c>
      <c r="B1321">
        <v>3148608</v>
      </c>
      <c r="C1321" t="s">
        <v>141</v>
      </c>
      <c r="D1321">
        <v>2024</v>
      </c>
      <c r="E1321" s="7">
        <v>20084.18</v>
      </c>
      <c r="F1321" s="8">
        <v>19158.590784958807</v>
      </c>
      <c r="G1321" s="7">
        <v>29797.1</v>
      </c>
      <c r="H1321" s="7">
        <v>28423.887699461178</v>
      </c>
    </row>
    <row r="1322" spans="1:8" x14ac:dyDescent="0.35">
      <c r="A1322">
        <v>314870</v>
      </c>
      <c r="B1322">
        <v>3148707</v>
      </c>
      <c r="C1322" t="s">
        <v>142</v>
      </c>
      <c r="D1322">
        <v>2015</v>
      </c>
      <c r="E1322" s="7">
        <v>3416.82</v>
      </c>
      <c r="F1322" s="8">
        <v>5150.7163987563354</v>
      </c>
      <c r="G1322" s="7">
        <v>3686.67</v>
      </c>
      <c r="H1322" s="7">
        <v>5557.5006424569483</v>
      </c>
    </row>
    <row r="1323" spans="1:8" x14ac:dyDescent="0.35">
      <c r="A1323">
        <v>314870</v>
      </c>
      <c r="B1323">
        <v>3148707</v>
      </c>
      <c r="C1323" t="s">
        <v>142</v>
      </c>
      <c r="D1323">
        <v>2016</v>
      </c>
      <c r="E1323" s="7">
        <v>3433.35</v>
      </c>
      <c r="F1323" s="8">
        <v>4869.4445954519761</v>
      </c>
      <c r="G1323" s="7">
        <v>3906.48</v>
      </c>
      <c r="H1323" s="7">
        <v>5540.4769755325788</v>
      </c>
    </row>
    <row r="1324" spans="1:8" x14ac:dyDescent="0.35">
      <c r="A1324">
        <v>314870</v>
      </c>
      <c r="B1324">
        <v>3148707</v>
      </c>
      <c r="C1324" t="s">
        <v>142</v>
      </c>
      <c r="D1324">
        <v>2017</v>
      </c>
      <c r="E1324" s="7">
        <v>5439.64</v>
      </c>
      <c r="F1324" s="8">
        <v>7494.0405134588718</v>
      </c>
      <c r="G1324" s="7">
        <v>6649.87</v>
      </c>
      <c r="H1324" s="7">
        <v>9161.3356589857485</v>
      </c>
    </row>
    <row r="1325" spans="1:8" x14ac:dyDescent="0.35">
      <c r="A1325">
        <v>314870</v>
      </c>
      <c r="B1325">
        <v>3148707</v>
      </c>
      <c r="C1325" t="s">
        <v>142</v>
      </c>
      <c r="D1325">
        <v>2018</v>
      </c>
      <c r="E1325" s="7">
        <v>4907.1099999999997</v>
      </c>
      <c r="F1325" s="8">
        <v>6516.3149014921746</v>
      </c>
      <c r="G1325" s="7">
        <v>6372.09</v>
      </c>
      <c r="H1325" s="7">
        <v>8461.7129845695963</v>
      </c>
    </row>
    <row r="1326" spans="1:8" x14ac:dyDescent="0.35">
      <c r="A1326">
        <v>314870</v>
      </c>
      <c r="B1326">
        <v>3148707</v>
      </c>
      <c r="C1326" t="s">
        <v>142</v>
      </c>
      <c r="D1326">
        <v>2019</v>
      </c>
      <c r="E1326" s="7">
        <v>5668.38</v>
      </c>
      <c r="F1326" s="8">
        <v>7216.4782110991027</v>
      </c>
      <c r="G1326" s="7">
        <v>6111.38</v>
      </c>
      <c r="H1326" s="7">
        <v>7780.4658326782601</v>
      </c>
    </row>
    <row r="1327" spans="1:8" x14ac:dyDescent="0.35">
      <c r="A1327">
        <v>314870</v>
      </c>
      <c r="B1327">
        <v>3148707</v>
      </c>
      <c r="C1327" t="s">
        <v>142</v>
      </c>
      <c r="D1327">
        <v>2020</v>
      </c>
      <c r="E1327" s="7">
        <v>5915.99</v>
      </c>
      <c r="F1327" s="8">
        <v>7206.1773278195305</v>
      </c>
      <c r="G1327" s="7">
        <v>6235.75</v>
      </c>
      <c r="H1327" s="7">
        <v>7595.6721640917513</v>
      </c>
    </row>
    <row r="1328" spans="1:8" x14ac:dyDescent="0.35">
      <c r="A1328">
        <v>314870</v>
      </c>
      <c r="B1328">
        <v>3148707</v>
      </c>
      <c r="C1328" t="s">
        <v>142</v>
      </c>
      <c r="D1328">
        <v>2021</v>
      </c>
      <c r="E1328" s="7">
        <v>6746.13</v>
      </c>
      <c r="F1328" s="8">
        <v>7466.1864865425723</v>
      </c>
      <c r="G1328" s="7">
        <v>7104.07</v>
      </c>
      <c r="H1328" s="7">
        <v>7862.3279624442521</v>
      </c>
    </row>
    <row r="1329" spans="1:8" x14ac:dyDescent="0.35">
      <c r="A1329">
        <v>314870</v>
      </c>
      <c r="B1329">
        <v>3148707</v>
      </c>
      <c r="C1329" t="s">
        <v>142</v>
      </c>
      <c r="D1329">
        <v>2022</v>
      </c>
      <c r="E1329" s="7">
        <v>9873.8700000000008</v>
      </c>
      <c r="F1329" s="8">
        <v>10330.160293554773</v>
      </c>
      <c r="G1329" s="7">
        <v>10784.03</v>
      </c>
      <c r="H1329" s="7">
        <v>11282.380651055335</v>
      </c>
    </row>
    <row r="1330" spans="1:8" x14ac:dyDescent="0.35">
      <c r="A1330">
        <v>314870</v>
      </c>
      <c r="B1330">
        <v>3148707</v>
      </c>
      <c r="C1330" t="s">
        <v>142</v>
      </c>
      <c r="D1330">
        <v>2023</v>
      </c>
      <c r="E1330" s="7">
        <v>10162.459999999999</v>
      </c>
      <c r="F1330" s="8">
        <v>10162.459999999999</v>
      </c>
      <c r="G1330" s="7">
        <v>12140.2</v>
      </c>
      <c r="H1330" s="7">
        <v>12140.195384951212</v>
      </c>
    </row>
    <row r="1331" spans="1:8" x14ac:dyDescent="0.35">
      <c r="A1331">
        <v>314870</v>
      </c>
      <c r="B1331">
        <v>3148707</v>
      </c>
      <c r="C1331" t="s">
        <v>142</v>
      </c>
      <c r="D1331">
        <v>2024</v>
      </c>
      <c r="E1331" s="7">
        <v>12978.63</v>
      </c>
      <c r="F1331" s="8">
        <v>12380.503516667841</v>
      </c>
      <c r="G1331" s="7">
        <v>13160.66</v>
      </c>
      <c r="H1331" s="7">
        <v>12554.143267797503</v>
      </c>
    </row>
    <row r="1332" spans="1:8" x14ac:dyDescent="0.35">
      <c r="A1332">
        <v>314995</v>
      </c>
      <c r="B1332">
        <v>3149952</v>
      </c>
      <c r="C1332" t="s">
        <v>143</v>
      </c>
      <c r="D1332">
        <v>2015</v>
      </c>
      <c r="E1332" s="7">
        <v>4401.33</v>
      </c>
      <c r="F1332" s="8">
        <v>6634.8249563448526</v>
      </c>
      <c r="G1332" s="7">
        <v>5687.07</v>
      </c>
      <c r="H1332" s="7">
        <v>8573.0211197790031</v>
      </c>
    </row>
    <row r="1333" spans="1:8" x14ac:dyDescent="0.35">
      <c r="A1333">
        <v>314995</v>
      </c>
      <c r="B1333">
        <v>3149952</v>
      </c>
      <c r="C1333" t="s">
        <v>143</v>
      </c>
      <c r="D1333">
        <v>2016</v>
      </c>
      <c r="E1333" s="7">
        <v>4799.1000000000004</v>
      </c>
      <c r="F1333" s="8">
        <v>6806.4577040015083</v>
      </c>
      <c r="G1333" s="7">
        <v>5995.6</v>
      </c>
      <c r="H1333" s="7">
        <v>8503.4283540299803</v>
      </c>
    </row>
    <row r="1334" spans="1:8" x14ac:dyDescent="0.35">
      <c r="A1334">
        <v>314995</v>
      </c>
      <c r="B1334">
        <v>3149952</v>
      </c>
      <c r="C1334" t="s">
        <v>143</v>
      </c>
      <c r="D1334">
        <v>2017</v>
      </c>
      <c r="E1334" s="7">
        <v>5676.51</v>
      </c>
      <c r="F1334" s="8">
        <v>7820.3697147337725</v>
      </c>
      <c r="G1334" s="7">
        <v>6384.23</v>
      </c>
      <c r="H1334" s="7">
        <v>8795.3781105055223</v>
      </c>
    </row>
    <row r="1335" spans="1:8" x14ac:dyDescent="0.35">
      <c r="A1335">
        <v>314995</v>
      </c>
      <c r="B1335">
        <v>3149952</v>
      </c>
      <c r="C1335" t="s">
        <v>143</v>
      </c>
      <c r="D1335">
        <v>2018</v>
      </c>
      <c r="E1335" s="7">
        <v>4435.78</v>
      </c>
      <c r="F1335" s="8">
        <v>5890.420087126834</v>
      </c>
      <c r="G1335" s="7">
        <v>5182.67</v>
      </c>
      <c r="H1335" s="7">
        <v>6882.2464401567868</v>
      </c>
    </row>
    <row r="1336" spans="1:8" x14ac:dyDescent="0.35">
      <c r="A1336">
        <v>314995</v>
      </c>
      <c r="B1336">
        <v>3149952</v>
      </c>
      <c r="C1336" t="s">
        <v>143</v>
      </c>
      <c r="D1336">
        <v>2019</v>
      </c>
      <c r="E1336" s="7">
        <v>6685.77</v>
      </c>
      <c r="F1336" s="8">
        <v>8511.7288412950529</v>
      </c>
      <c r="G1336" s="7">
        <v>8041.64</v>
      </c>
      <c r="H1336" s="7">
        <v>10237.896478260569</v>
      </c>
    </row>
    <row r="1337" spans="1:8" x14ac:dyDescent="0.35">
      <c r="A1337">
        <v>314995</v>
      </c>
      <c r="B1337">
        <v>3149952</v>
      </c>
      <c r="C1337" t="s">
        <v>143</v>
      </c>
      <c r="D1337">
        <v>2020</v>
      </c>
      <c r="E1337" s="7">
        <v>6900.93</v>
      </c>
      <c r="F1337" s="8">
        <v>8405.9177427395298</v>
      </c>
      <c r="G1337" s="7">
        <v>6825.94</v>
      </c>
      <c r="H1337" s="7">
        <v>8314.5795664661855</v>
      </c>
    </row>
    <row r="1338" spans="1:8" x14ac:dyDescent="0.35">
      <c r="A1338">
        <v>314995</v>
      </c>
      <c r="B1338">
        <v>3149952</v>
      </c>
      <c r="C1338" t="s">
        <v>143</v>
      </c>
      <c r="D1338">
        <v>2021</v>
      </c>
      <c r="E1338" s="7">
        <v>9000.8700000000008</v>
      </c>
      <c r="F1338" s="8">
        <v>9961.5889348599048</v>
      </c>
      <c r="G1338" s="7">
        <v>7690.24</v>
      </c>
      <c r="H1338" s="7">
        <v>8511.0687453858372</v>
      </c>
    </row>
    <row r="1339" spans="1:8" x14ac:dyDescent="0.35">
      <c r="A1339">
        <v>314995</v>
      </c>
      <c r="B1339">
        <v>3149952</v>
      </c>
      <c r="C1339" t="s">
        <v>143</v>
      </c>
      <c r="D1339">
        <v>2022</v>
      </c>
      <c r="E1339" s="7">
        <v>11603.09</v>
      </c>
      <c r="F1339" s="8">
        <v>12139.290835360647</v>
      </c>
      <c r="G1339" s="7">
        <v>10881.67</v>
      </c>
      <c r="H1339" s="7">
        <v>11384.532410754589</v>
      </c>
    </row>
    <row r="1340" spans="1:8" x14ac:dyDescent="0.35">
      <c r="A1340">
        <v>314995</v>
      </c>
      <c r="B1340">
        <v>3149952</v>
      </c>
      <c r="C1340" t="s">
        <v>143</v>
      </c>
      <c r="D1340">
        <v>2023</v>
      </c>
      <c r="E1340" s="7">
        <v>7509.05</v>
      </c>
      <c r="F1340" s="8">
        <v>7509.05</v>
      </c>
      <c r="G1340" s="7">
        <v>11469.45</v>
      </c>
      <c r="H1340" s="7">
        <v>11469.448529396685</v>
      </c>
    </row>
    <row r="1341" spans="1:8" x14ac:dyDescent="0.35">
      <c r="A1341">
        <v>314995</v>
      </c>
      <c r="B1341">
        <v>3149952</v>
      </c>
      <c r="C1341" t="s">
        <v>143</v>
      </c>
      <c r="D1341">
        <v>2024</v>
      </c>
      <c r="E1341" s="7">
        <v>13687.96</v>
      </c>
      <c r="F1341" s="8">
        <v>13057.143698218435</v>
      </c>
      <c r="G1341" s="7">
        <v>18892.169999999998</v>
      </c>
      <c r="H1341" s="7">
        <v>18021.517010562595</v>
      </c>
    </row>
    <row r="1342" spans="1:8" x14ac:dyDescent="0.35">
      <c r="A1342">
        <v>315015</v>
      </c>
      <c r="B1342">
        <v>3150158</v>
      </c>
      <c r="C1342" t="s">
        <v>144</v>
      </c>
      <c r="D1342">
        <v>2015</v>
      </c>
      <c r="E1342" s="7">
        <v>4877.22</v>
      </c>
      <c r="F1342" s="8">
        <v>7352.2096669834445</v>
      </c>
      <c r="G1342" s="7">
        <v>4565.25</v>
      </c>
      <c r="H1342" s="7">
        <v>6881.9338970459612</v>
      </c>
    </row>
    <row r="1343" spans="1:8" x14ac:dyDescent="0.35">
      <c r="A1343">
        <v>315015</v>
      </c>
      <c r="B1343">
        <v>3150158</v>
      </c>
      <c r="C1343" t="s">
        <v>144</v>
      </c>
      <c r="D1343">
        <v>2016</v>
      </c>
      <c r="E1343" s="7">
        <v>4228.97</v>
      </c>
      <c r="F1343" s="8">
        <v>5997.8548970622114</v>
      </c>
      <c r="G1343" s="7">
        <v>5136.7700000000004</v>
      </c>
      <c r="H1343" s="7">
        <v>7285.3626326687772</v>
      </c>
    </row>
    <row r="1344" spans="1:8" x14ac:dyDescent="0.35">
      <c r="A1344">
        <v>315015</v>
      </c>
      <c r="B1344">
        <v>3150158</v>
      </c>
      <c r="C1344" t="s">
        <v>144</v>
      </c>
      <c r="D1344">
        <v>2017</v>
      </c>
      <c r="E1344" s="7">
        <v>5116.82</v>
      </c>
      <c r="F1344" s="8">
        <v>7049.300391216444</v>
      </c>
      <c r="G1344" s="7">
        <v>6154.12</v>
      </c>
      <c r="H1344" s="7">
        <v>8478.3650363021079</v>
      </c>
    </row>
    <row r="1345" spans="1:8" x14ac:dyDescent="0.35">
      <c r="A1345">
        <v>315015</v>
      </c>
      <c r="B1345">
        <v>3150158</v>
      </c>
      <c r="C1345" t="s">
        <v>144</v>
      </c>
      <c r="D1345">
        <v>2018</v>
      </c>
      <c r="E1345" s="7">
        <v>4208.6499999999996</v>
      </c>
      <c r="F1345" s="8">
        <v>5588.8065908783456</v>
      </c>
      <c r="G1345" s="7">
        <v>5066.8599999999997</v>
      </c>
      <c r="H1345" s="7">
        <v>6728.4528397530967</v>
      </c>
    </row>
    <row r="1346" spans="1:8" x14ac:dyDescent="0.35">
      <c r="A1346">
        <v>315015</v>
      </c>
      <c r="B1346">
        <v>3150158</v>
      </c>
      <c r="C1346" t="s">
        <v>144</v>
      </c>
      <c r="D1346">
        <v>2019</v>
      </c>
      <c r="E1346" s="7">
        <v>5156.53</v>
      </c>
      <c r="F1346" s="8">
        <v>6564.8362300831723</v>
      </c>
      <c r="G1346" s="7">
        <v>7326.28</v>
      </c>
      <c r="H1346" s="7">
        <v>9327.1698631000036</v>
      </c>
    </row>
    <row r="1347" spans="1:8" x14ac:dyDescent="0.35">
      <c r="A1347">
        <v>315015</v>
      </c>
      <c r="B1347">
        <v>3150158</v>
      </c>
      <c r="C1347" t="s">
        <v>144</v>
      </c>
      <c r="D1347">
        <v>2020</v>
      </c>
      <c r="E1347" s="7">
        <v>6981.44</v>
      </c>
      <c r="F1347" s="8">
        <v>8503.9857476994348</v>
      </c>
      <c r="G1347" s="7">
        <v>8371.5300000000007</v>
      </c>
      <c r="H1347" s="7">
        <v>10197.237457117826</v>
      </c>
    </row>
    <row r="1348" spans="1:8" x14ac:dyDescent="0.35">
      <c r="A1348">
        <v>315015</v>
      </c>
      <c r="B1348">
        <v>3150158</v>
      </c>
      <c r="C1348" t="s">
        <v>144</v>
      </c>
      <c r="D1348">
        <v>2021</v>
      </c>
      <c r="E1348" s="7">
        <v>7400.42</v>
      </c>
      <c r="F1348" s="8">
        <v>8190.3129347847407</v>
      </c>
      <c r="G1348" s="7">
        <v>7459.93</v>
      </c>
      <c r="H1348" s="7">
        <v>8256.1753549735295</v>
      </c>
    </row>
    <row r="1349" spans="1:8" x14ac:dyDescent="0.35">
      <c r="A1349">
        <v>315015</v>
      </c>
      <c r="B1349">
        <v>3150158</v>
      </c>
      <c r="C1349" t="s">
        <v>144</v>
      </c>
      <c r="D1349">
        <v>2022</v>
      </c>
      <c r="E1349" s="7">
        <v>9216.42</v>
      </c>
      <c r="F1349" s="8">
        <v>9642.3282798663604</v>
      </c>
      <c r="G1349" s="7">
        <v>11316.74</v>
      </c>
      <c r="H1349" s="7">
        <v>11839.704354443385</v>
      </c>
    </row>
    <row r="1350" spans="1:8" x14ac:dyDescent="0.35">
      <c r="A1350">
        <v>315015</v>
      </c>
      <c r="B1350">
        <v>3150158</v>
      </c>
      <c r="C1350" t="s">
        <v>144</v>
      </c>
      <c r="D1350">
        <v>2023</v>
      </c>
      <c r="E1350" s="7">
        <v>11225.73</v>
      </c>
      <c r="F1350" s="8">
        <v>11225.73</v>
      </c>
      <c r="G1350" s="7">
        <v>12812.1</v>
      </c>
      <c r="H1350" s="7">
        <v>12812.098217510144</v>
      </c>
    </row>
    <row r="1351" spans="1:8" x14ac:dyDescent="0.35">
      <c r="A1351">
        <v>315015</v>
      </c>
      <c r="B1351">
        <v>3150158</v>
      </c>
      <c r="C1351" t="s">
        <v>144</v>
      </c>
      <c r="D1351">
        <v>2024</v>
      </c>
      <c r="E1351" s="7">
        <v>11748.64</v>
      </c>
      <c r="F1351" s="8">
        <v>11207.198204746144</v>
      </c>
      <c r="G1351" s="7">
        <v>14492.07</v>
      </c>
      <c r="H1351" s="7">
        <v>13824.196274069811</v>
      </c>
    </row>
    <row r="1352" spans="1:8" x14ac:dyDescent="0.35">
      <c r="A1352">
        <v>315057</v>
      </c>
      <c r="B1352">
        <v>3150570</v>
      </c>
      <c r="C1352" t="s">
        <v>145</v>
      </c>
      <c r="D1352">
        <v>2015</v>
      </c>
      <c r="E1352" s="7">
        <v>6361.79</v>
      </c>
      <c r="F1352" s="8">
        <v>9590.1382216341699</v>
      </c>
      <c r="G1352" s="7">
        <v>5564.1</v>
      </c>
      <c r="H1352" s="7">
        <v>8387.647029813239</v>
      </c>
    </row>
    <row r="1353" spans="1:8" x14ac:dyDescent="0.35">
      <c r="A1353">
        <v>315057</v>
      </c>
      <c r="B1353">
        <v>3150570</v>
      </c>
      <c r="C1353" t="s">
        <v>145</v>
      </c>
      <c r="D1353">
        <v>2016</v>
      </c>
      <c r="E1353" s="7">
        <v>5746.81</v>
      </c>
      <c r="F1353" s="8">
        <v>8150.5738988420553</v>
      </c>
      <c r="G1353" s="7">
        <v>7256.94</v>
      </c>
      <c r="H1353" s="7">
        <v>10292.352773703326</v>
      </c>
    </row>
    <row r="1354" spans="1:8" x14ac:dyDescent="0.35">
      <c r="A1354">
        <v>315057</v>
      </c>
      <c r="B1354">
        <v>3150570</v>
      </c>
      <c r="C1354" t="s">
        <v>145</v>
      </c>
      <c r="D1354">
        <v>2017</v>
      </c>
      <c r="E1354" s="7">
        <v>5995.64</v>
      </c>
      <c r="F1354" s="8">
        <v>8260.0262267566504</v>
      </c>
      <c r="G1354" s="7">
        <v>8336.66</v>
      </c>
      <c r="H1354" s="7">
        <v>11485.187706485032</v>
      </c>
    </row>
    <row r="1355" spans="1:8" x14ac:dyDescent="0.35">
      <c r="A1355">
        <v>315057</v>
      </c>
      <c r="B1355">
        <v>3150570</v>
      </c>
      <c r="C1355" t="s">
        <v>145</v>
      </c>
      <c r="D1355">
        <v>2018</v>
      </c>
      <c r="E1355" s="7">
        <v>6471.39</v>
      </c>
      <c r="F1355" s="8">
        <v>8593.5744440959043</v>
      </c>
      <c r="G1355" s="7">
        <v>10085.620000000001</v>
      </c>
      <c r="H1355" s="7">
        <v>13393.028243635057</v>
      </c>
    </row>
    <row r="1356" spans="1:8" x14ac:dyDescent="0.35">
      <c r="A1356">
        <v>315057</v>
      </c>
      <c r="B1356">
        <v>3150570</v>
      </c>
      <c r="C1356" t="s">
        <v>145</v>
      </c>
      <c r="D1356">
        <v>2019</v>
      </c>
      <c r="E1356" s="7">
        <v>7619.53</v>
      </c>
      <c r="F1356" s="8">
        <v>9700.5091796626093</v>
      </c>
      <c r="G1356" s="7">
        <v>12391.14</v>
      </c>
      <c r="H1356" s="7">
        <v>15775.297745671442</v>
      </c>
    </row>
    <row r="1357" spans="1:8" x14ac:dyDescent="0.35">
      <c r="A1357">
        <v>315057</v>
      </c>
      <c r="B1357">
        <v>3150570</v>
      </c>
      <c r="C1357" t="s">
        <v>145</v>
      </c>
      <c r="D1357">
        <v>2020</v>
      </c>
      <c r="E1357" s="7">
        <v>9593.7999999999993</v>
      </c>
      <c r="F1357" s="8">
        <v>11686.061681584148</v>
      </c>
      <c r="G1357" s="7">
        <v>9578.08</v>
      </c>
      <c r="H1357" s="7">
        <v>11666.911333856653</v>
      </c>
    </row>
    <row r="1358" spans="1:8" x14ac:dyDescent="0.35">
      <c r="A1358">
        <v>315057</v>
      </c>
      <c r="B1358">
        <v>3150570</v>
      </c>
      <c r="C1358" t="s">
        <v>145</v>
      </c>
      <c r="D1358">
        <v>2021</v>
      </c>
      <c r="E1358" s="7">
        <v>10234.42</v>
      </c>
      <c r="F1358" s="8">
        <v>11326.803411971165</v>
      </c>
      <c r="G1358" s="7">
        <v>13995.98</v>
      </c>
      <c r="H1358" s="7">
        <v>15489.852777715656</v>
      </c>
    </row>
    <row r="1359" spans="1:8" x14ac:dyDescent="0.35">
      <c r="A1359">
        <v>315057</v>
      </c>
      <c r="B1359">
        <v>3150570</v>
      </c>
      <c r="C1359" t="s">
        <v>145</v>
      </c>
      <c r="D1359">
        <v>2022</v>
      </c>
      <c r="E1359" s="7">
        <v>17379.52</v>
      </c>
      <c r="F1359" s="8">
        <v>18182.660641171195</v>
      </c>
      <c r="G1359" s="7">
        <v>24945.07</v>
      </c>
      <c r="H1359" s="7">
        <v>26097.83201837615</v>
      </c>
    </row>
    <row r="1360" spans="1:8" x14ac:dyDescent="0.35">
      <c r="A1360">
        <v>315057</v>
      </c>
      <c r="B1360">
        <v>3150570</v>
      </c>
      <c r="C1360" t="s">
        <v>145</v>
      </c>
      <c r="D1360">
        <v>2023</v>
      </c>
      <c r="E1360" s="7">
        <v>17456.009999999998</v>
      </c>
      <c r="F1360" s="8">
        <v>17456.009999999998</v>
      </c>
      <c r="G1360" s="7">
        <v>26545.51</v>
      </c>
      <c r="H1360" s="7">
        <v>26545.511023672498</v>
      </c>
    </row>
    <row r="1361" spans="1:8" x14ac:dyDescent="0.35">
      <c r="A1361">
        <v>315057</v>
      </c>
      <c r="B1361">
        <v>3150570</v>
      </c>
      <c r="C1361" t="s">
        <v>145</v>
      </c>
      <c r="D1361">
        <v>2024</v>
      </c>
      <c r="E1361" s="7">
        <v>19885.41</v>
      </c>
      <c r="F1361" s="8">
        <v>18968.981197197383</v>
      </c>
      <c r="G1361" s="7">
        <v>23101.49</v>
      </c>
      <c r="H1361" s="7">
        <v>22036.849180674817</v>
      </c>
    </row>
    <row r="1362" spans="1:8" x14ac:dyDescent="0.35">
      <c r="A1362">
        <v>315120</v>
      </c>
      <c r="B1362">
        <v>3151206</v>
      </c>
      <c r="C1362" t="s">
        <v>146</v>
      </c>
      <c r="D1362">
        <v>2015</v>
      </c>
      <c r="E1362" s="7">
        <v>6482.28</v>
      </c>
      <c r="F1362" s="8">
        <v>9771.771968476598</v>
      </c>
      <c r="G1362" s="7">
        <v>5856.02</v>
      </c>
      <c r="H1362" s="7">
        <v>8827.7162893224431</v>
      </c>
    </row>
    <row r="1363" spans="1:8" x14ac:dyDescent="0.35">
      <c r="A1363">
        <v>315120</v>
      </c>
      <c r="B1363">
        <v>3151206</v>
      </c>
      <c r="C1363" t="s">
        <v>146</v>
      </c>
      <c r="D1363">
        <v>2016</v>
      </c>
      <c r="E1363" s="7">
        <v>5157.51</v>
      </c>
      <c r="F1363" s="8">
        <v>7314.7827036246008</v>
      </c>
      <c r="G1363" s="7">
        <v>6513.11</v>
      </c>
      <c r="H1363" s="7">
        <v>9237.4065957298626</v>
      </c>
    </row>
    <row r="1364" spans="1:8" x14ac:dyDescent="0.35">
      <c r="A1364">
        <v>315120</v>
      </c>
      <c r="B1364">
        <v>3151206</v>
      </c>
      <c r="C1364" t="s">
        <v>146</v>
      </c>
      <c r="D1364">
        <v>2017</v>
      </c>
      <c r="E1364" s="7">
        <v>5595.8</v>
      </c>
      <c r="F1364" s="8">
        <v>7709.1777958124349</v>
      </c>
      <c r="G1364" s="7">
        <v>4633.55</v>
      </c>
      <c r="H1364" s="7">
        <v>6383.5194743327174</v>
      </c>
    </row>
    <row r="1365" spans="1:8" x14ac:dyDescent="0.35">
      <c r="A1365">
        <v>315120</v>
      </c>
      <c r="B1365">
        <v>3151206</v>
      </c>
      <c r="C1365" t="s">
        <v>146</v>
      </c>
      <c r="D1365">
        <v>2018</v>
      </c>
      <c r="E1365" s="7">
        <v>6773</v>
      </c>
      <c r="F1365" s="8">
        <v>8994.0924144367054</v>
      </c>
      <c r="G1365" s="7">
        <v>6887.08</v>
      </c>
      <c r="H1365" s="7">
        <v>9145.577340742173</v>
      </c>
    </row>
    <row r="1366" spans="1:8" x14ac:dyDescent="0.35">
      <c r="A1366">
        <v>315120</v>
      </c>
      <c r="B1366">
        <v>3151206</v>
      </c>
      <c r="C1366" t="s">
        <v>146</v>
      </c>
      <c r="D1366">
        <v>2019</v>
      </c>
      <c r="E1366" s="7">
        <v>7070.5</v>
      </c>
      <c r="F1366" s="8">
        <v>9001.5329232648837</v>
      </c>
      <c r="G1366" s="7">
        <v>6170.34</v>
      </c>
      <c r="H1366" s="7">
        <v>7855.5249342927364</v>
      </c>
    </row>
    <row r="1367" spans="1:8" x14ac:dyDescent="0.35">
      <c r="A1367">
        <v>315120</v>
      </c>
      <c r="B1367">
        <v>3151206</v>
      </c>
      <c r="C1367" t="s">
        <v>146</v>
      </c>
      <c r="D1367">
        <v>2020</v>
      </c>
      <c r="E1367" s="7">
        <v>8448.15</v>
      </c>
      <c r="F1367" s="8">
        <v>10290.562863023528</v>
      </c>
      <c r="G1367" s="7">
        <v>6214.96</v>
      </c>
      <c r="H1367" s="7">
        <v>7570.3442723071284</v>
      </c>
    </row>
    <row r="1368" spans="1:8" x14ac:dyDescent="0.35">
      <c r="A1368">
        <v>315120</v>
      </c>
      <c r="B1368">
        <v>3151206</v>
      </c>
      <c r="C1368" t="s">
        <v>146</v>
      </c>
      <c r="D1368">
        <v>2021</v>
      </c>
      <c r="E1368" s="7">
        <v>8575.5</v>
      </c>
      <c r="F1368" s="8">
        <v>9490.8165444997103</v>
      </c>
      <c r="G1368" s="7">
        <v>6315.64</v>
      </c>
      <c r="H1368" s="7">
        <v>6989.7483844454828</v>
      </c>
    </row>
    <row r="1369" spans="1:8" x14ac:dyDescent="0.35">
      <c r="A1369">
        <v>315120</v>
      </c>
      <c r="B1369">
        <v>3151206</v>
      </c>
      <c r="C1369" t="s">
        <v>146</v>
      </c>
      <c r="D1369">
        <v>2022</v>
      </c>
      <c r="E1369" s="7">
        <v>10676.86</v>
      </c>
      <c r="F1369" s="8">
        <v>11170.257987176577</v>
      </c>
      <c r="G1369" s="7">
        <v>9359.5300000000007</v>
      </c>
      <c r="H1369" s="7">
        <v>9792.0514486800221</v>
      </c>
    </row>
    <row r="1370" spans="1:8" x14ac:dyDescent="0.35">
      <c r="A1370">
        <v>315120</v>
      </c>
      <c r="B1370">
        <v>3151206</v>
      </c>
      <c r="C1370" t="s">
        <v>146</v>
      </c>
      <c r="D1370">
        <v>2023</v>
      </c>
      <c r="E1370" s="7">
        <v>13691.23</v>
      </c>
      <c r="F1370" s="8">
        <v>13691.23</v>
      </c>
      <c r="G1370" s="7">
        <v>11267.31</v>
      </c>
      <c r="H1370" s="7">
        <v>11267.307700492869</v>
      </c>
    </row>
    <row r="1371" spans="1:8" x14ac:dyDescent="0.35">
      <c r="A1371">
        <v>315120</v>
      </c>
      <c r="B1371">
        <v>3151206</v>
      </c>
      <c r="C1371" t="s">
        <v>146</v>
      </c>
      <c r="D1371">
        <v>2024</v>
      </c>
      <c r="E1371" s="7">
        <v>11984.71</v>
      </c>
      <c r="F1371" s="8">
        <v>11432.3888038448</v>
      </c>
      <c r="G1371" s="7">
        <v>9734.26</v>
      </c>
      <c r="H1371" s="7">
        <v>9285.6474662424735</v>
      </c>
    </row>
    <row r="1372" spans="1:8" x14ac:dyDescent="0.35">
      <c r="A1372">
        <v>315217</v>
      </c>
      <c r="B1372">
        <v>3152170</v>
      </c>
      <c r="C1372" t="s">
        <v>147</v>
      </c>
      <c r="D1372">
        <v>2015</v>
      </c>
      <c r="E1372" s="7">
        <v>4563.93</v>
      </c>
      <c r="F1372" s="8">
        <v>6879.9378058475422</v>
      </c>
      <c r="G1372" s="7">
        <v>4801.68</v>
      </c>
      <c r="H1372" s="7">
        <v>7238.338475501695</v>
      </c>
    </row>
    <row r="1373" spans="1:8" x14ac:dyDescent="0.35">
      <c r="A1373">
        <v>315217</v>
      </c>
      <c r="B1373">
        <v>3152170</v>
      </c>
      <c r="C1373" t="s">
        <v>147</v>
      </c>
      <c r="D1373">
        <v>2016</v>
      </c>
      <c r="E1373" s="7">
        <v>4535.1400000000003</v>
      </c>
      <c r="F1373" s="8">
        <v>6432.0890566409125</v>
      </c>
      <c r="G1373" s="7">
        <v>5265.17</v>
      </c>
      <c r="H1373" s="7">
        <v>7467.471554463822</v>
      </c>
    </row>
    <row r="1374" spans="1:8" x14ac:dyDescent="0.35">
      <c r="A1374">
        <v>315217</v>
      </c>
      <c r="B1374">
        <v>3152170</v>
      </c>
      <c r="C1374" t="s">
        <v>147</v>
      </c>
      <c r="D1374">
        <v>2017</v>
      </c>
      <c r="E1374" s="7">
        <v>3789.97</v>
      </c>
      <c r="F1374" s="8">
        <v>5221.336104005728</v>
      </c>
      <c r="G1374" s="7">
        <v>4863.93</v>
      </c>
      <c r="H1374" s="7">
        <v>6700.9054044670074</v>
      </c>
    </row>
    <row r="1375" spans="1:8" x14ac:dyDescent="0.35">
      <c r="A1375">
        <v>315217</v>
      </c>
      <c r="B1375">
        <v>3152170</v>
      </c>
      <c r="C1375" t="s">
        <v>147</v>
      </c>
      <c r="D1375">
        <v>2018</v>
      </c>
      <c r="E1375" s="7">
        <v>4001.04</v>
      </c>
      <c r="F1375" s="8">
        <v>5313.1143531459966</v>
      </c>
      <c r="G1375" s="7">
        <v>5183.93</v>
      </c>
      <c r="H1375" s="7">
        <v>6883.9115524906656</v>
      </c>
    </row>
    <row r="1376" spans="1:8" x14ac:dyDescent="0.35">
      <c r="A1376">
        <v>315217</v>
      </c>
      <c r="B1376">
        <v>3152170</v>
      </c>
      <c r="C1376" t="s">
        <v>147</v>
      </c>
      <c r="D1376">
        <v>2019</v>
      </c>
      <c r="E1376" s="7">
        <v>5432.05</v>
      </c>
      <c r="F1376" s="8">
        <v>6915.603835064142</v>
      </c>
      <c r="G1376" s="7">
        <v>6029.65</v>
      </c>
      <c r="H1376" s="7">
        <v>7676.4177143703982</v>
      </c>
    </row>
    <row r="1377" spans="1:8" x14ac:dyDescent="0.35">
      <c r="A1377">
        <v>315217</v>
      </c>
      <c r="B1377">
        <v>3152170</v>
      </c>
      <c r="C1377" t="s">
        <v>147</v>
      </c>
      <c r="D1377">
        <v>2020</v>
      </c>
      <c r="E1377" s="7">
        <v>5478.15</v>
      </c>
      <c r="F1377" s="8">
        <v>6672.8510914309454</v>
      </c>
      <c r="G1377" s="7">
        <v>5692.69</v>
      </c>
      <c r="H1377" s="7">
        <v>6934.1730082934619</v>
      </c>
    </row>
    <row r="1378" spans="1:8" x14ac:dyDescent="0.35">
      <c r="A1378">
        <v>315217</v>
      </c>
      <c r="B1378">
        <v>3152170</v>
      </c>
      <c r="C1378" t="s">
        <v>147</v>
      </c>
      <c r="D1378">
        <v>2021</v>
      </c>
      <c r="E1378" s="7">
        <v>7002.28</v>
      </c>
      <c r="F1378" s="8">
        <v>7749.6769719805752</v>
      </c>
      <c r="G1378" s="7">
        <v>7220.24</v>
      </c>
      <c r="H1378" s="7">
        <v>7990.9040566147723</v>
      </c>
    </row>
    <row r="1379" spans="1:8" x14ac:dyDescent="0.35">
      <c r="A1379">
        <v>315217</v>
      </c>
      <c r="B1379">
        <v>3152170</v>
      </c>
      <c r="C1379" t="s">
        <v>147</v>
      </c>
      <c r="D1379">
        <v>2022</v>
      </c>
      <c r="E1379" s="7">
        <v>10047</v>
      </c>
      <c r="F1379" s="8">
        <v>10511.290959810569</v>
      </c>
      <c r="G1379" s="7">
        <v>12394.61</v>
      </c>
      <c r="H1379" s="7">
        <v>12967.383468016218</v>
      </c>
    </row>
    <row r="1380" spans="1:8" x14ac:dyDescent="0.35">
      <c r="A1380">
        <v>315217</v>
      </c>
      <c r="B1380">
        <v>3152170</v>
      </c>
      <c r="C1380" t="s">
        <v>147</v>
      </c>
      <c r="D1380">
        <v>2023</v>
      </c>
      <c r="E1380" s="7">
        <v>10677.55</v>
      </c>
      <c r="F1380" s="8">
        <v>10677.55</v>
      </c>
      <c r="G1380" s="7">
        <v>12642.99</v>
      </c>
      <c r="H1380" s="7">
        <v>12642.986669285152</v>
      </c>
    </row>
    <row r="1381" spans="1:8" x14ac:dyDescent="0.35">
      <c r="A1381">
        <v>315217</v>
      </c>
      <c r="B1381">
        <v>3152170</v>
      </c>
      <c r="C1381" t="s">
        <v>147</v>
      </c>
      <c r="D1381">
        <v>2024</v>
      </c>
      <c r="E1381" s="7">
        <v>11959.79</v>
      </c>
      <c r="F1381" s="8">
        <v>11408.617254179284</v>
      </c>
      <c r="G1381" s="7">
        <v>14879.15</v>
      </c>
      <c r="H1381" s="7">
        <v>14193.435127168803</v>
      </c>
    </row>
    <row r="1382" spans="1:8" x14ac:dyDescent="0.35">
      <c r="A1382">
        <v>315240</v>
      </c>
      <c r="B1382">
        <v>3152402</v>
      </c>
      <c r="C1382" t="s">
        <v>148</v>
      </c>
      <c r="D1382">
        <v>2015</v>
      </c>
      <c r="E1382" s="7">
        <v>5395.01</v>
      </c>
      <c r="F1382" s="8">
        <v>8132.7569138714989</v>
      </c>
      <c r="G1382" s="7">
        <v>5092.22</v>
      </c>
      <c r="H1382" s="7">
        <v>7676.3208031660515</v>
      </c>
    </row>
    <row r="1383" spans="1:8" x14ac:dyDescent="0.35">
      <c r="A1383">
        <v>315240</v>
      </c>
      <c r="B1383">
        <v>3152402</v>
      </c>
      <c r="C1383" t="s">
        <v>148</v>
      </c>
      <c r="D1383">
        <v>2016</v>
      </c>
      <c r="E1383" s="7">
        <v>5275.6</v>
      </c>
      <c r="F1383" s="8">
        <v>7482.2671465963112</v>
      </c>
      <c r="G1383" s="7">
        <v>5920.75</v>
      </c>
      <c r="H1383" s="7">
        <v>8397.2675758464502</v>
      </c>
    </row>
    <row r="1384" spans="1:8" x14ac:dyDescent="0.35">
      <c r="A1384">
        <v>315240</v>
      </c>
      <c r="B1384">
        <v>3152402</v>
      </c>
      <c r="C1384" t="s">
        <v>148</v>
      </c>
      <c r="D1384">
        <v>2017</v>
      </c>
      <c r="E1384" s="7">
        <v>5848.87</v>
      </c>
      <c r="F1384" s="8">
        <v>8057.8252858560836</v>
      </c>
      <c r="G1384" s="7">
        <v>6648.85</v>
      </c>
      <c r="H1384" s="7">
        <v>9159.9306490061081</v>
      </c>
    </row>
    <row r="1385" spans="1:8" x14ac:dyDescent="0.35">
      <c r="A1385">
        <v>315240</v>
      </c>
      <c r="B1385">
        <v>3152402</v>
      </c>
      <c r="C1385" t="s">
        <v>148</v>
      </c>
      <c r="D1385">
        <v>2018</v>
      </c>
      <c r="E1385" s="7">
        <v>5571.96</v>
      </c>
      <c r="F1385" s="8">
        <v>7399.1913730318538</v>
      </c>
      <c r="G1385" s="7">
        <v>6747.98</v>
      </c>
      <c r="H1385" s="7">
        <v>8960.8631778380877</v>
      </c>
    </row>
    <row r="1386" spans="1:8" x14ac:dyDescent="0.35">
      <c r="A1386">
        <v>315240</v>
      </c>
      <c r="B1386">
        <v>3152402</v>
      </c>
      <c r="C1386" t="s">
        <v>148</v>
      </c>
      <c r="D1386">
        <v>2019</v>
      </c>
      <c r="E1386" s="7">
        <v>6102.5</v>
      </c>
      <c r="F1386" s="8">
        <v>7769.1612565199002</v>
      </c>
      <c r="G1386" s="7">
        <v>7442.02</v>
      </c>
      <c r="H1386" s="7">
        <v>9474.5169708058984</v>
      </c>
    </row>
    <row r="1387" spans="1:8" x14ac:dyDescent="0.35">
      <c r="A1387">
        <v>315240</v>
      </c>
      <c r="B1387">
        <v>3152402</v>
      </c>
      <c r="C1387" t="s">
        <v>148</v>
      </c>
      <c r="D1387">
        <v>2020</v>
      </c>
      <c r="E1387" s="7">
        <v>5857.87</v>
      </c>
      <c r="F1387" s="8">
        <v>7135.382240895301</v>
      </c>
      <c r="G1387" s="7">
        <v>7111.97</v>
      </c>
      <c r="H1387" s="7">
        <v>8662.9836214879015</v>
      </c>
    </row>
    <row r="1388" spans="1:8" x14ac:dyDescent="0.35">
      <c r="A1388">
        <v>315240</v>
      </c>
      <c r="B1388">
        <v>3152402</v>
      </c>
      <c r="C1388" t="s">
        <v>148</v>
      </c>
      <c r="D1388">
        <v>2021</v>
      </c>
      <c r="E1388" s="7">
        <v>8627.83</v>
      </c>
      <c r="F1388" s="8">
        <v>9548.7320514408402</v>
      </c>
      <c r="G1388" s="7">
        <v>8071.19</v>
      </c>
      <c r="H1388" s="7">
        <v>8932.6799457942598</v>
      </c>
    </row>
    <row r="1389" spans="1:8" x14ac:dyDescent="0.35">
      <c r="A1389">
        <v>315240</v>
      </c>
      <c r="B1389">
        <v>3152402</v>
      </c>
      <c r="C1389" t="s">
        <v>148</v>
      </c>
      <c r="D1389">
        <v>2022</v>
      </c>
      <c r="E1389" s="7">
        <v>10554.66</v>
      </c>
      <c r="F1389" s="8">
        <v>11042.410892990367</v>
      </c>
      <c r="G1389" s="7">
        <v>12973.14</v>
      </c>
      <c r="H1389" s="7">
        <v>13572.648402741321</v>
      </c>
    </row>
    <row r="1390" spans="1:8" x14ac:dyDescent="0.35">
      <c r="A1390">
        <v>315240</v>
      </c>
      <c r="B1390">
        <v>3152402</v>
      </c>
      <c r="C1390" t="s">
        <v>148</v>
      </c>
      <c r="D1390">
        <v>2023</v>
      </c>
      <c r="E1390" s="7">
        <v>11970.99</v>
      </c>
      <c r="F1390" s="8">
        <v>11970.99</v>
      </c>
      <c r="G1390" s="7">
        <v>15678.97</v>
      </c>
      <c r="H1390" s="7">
        <v>15678.967372549019</v>
      </c>
    </row>
    <row r="1391" spans="1:8" x14ac:dyDescent="0.35">
      <c r="A1391">
        <v>315240</v>
      </c>
      <c r="B1391">
        <v>3152402</v>
      </c>
      <c r="C1391" t="s">
        <v>148</v>
      </c>
      <c r="D1391">
        <v>2024</v>
      </c>
      <c r="E1391" s="7">
        <v>15854.27</v>
      </c>
      <c r="F1391" s="8">
        <v>15123.618247010776</v>
      </c>
      <c r="G1391" s="7">
        <v>21601.54</v>
      </c>
      <c r="H1391" s="7">
        <v>20606.021697132604</v>
      </c>
    </row>
    <row r="1392" spans="1:8" x14ac:dyDescent="0.35">
      <c r="A1392">
        <v>315330</v>
      </c>
      <c r="B1392">
        <v>3153301</v>
      </c>
      <c r="C1392" t="s">
        <v>149</v>
      </c>
      <c r="D1392">
        <v>2015</v>
      </c>
      <c r="E1392" s="7">
        <v>7213.28</v>
      </c>
      <c r="F1392" s="8">
        <v>10873.724569869379</v>
      </c>
      <c r="G1392" s="7">
        <v>5901.06</v>
      </c>
      <c r="H1392" s="7">
        <v>8895.6129280261157</v>
      </c>
    </row>
    <row r="1393" spans="1:8" x14ac:dyDescent="0.35">
      <c r="A1393">
        <v>315330</v>
      </c>
      <c r="B1393">
        <v>3153301</v>
      </c>
      <c r="C1393" t="s">
        <v>149</v>
      </c>
      <c r="D1393">
        <v>2016</v>
      </c>
      <c r="E1393" s="7">
        <v>5978.4</v>
      </c>
      <c r="F1393" s="8">
        <v>8479.0328890005658</v>
      </c>
      <c r="G1393" s="7">
        <v>6887.53</v>
      </c>
      <c r="H1393" s="7">
        <v>9768.4344162535854</v>
      </c>
    </row>
    <row r="1394" spans="1:8" x14ac:dyDescent="0.35">
      <c r="A1394">
        <v>315330</v>
      </c>
      <c r="B1394">
        <v>3153301</v>
      </c>
      <c r="C1394" t="s">
        <v>149</v>
      </c>
      <c r="D1394">
        <v>2017</v>
      </c>
      <c r="E1394" s="7">
        <v>5784.96</v>
      </c>
      <c r="F1394" s="8">
        <v>7969.7782589912258</v>
      </c>
      <c r="G1394" s="7">
        <v>7094.99</v>
      </c>
      <c r="H1394" s="7">
        <v>9774.570829684506</v>
      </c>
    </row>
    <row r="1395" spans="1:8" x14ac:dyDescent="0.35">
      <c r="A1395">
        <v>315330</v>
      </c>
      <c r="B1395">
        <v>3153301</v>
      </c>
      <c r="C1395" t="s">
        <v>149</v>
      </c>
      <c r="D1395">
        <v>2018</v>
      </c>
      <c r="E1395" s="7">
        <v>6710.71</v>
      </c>
      <c r="F1395" s="8">
        <v>8911.3754475837213</v>
      </c>
      <c r="G1395" s="7">
        <v>7807.98</v>
      </c>
      <c r="H1395" s="7">
        <v>10368.475891704124</v>
      </c>
    </row>
    <row r="1396" spans="1:8" x14ac:dyDescent="0.35">
      <c r="A1396">
        <v>315330</v>
      </c>
      <c r="B1396">
        <v>3153301</v>
      </c>
      <c r="C1396" t="s">
        <v>149</v>
      </c>
      <c r="D1396">
        <v>2019</v>
      </c>
      <c r="E1396" s="7">
        <v>6885.9</v>
      </c>
      <c r="F1396" s="8">
        <v>8766.5165909496736</v>
      </c>
      <c r="G1396" s="7">
        <v>8259.2099999999991</v>
      </c>
      <c r="H1396" s="7">
        <v>10514.888656849589</v>
      </c>
    </row>
    <row r="1397" spans="1:8" x14ac:dyDescent="0.35">
      <c r="A1397">
        <v>315330</v>
      </c>
      <c r="B1397">
        <v>3153301</v>
      </c>
      <c r="C1397" t="s">
        <v>149</v>
      </c>
      <c r="D1397">
        <v>2020</v>
      </c>
      <c r="E1397" s="7">
        <v>8083.12</v>
      </c>
      <c r="F1397" s="8">
        <v>9845.9253788536826</v>
      </c>
      <c r="G1397" s="7">
        <v>9989.4699999999993</v>
      </c>
      <c r="H1397" s="7">
        <v>12168.017599495886</v>
      </c>
    </row>
    <row r="1398" spans="1:8" x14ac:dyDescent="0.35">
      <c r="A1398">
        <v>315330</v>
      </c>
      <c r="B1398">
        <v>3153301</v>
      </c>
      <c r="C1398" t="s">
        <v>149</v>
      </c>
      <c r="D1398">
        <v>2021</v>
      </c>
      <c r="E1398" s="7">
        <v>11888.96</v>
      </c>
      <c r="F1398" s="8">
        <v>13157.942774753106</v>
      </c>
      <c r="G1398" s="7">
        <v>13286.91</v>
      </c>
      <c r="H1398" s="7">
        <v>14705.099829210107</v>
      </c>
    </row>
    <row r="1399" spans="1:8" x14ac:dyDescent="0.35">
      <c r="A1399">
        <v>315330</v>
      </c>
      <c r="B1399">
        <v>3153301</v>
      </c>
      <c r="C1399" t="s">
        <v>149</v>
      </c>
      <c r="D1399">
        <v>2022</v>
      </c>
      <c r="E1399" s="7">
        <v>14586.41</v>
      </c>
      <c r="F1399" s="8">
        <v>15260.475721020253</v>
      </c>
      <c r="G1399" s="7">
        <v>21377.68</v>
      </c>
      <c r="H1399" s="7">
        <v>22365.58330372781</v>
      </c>
    </row>
    <row r="1400" spans="1:8" x14ac:dyDescent="0.35">
      <c r="A1400">
        <v>315330</v>
      </c>
      <c r="B1400">
        <v>3153301</v>
      </c>
      <c r="C1400" t="s">
        <v>149</v>
      </c>
      <c r="D1400">
        <v>2023</v>
      </c>
      <c r="E1400" s="7">
        <v>16072.65</v>
      </c>
      <c r="F1400" s="8">
        <v>16072.65</v>
      </c>
      <c r="G1400" s="7">
        <v>20906.580000000002</v>
      </c>
      <c r="H1400" s="7">
        <v>20906.584454564538</v>
      </c>
    </row>
    <row r="1401" spans="1:8" x14ac:dyDescent="0.35">
      <c r="A1401">
        <v>315330</v>
      </c>
      <c r="B1401">
        <v>3153301</v>
      </c>
      <c r="C1401" t="s">
        <v>149</v>
      </c>
      <c r="D1401">
        <v>2024</v>
      </c>
      <c r="E1401" s="7">
        <v>13060.63</v>
      </c>
      <c r="F1401" s="8">
        <v>12458.724506738961</v>
      </c>
      <c r="G1401" s="7">
        <v>26646.13</v>
      </c>
      <c r="H1401" s="7">
        <v>25418.134108801307</v>
      </c>
    </row>
    <row r="1402" spans="1:8" x14ac:dyDescent="0.35">
      <c r="A1402">
        <v>315430</v>
      </c>
      <c r="B1402">
        <v>3154309</v>
      </c>
      <c r="C1402" t="s">
        <v>150</v>
      </c>
      <c r="D1402">
        <v>2015</v>
      </c>
      <c r="E1402" s="7">
        <v>4698.22</v>
      </c>
      <c r="F1402" s="8">
        <v>7082.3744882566207</v>
      </c>
      <c r="G1402" s="7">
        <v>6153.27</v>
      </c>
      <c r="H1402" s="7">
        <v>9275.8094246464334</v>
      </c>
    </row>
    <row r="1403" spans="1:8" x14ac:dyDescent="0.35">
      <c r="A1403">
        <v>315430</v>
      </c>
      <c r="B1403">
        <v>3154309</v>
      </c>
      <c r="C1403" t="s">
        <v>150</v>
      </c>
      <c r="D1403">
        <v>2016</v>
      </c>
      <c r="E1403" s="7">
        <v>4859.92</v>
      </c>
      <c r="F1403" s="8">
        <v>6892.7173688464527</v>
      </c>
      <c r="G1403" s="7">
        <v>6315.37</v>
      </c>
      <c r="H1403" s="7">
        <v>8956.9471722289854</v>
      </c>
    </row>
    <row r="1404" spans="1:8" x14ac:dyDescent="0.35">
      <c r="A1404">
        <v>315430</v>
      </c>
      <c r="B1404">
        <v>3154309</v>
      </c>
      <c r="C1404" t="s">
        <v>150</v>
      </c>
      <c r="D1404">
        <v>2017</v>
      </c>
      <c r="E1404" s="7">
        <v>5662.56</v>
      </c>
      <c r="F1404" s="8">
        <v>7801.1511882940176</v>
      </c>
      <c r="G1404" s="7">
        <v>6603.37</v>
      </c>
      <c r="H1404" s="7">
        <v>9097.2791354345663</v>
      </c>
    </row>
    <row r="1405" spans="1:8" x14ac:dyDescent="0.35">
      <c r="A1405">
        <v>315430</v>
      </c>
      <c r="B1405">
        <v>3154309</v>
      </c>
      <c r="C1405" t="s">
        <v>150</v>
      </c>
      <c r="D1405">
        <v>2018</v>
      </c>
      <c r="E1405" s="7">
        <v>5116.4399999999996</v>
      </c>
      <c r="F1405" s="8">
        <v>6794.2911845445942</v>
      </c>
      <c r="G1405" s="7">
        <v>6631.84</v>
      </c>
      <c r="H1405" s="7">
        <v>8806.6383948053917</v>
      </c>
    </row>
    <row r="1406" spans="1:8" x14ac:dyDescent="0.35">
      <c r="A1406">
        <v>315430</v>
      </c>
      <c r="B1406">
        <v>3154309</v>
      </c>
      <c r="C1406" t="s">
        <v>150</v>
      </c>
      <c r="D1406">
        <v>2019</v>
      </c>
      <c r="E1406" s="7">
        <v>5412.31</v>
      </c>
      <c r="F1406" s="8">
        <v>6890.4726194633713</v>
      </c>
      <c r="G1406" s="7">
        <v>7382.46</v>
      </c>
      <c r="H1406" s="7">
        <v>9398.6868191668491</v>
      </c>
    </row>
    <row r="1407" spans="1:8" x14ac:dyDescent="0.35">
      <c r="A1407">
        <v>315430</v>
      </c>
      <c r="B1407">
        <v>3154309</v>
      </c>
      <c r="C1407" t="s">
        <v>150</v>
      </c>
      <c r="D1407">
        <v>2020</v>
      </c>
      <c r="E1407" s="7">
        <v>6237.74</v>
      </c>
      <c r="F1407" s="8">
        <v>7598.0961030753933</v>
      </c>
      <c r="G1407" s="7">
        <v>7614.75</v>
      </c>
      <c r="H1407" s="7">
        <v>9275.4125449679686</v>
      </c>
    </row>
    <row r="1408" spans="1:8" x14ac:dyDescent="0.35">
      <c r="A1408">
        <v>315430</v>
      </c>
      <c r="B1408">
        <v>3154309</v>
      </c>
      <c r="C1408" t="s">
        <v>150</v>
      </c>
      <c r="D1408">
        <v>2021</v>
      </c>
      <c r="E1408" s="7">
        <v>8125.02</v>
      </c>
      <c r="F1408" s="8">
        <v>8992.25400739211</v>
      </c>
      <c r="G1408" s="7">
        <v>10048.129999999999</v>
      </c>
      <c r="H1408" s="7">
        <v>11120.634638049405</v>
      </c>
    </row>
    <row r="1409" spans="1:8" x14ac:dyDescent="0.35">
      <c r="A1409">
        <v>315430</v>
      </c>
      <c r="B1409">
        <v>3154309</v>
      </c>
      <c r="C1409" t="s">
        <v>150</v>
      </c>
      <c r="D1409">
        <v>2022</v>
      </c>
      <c r="E1409" s="7">
        <v>10663.16</v>
      </c>
      <c r="F1409" s="8">
        <v>11155.924884145881</v>
      </c>
      <c r="G1409" s="7">
        <v>16739.18</v>
      </c>
      <c r="H1409" s="7">
        <v>17512.731259731725</v>
      </c>
    </row>
    <row r="1410" spans="1:8" x14ac:dyDescent="0.35">
      <c r="A1410">
        <v>315430</v>
      </c>
      <c r="B1410">
        <v>3154309</v>
      </c>
      <c r="C1410" t="s">
        <v>150</v>
      </c>
      <c r="D1410">
        <v>2023</v>
      </c>
      <c r="E1410" s="7">
        <v>12702.66</v>
      </c>
      <c r="F1410" s="8">
        <v>12702.66</v>
      </c>
      <c r="G1410" s="7">
        <v>15656.27</v>
      </c>
      <c r="H1410" s="7">
        <v>15656.273294563043</v>
      </c>
    </row>
    <row r="1411" spans="1:8" x14ac:dyDescent="0.35">
      <c r="A1411">
        <v>315430</v>
      </c>
      <c r="B1411">
        <v>3154309</v>
      </c>
      <c r="C1411" t="s">
        <v>150</v>
      </c>
      <c r="D1411">
        <v>2024</v>
      </c>
      <c r="E1411" s="7">
        <v>14291.16</v>
      </c>
      <c r="F1411" s="8">
        <v>13632.544932497713</v>
      </c>
      <c r="G1411" s="7">
        <v>16995.099999999999</v>
      </c>
      <c r="H1411" s="7">
        <v>16211.870128583747</v>
      </c>
    </row>
    <row r="1412" spans="1:8" x14ac:dyDescent="0.35">
      <c r="A1412">
        <v>315510</v>
      </c>
      <c r="B1412">
        <v>3155108</v>
      </c>
      <c r="C1412" t="s">
        <v>151</v>
      </c>
      <c r="D1412">
        <v>2015</v>
      </c>
      <c r="E1412" s="7">
        <v>5357.82</v>
      </c>
      <c r="F1412" s="8">
        <v>8076.694509978478</v>
      </c>
      <c r="G1412" s="7">
        <v>5957.39</v>
      </c>
      <c r="H1412" s="7">
        <v>8980.5258152742299</v>
      </c>
    </row>
    <row r="1413" spans="1:8" x14ac:dyDescent="0.35">
      <c r="A1413">
        <v>315510</v>
      </c>
      <c r="B1413">
        <v>3155108</v>
      </c>
      <c r="C1413" t="s">
        <v>151</v>
      </c>
      <c r="D1413">
        <v>2016</v>
      </c>
      <c r="E1413" s="7">
        <v>6121.29</v>
      </c>
      <c r="F1413" s="8">
        <v>8681.6906251020791</v>
      </c>
      <c r="G1413" s="7">
        <v>6623.76</v>
      </c>
      <c r="H1413" s="7">
        <v>9394.335410943926</v>
      </c>
    </row>
    <row r="1414" spans="1:8" x14ac:dyDescent="0.35">
      <c r="A1414">
        <v>315510</v>
      </c>
      <c r="B1414">
        <v>3155108</v>
      </c>
      <c r="C1414" t="s">
        <v>151</v>
      </c>
      <c r="D1414">
        <v>2017</v>
      </c>
      <c r="E1414" s="7">
        <v>8125.54</v>
      </c>
      <c r="F1414" s="8">
        <v>11194.330130988557</v>
      </c>
      <c r="G1414" s="7">
        <v>8193.73</v>
      </c>
      <c r="H1414" s="7">
        <v>11288.276864958423</v>
      </c>
    </row>
    <row r="1415" spans="1:8" x14ac:dyDescent="0.35">
      <c r="A1415">
        <v>315510</v>
      </c>
      <c r="B1415">
        <v>3155108</v>
      </c>
      <c r="C1415" t="s">
        <v>151</v>
      </c>
      <c r="D1415">
        <v>2018</v>
      </c>
      <c r="E1415" s="7">
        <v>9787.93</v>
      </c>
      <c r="F1415" s="8">
        <v>12997.718435853752</v>
      </c>
      <c r="G1415" s="7">
        <v>7730.37</v>
      </c>
      <c r="H1415" s="7">
        <v>10265.416041925906</v>
      </c>
    </row>
    <row r="1416" spans="1:8" x14ac:dyDescent="0.35">
      <c r="A1416">
        <v>315510</v>
      </c>
      <c r="B1416">
        <v>3155108</v>
      </c>
      <c r="C1416" t="s">
        <v>151</v>
      </c>
      <c r="D1416">
        <v>2019</v>
      </c>
      <c r="E1416" s="7">
        <v>11684.14</v>
      </c>
      <c r="F1416" s="8">
        <v>14875.209799877824</v>
      </c>
      <c r="G1416" s="7">
        <v>9184.99</v>
      </c>
      <c r="H1416" s="7">
        <v>11693.517712061022</v>
      </c>
    </row>
    <row r="1417" spans="1:8" x14ac:dyDescent="0.35">
      <c r="A1417">
        <v>315510</v>
      </c>
      <c r="B1417">
        <v>3155108</v>
      </c>
      <c r="C1417" t="s">
        <v>151</v>
      </c>
      <c r="D1417">
        <v>2020</v>
      </c>
      <c r="E1417" s="7">
        <v>10907.07</v>
      </c>
      <c r="F1417" s="8">
        <v>13285.735869557007</v>
      </c>
      <c r="G1417" s="7">
        <v>7038.32</v>
      </c>
      <c r="H1417" s="7">
        <v>8573.2751730166929</v>
      </c>
    </row>
    <row r="1418" spans="1:8" x14ac:dyDescent="0.35">
      <c r="A1418">
        <v>315510</v>
      </c>
      <c r="B1418">
        <v>3155108</v>
      </c>
      <c r="C1418" t="s">
        <v>151</v>
      </c>
      <c r="D1418">
        <v>2021</v>
      </c>
      <c r="E1418" s="7">
        <v>9054.7999999999993</v>
      </c>
      <c r="F1418" s="8">
        <v>10021.275219769805</v>
      </c>
      <c r="G1418" s="7">
        <v>7319.33</v>
      </c>
      <c r="H1418" s="7">
        <v>8100.562654183268</v>
      </c>
    </row>
    <row r="1419" spans="1:8" x14ac:dyDescent="0.35">
      <c r="A1419">
        <v>315510</v>
      </c>
      <c r="B1419">
        <v>3155108</v>
      </c>
      <c r="C1419" t="s">
        <v>151</v>
      </c>
      <c r="D1419">
        <v>2022</v>
      </c>
      <c r="E1419" s="7">
        <v>18479.46</v>
      </c>
      <c r="F1419" s="8">
        <v>19333.43095851309</v>
      </c>
      <c r="G1419" s="7">
        <v>21098.38</v>
      </c>
      <c r="H1419" s="7">
        <v>22073.380755132785</v>
      </c>
    </row>
    <row r="1420" spans="1:8" x14ac:dyDescent="0.35">
      <c r="A1420">
        <v>315510</v>
      </c>
      <c r="B1420">
        <v>3155108</v>
      </c>
      <c r="C1420" t="s">
        <v>151</v>
      </c>
      <c r="D1420">
        <v>2023</v>
      </c>
      <c r="E1420" s="7">
        <v>14950.26</v>
      </c>
      <c r="F1420" s="8">
        <v>14950.26</v>
      </c>
      <c r="G1420" s="7">
        <v>19457.38</v>
      </c>
      <c r="H1420" s="7">
        <v>19457.375290430391</v>
      </c>
    </row>
    <row r="1421" spans="1:8" x14ac:dyDescent="0.35">
      <c r="A1421">
        <v>315510</v>
      </c>
      <c r="B1421">
        <v>3155108</v>
      </c>
      <c r="C1421" t="s">
        <v>151</v>
      </c>
      <c r="D1421">
        <v>2024</v>
      </c>
      <c r="E1421" s="7">
        <v>18239.849999999999</v>
      </c>
      <c r="F1421" s="8">
        <v>17399.257631082317</v>
      </c>
      <c r="G1421" s="7">
        <v>23046.39</v>
      </c>
      <c r="H1421" s="7">
        <v>21984.287779089616</v>
      </c>
    </row>
    <row r="1422" spans="1:8" x14ac:dyDescent="0.35">
      <c r="A1422">
        <v>315560</v>
      </c>
      <c r="B1422">
        <v>3155603</v>
      </c>
      <c r="C1422" t="s">
        <v>152</v>
      </c>
      <c r="D1422">
        <v>2015</v>
      </c>
      <c r="E1422" s="7">
        <v>4955.6000000000004</v>
      </c>
      <c r="F1422" s="8">
        <v>7470.3643111656138</v>
      </c>
      <c r="G1422" s="7">
        <v>5411.99</v>
      </c>
      <c r="H1422" s="7">
        <v>8158.3501718571679</v>
      </c>
    </row>
    <row r="1423" spans="1:8" x14ac:dyDescent="0.35">
      <c r="A1423">
        <v>315560</v>
      </c>
      <c r="B1423">
        <v>3155603</v>
      </c>
      <c r="C1423" t="s">
        <v>152</v>
      </c>
      <c r="D1423">
        <v>2016</v>
      </c>
      <c r="E1423" s="7">
        <v>4598.51</v>
      </c>
      <c r="F1423" s="8">
        <v>6521.9653302552515</v>
      </c>
      <c r="G1423" s="7">
        <v>6577.56</v>
      </c>
      <c r="H1423" s="7">
        <v>9328.8051398080479</v>
      </c>
    </row>
    <row r="1424" spans="1:8" x14ac:dyDescent="0.35">
      <c r="A1424">
        <v>315560</v>
      </c>
      <c r="B1424">
        <v>3155603</v>
      </c>
      <c r="C1424" t="s">
        <v>152</v>
      </c>
      <c r="D1424">
        <v>2017</v>
      </c>
      <c r="E1424" s="7">
        <v>5054.68</v>
      </c>
      <c r="F1424" s="8">
        <v>6963.691844050395</v>
      </c>
      <c r="G1424" s="7">
        <v>6643.57</v>
      </c>
      <c r="H1424" s="7">
        <v>9152.6600837644237</v>
      </c>
    </row>
    <row r="1425" spans="1:8" x14ac:dyDescent="0.35">
      <c r="A1425">
        <v>315560</v>
      </c>
      <c r="B1425">
        <v>3155603</v>
      </c>
      <c r="C1425" t="s">
        <v>152</v>
      </c>
      <c r="D1425">
        <v>2018</v>
      </c>
      <c r="E1425" s="7">
        <v>5647.42</v>
      </c>
      <c r="F1425" s="8">
        <v>7499.3972217832779</v>
      </c>
      <c r="G1425" s="7">
        <v>7232.8</v>
      </c>
      <c r="H1425" s="7">
        <v>9604.6803366683889</v>
      </c>
    </row>
    <row r="1426" spans="1:8" x14ac:dyDescent="0.35">
      <c r="A1426">
        <v>315560</v>
      </c>
      <c r="B1426">
        <v>3155603</v>
      </c>
      <c r="C1426" t="s">
        <v>152</v>
      </c>
      <c r="D1426">
        <v>2019</v>
      </c>
      <c r="E1426" s="7">
        <v>5911.34</v>
      </c>
      <c r="F1426" s="8">
        <v>7525.7933145622856</v>
      </c>
      <c r="G1426" s="7">
        <v>8430.39</v>
      </c>
      <c r="H1426" s="7">
        <v>10732.821642737883</v>
      </c>
    </row>
    <row r="1427" spans="1:8" x14ac:dyDescent="0.35">
      <c r="A1427">
        <v>315560</v>
      </c>
      <c r="B1427">
        <v>3155603</v>
      </c>
      <c r="C1427" t="s">
        <v>152</v>
      </c>
      <c r="D1427">
        <v>2020</v>
      </c>
      <c r="E1427" s="7">
        <v>6863.36</v>
      </c>
      <c r="F1427" s="8">
        <v>8360.1542978712696</v>
      </c>
      <c r="G1427" s="7">
        <v>6790.47</v>
      </c>
      <c r="H1427" s="7">
        <v>8271.3669793207046</v>
      </c>
    </row>
    <row r="1428" spans="1:8" x14ac:dyDescent="0.35">
      <c r="A1428">
        <v>315560</v>
      </c>
      <c r="B1428">
        <v>3155603</v>
      </c>
      <c r="C1428" t="s">
        <v>152</v>
      </c>
      <c r="D1428">
        <v>2021</v>
      </c>
      <c r="E1428" s="7">
        <v>9032.57</v>
      </c>
      <c r="F1428" s="8">
        <v>9996.6724733661868</v>
      </c>
      <c r="G1428" s="7">
        <v>10587.26</v>
      </c>
      <c r="H1428" s="7">
        <v>11717.30199749571</v>
      </c>
    </row>
    <row r="1429" spans="1:8" x14ac:dyDescent="0.35">
      <c r="A1429">
        <v>315560</v>
      </c>
      <c r="B1429">
        <v>3155603</v>
      </c>
      <c r="C1429" t="s">
        <v>152</v>
      </c>
      <c r="D1429">
        <v>2022</v>
      </c>
      <c r="E1429" s="7">
        <v>11814.05</v>
      </c>
      <c r="F1429" s="8">
        <v>12359.999697795367</v>
      </c>
      <c r="G1429" s="7">
        <v>16371.86</v>
      </c>
      <c r="H1429" s="7">
        <v>17128.435474942671</v>
      </c>
    </row>
    <row r="1430" spans="1:8" x14ac:dyDescent="0.35">
      <c r="A1430">
        <v>315560</v>
      </c>
      <c r="B1430">
        <v>3155603</v>
      </c>
      <c r="C1430" t="s">
        <v>152</v>
      </c>
      <c r="D1430">
        <v>2023</v>
      </c>
      <c r="E1430" s="7">
        <v>11970.67</v>
      </c>
      <c r="F1430" s="8">
        <v>11970.67</v>
      </c>
      <c r="G1430" s="7">
        <v>15627.82</v>
      </c>
      <c r="H1430" s="7">
        <v>15627.816532617097</v>
      </c>
    </row>
    <row r="1431" spans="1:8" x14ac:dyDescent="0.35">
      <c r="A1431">
        <v>315560</v>
      </c>
      <c r="B1431">
        <v>3155603</v>
      </c>
      <c r="C1431" t="s">
        <v>152</v>
      </c>
      <c r="D1431">
        <v>2024</v>
      </c>
      <c r="E1431" s="7">
        <v>12540.6</v>
      </c>
      <c r="F1431" s="8">
        <v>11962.660342511092</v>
      </c>
      <c r="G1431" s="7">
        <v>17031.419999999998</v>
      </c>
      <c r="H1431" s="7">
        <v>16246.522974176463</v>
      </c>
    </row>
    <row r="1432" spans="1:8" x14ac:dyDescent="0.35">
      <c r="A1432">
        <v>315650</v>
      </c>
      <c r="B1432">
        <v>3156502</v>
      </c>
      <c r="C1432" t="s">
        <v>153</v>
      </c>
      <c r="D1432">
        <v>2015</v>
      </c>
      <c r="E1432" s="7">
        <v>8177.97</v>
      </c>
      <c r="F1432" s="8">
        <v>12327.955288115072</v>
      </c>
      <c r="G1432" s="7">
        <v>6163.52</v>
      </c>
      <c r="H1432" s="7">
        <v>9291.2471681004081</v>
      </c>
    </row>
    <row r="1433" spans="1:8" x14ac:dyDescent="0.35">
      <c r="A1433">
        <v>315650</v>
      </c>
      <c r="B1433">
        <v>3156502</v>
      </c>
      <c r="C1433" t="s">
        <v>153</v>
      </c>
      <c r="D1433">
        <v>2016</v>
      </c>
      <c r="E1433" s="7">
        <v>7310.08</v>
      </c>
      <c r="F1433" s="8">
        <v>10367.725267835083</v>
      </c>
      <c r="G1433" s="7">
        <v>10602.74</v>
      </c>
      <c r="H1433" s="7">
        <v>15037.629495054543</v>
      </c>
    </row>
    <row r="1434" spans="1:8" x14ac:dyDescent="0.35">
      <c r="A1434">
        <v>315650</v>
      </c>
      <c r="B1434">
        <v>3156502</v>
      </c>
      <c r="C1434" t="s">
        <v>153</v>
      </c>
      <c r="D1434">
        <v>2017</v>
      </c>
      <c r="E1434" s="7">
        <v>7809.57</v>
      </c>
      <c r="F1434" s="8">
        <v>10759.027062947731</v>
      </c>
      <c r="G1434" s="7">
        <v>13468.1</v>
      </c>
      <c r="H1434" s="7">
        <v>18554.628657482928</v>
      </c>
    </row>
    <row r="1435" spans="1:8" x14ac:dyDescent="0.35">
      <c r="A1435">
        <v>315650</v>
      </c>
      <c r="B1435">
        <v>3156502</v>
      </c>
      <c r="C1435" t="s">
        <v>153</v>
      </c>
      <c r="D1435">
        <v>2018</v>
      </c>
      <c r="E1435" s="7">
        <v>7764.15</v>
      </c>
      <c r="F1435" s="8">
        <v>10310.273530126789</v>
      </c>
      <c r="G1435" s="7">
        <v>12191.19</v>
      </c>
      <c r="H1435" s="7">
        <v>16189.08307018738</v>
      </c>
    </row>
    <row r="1436" spans="1:8" x14ac:dyDescent="0.35">
      <c r="A1436">
        <v>315650</v>
      </c>
      <c r="B1436">
        <v>3156502</v>
      </c>
      <c r="C1436" t="s">
        <v>153</v>
      </c>
      <c r="D1436">
        <v>2019</v>
      </c>
      <c r="E1436" s="7">
        <v>8023.78</v>
      </c>
      <c r="F1436" s="8">
        <v>10215.164392763498</v>
      </c>
      <c r="G1436" s="7">
        <v>14712.98</v>
      </c>
      <c r="H1436" s="7">
        <v>18731.255829394213</v>
      </c>
    </row>
    <row r="1437" spans="1:8" x14ac:dyDescent="0.35">
      <c r="A1437">
        <v>315650</v>
      </c>
      <c r="B1437">
        <v>3156502</v>
      </c>
      <c r="C1437" t="s">
        <v>153</v>
      </c>
      <c r="D1437">
        <v>2020</v>
      </c>
      <c r="E1437" s="7">
        <v>8860.66</v>
      </c>
      <c r="F1437" s="8">
        <v>10793.035012147991</v>
      </c>
      <c r="G1437" s="7">
        <v>12980.93</v>
      </c>
      <c r="H1437" s="7">
        <v>15811.871716790371</v>
      </c>
    </row>
    <row r="1438" spans="1:8" x14ac:dyDescent="0.35">
      <c r="A1438">
        <v>315650</v>
      </c>
      <c r="B1438">
        <v>3156502</v>
      </c>
      <c r="C1438" t="s">
        <v>153</v>
      </c>
      <c r="D1438">
        <v>2021</v>
      </c>
      <c r="E1438" s="7">
        <v>13975.91</v>
      </c>
      <c r="F1438" s="8">
        <v>15467.645950957838</v>
      </c>
      <c r="G1438" s="7">
        <v>13473.69</v>
      </c>
      <c r="H1438" s="7">
        <v>14911.821856940429</v>
      </c>
    </row>
    <row r="1439" spans="1:8" x14ac:dyDescent="0.35">
      <c r="A1439">
        <v>315650</v>
      </c>
      <c r="B1439">
        <v>3156502</v>
      </c>
      <c r="C1439" t="s">
        <v>153</v>
      </c>
      <c r="D1439">
        <v>2022</v>
      </c>
      <c r="E1439" s="7">
        <v>12307.03</v>
      </c>
      <c r="F1439" s="8">
        <v>12875.76124028242</v>
      </c>
      <c r="G1439" s="7">
        <v>18790.8</v>
      </c>
      <c r="H1439" s="7">
        <v>19659.16326342024</v>
      </c>
    </row>
    <row r="1440" spans="1:8" x14ac:dyDescent="0.35">
      <c r="A1440">
        <v>315650</v>
      </c>
      <c r="B1440">
        <v>3156502</v>
      </c>
      <c r="C1440" t="s">
        <v>153</v>
      </c>
      <c r="D1440">
        <v>2023</v>
      </c>
      <c r="E1440" s="7">
        <v>12531.22</v>
      </c>
      <c r="F1440" s="8">
        <v>12531.22</v>
      </c>
      <c r="G1440" s="7">
        <v>32074.99</v>
      </c>
      <c r="H1440" s="7">
        <v>32074.989901779914</v>
      </c>
    </row>
    <row r="1441" spans="1:8" x14ac:dyDescent="0.35">
      <c r="A1441">
        <v>315650</v>
      </c>
      <c r="B1441">
        <v>3156502</v>
      </c>
      <c r="C1441" t="s">
        <v>153</v>
      </c>
      <c r="D1441">
        <v>2024</v>
      </c>
      <c r="E1441" s="7">
        <v>17004.07</v>
      </c>
      <c r="F1441" s="8">
        <v>16220.429154129992</v>
      </c>
      <c r="G1441" s="7">
        <v>27551.35</v>
      </c>
      <c r="H1441" s="7">
        <v>26281.627943264255</v>
      </c>
    </row>
    <row r="1442" spans="1:8" x14ac:dyDescent="0.35">
      <c r="A1442">
        <v>315660</v>
      </c>
      <c r="B1442">
        <v>3156601</v>
      </c>
      <c r="C1442" t="s">
        <v>154</v>
      </c>
      <c r="D1442">
        <v>2015</v>
      </c>
      <c r="E1442" s="7">
        <v>4220.3500000000004</v>
      </c>
      <c r="F1442" s="8">
        <v>6362.0050086019455</v>
      </c>
      <c r="G1442" s="7">
        <v>4002.82</v>
      </c>
      <c r="H1442" s="7">
        <v>6034.0858785819764</v>
      </c>
    </row>
    <row r="1443" spans="1:8" x14ac:dyDescent="0.35">
      <c r="A1443">
        <v>315660</v>
      </c>
      <c r="B1443">
        <v>3156601</v>
      </c>
      <c r="C1443" t="s">
        <v>154</v>
      </c>
      <c r="D1443">
        <v>2016</v>
      </c>
      <c r="E1443" s="7">
        <v>4544.8900000000003</v>
      </c>
      <c r="F1443" s="8">
        <v>6445.9172666415407</v>
      </c>
      <c r="G1443" s="7">
        <v>4429.32</v>
      </c>
      <c r="H1443" s="7">
        <v>6282.0117502150842</v>
      </c>
    </row>
    <row r="1444" spans="1:8" x14ac:dyDescent="0.35">
      <c r="A1444">
        <v>315660</v>
      </c>
      <c r="B1444">
        <v>3156601</v>
      </c>
      <c r="C1444" t="s">
        <v>154</v>
      </c>
      <c r="D1444">
        <v>2017</v>
      </c>
      <c r="E1444" s="7">
        <v>4076.29</v>
      </c>
      <c r="F1444" s="8">
        <v>5615.7911929111597</v>
      </c>
      <c r="G1444" s="7">
        <v>4235.18</v>
      </c>
      <c r="H1444" s="7">
        <v>5834.686086026667</v>
      </c>
    </row>
    <row r="1445" spans="1:8" x14ac:dyDescent="0.35">
      <c r="A1445">
        <v>315660</v>
      </c>
      <c r="B1445">
        <v>3156601</v>
      </c>
      <c r="C1445" t="s">
        <v>154</v>
      </c>
      <c r="D1445">
        <v>2018</v>
      </c>
      <c r="E1445" s="7">
        <v>3785.32</v>
      </c>
      <c r="F1445" s="8">
        <v>5026.6525761428538</v>
      </c>
      <c r="G1445" s="7">
        <v>4196.05</v>
      </c>
      <c r="H1445" s="7">
        <v>5572.0687554969281</v>
      </c>
    </row>
    <row r="1446" spans="1:8" x14ac:dyDescent="0.35">
      <c r="A1446">
        <v>315660</v>
      </c>
      <c r="B1446">
        <v>3156601</v>
      </c>
      <c r="C1446" t="s">
        <v>154</v>
      </c>
      <c r="D1446">
        <v>2019</v>
      </c>
      <c r="E1446" s="7">
        <v>5071.4399999999996</v>
      </c>
      <c r="F1446" s="8">
        <v>6456.5071958648559</v>
      </c>
      <c r="G1446" s="7">
        <v>5600.72</v>
      </c>
      <c r="H1446" s="7">
        <v>7130.3379793422873</v>
      </c>
    </row>
    <row r="1447" spans="1:8" x14ac:dyDescent="0.35">
      <c r="A1447">
        <v>315660</v>
      </c>
      <c r="B1447">
        <v>3156601</v>
      </c>
      <c r="C1447" t="s">
        <v>154</v>
      </c>
      <c r="D1447">
        <v>2020</v>
      </c>
      <c r="E1447" s="7">
        <v>5476.78</v>
      </c>
      <c r="F1447" s="8">
        <v>6671.1823152938805</v>
      </c>
      <c r="G1447" s="7">
        <v>5569.95</v>
      </c>
      <c r="H1447" s="7">
        <v>6784.6685336968494</v>
      </c>
    </row>
    <row r="1448" spans="1:8" x14ac:dyDescent="0.35">
      <c r="A1448">
        <v>315660</v>
      </c>
      <c r="B1448">
        <v>3156601</v>
      </c>
      <c r="C1448" t="s">
        <v>154</v>
      </c>
      <c r="D1448">
        <v>2021</v>
      </c>
      <c r="E1448" s="7">
        <v>7290.61</v>
      </c>
      <c r="F1448" s="8">
        <v>8068.782229315495</v>
      </c>
      <c r="G1448" s="7">
        <v>7417.37</v>
      </c>
      <c r="H1448" s="7">
        <v>8209.0704211959219</v>
      </c>
    </row>
    <row r="1449" spans="1:8" x14ac:dyDescent="0.35">
      <c r="A1449">
        <v>315660</v>
      </c>
      <c r="B1449">
        <v>3156601</v>
      </c>
      <c r="C1449" t="s">
        <v>154</v>
      </c>
      <c r="D1449">
        <v>2022</v>
      </c>
      <c r="E1449" s="7">
        <v>7283.05</v>
      </c>
      <c r="F1449" s="8">
        <v>7619.6135786651112</v>
      </c>
      <c r="G1449" s="7">
        <v>11022.71</v>
      </c>
      <c r="H1449" s="7">
        <v>11532.086639286341</v>
      </c>
    </row>
    <row r="1450" spans="1:8" x14ac:dyDescent="0.35">
      <c r="A1450">
        <v>315660</v>
      </c>
      <c r="B1450">
        <v>3156601</v>
      </c>
      <c r="C1450" t="s">
        <v>154</v>
      </c>
      <c r="D1450">
        <v>2023</v>
      </c>
      <c r="E1450" s="7">
        <v>8975.9500000000007</v>
      </c>
      <c r="F1450" s="8">
        <v>8975.9500000000007</v>
      </c>
      <c r="G1450" s="7">
        <v>9957.02</v>
      </c>
      <c r="H1450" s="7">
        <v>9957.0201818973765</v>
      </c>
    </row>
    <row r="1451" spans="1:8" x14ac:dyDescent="0.35">
      <c r="A1451">
        <v>315660</v>
      </c>
      <c r="B1451">
        <v>3156601</v>
      </c>
      <c r="C1451" t="s">
        <v>154</v>
      </c>
      <c r="D1451">
        <v>2024</v>
      </c>
      <c r="E1451" s="7">
        <v>9958.61</v>
      </c>
      <c r="F1451" s="8">
        <v>9499.6626089289493</v>
      </c>
      <c r="G1451" s="7">
        <v>12034.92</v>
      </c>
      <c r="H1451" s="7">
        <v>11480.285211984585</v>
      </c>
    </row>
    <row r="1452" spans="1:8" x14ac:dyDescent="0.35">
      <c r="A1452">
        <v>315680</v>
      </c>
      <c r="B1452">
        <v>3156809</v>
      </c>
      <c r="C1452" t="s">
        <v>155</v>
      </c>
      <c r="D1452">
        <v>2015</v>
      </c>
      <c r="E1452" s="7">
        <v>7144.74</v>
      </c>
      <c r="F1452" s="8">
        <v>10770.40332322169</v>
      </c>
      <c r="G1452" s="7">
        <v>8791.59</v>
      </c>
      <c r="H1452" s="7">
        <v>13252.962090410956</v>
      </c>
    </row>
    <row r="1453" spans="1:8" x14ac:dyDescent="0.35">
      <c r="A1453">
        <v>315680</v>
      </c>
      <c r="B1453">
        <v>3156809</v>
      </c>
      <c r="C1453" t="s">
        <v>155</v>
      </c>
      <c r="D1453">
        <v>2016</v>
      </c>
      <c r="E1453" s="7">
        <v>8219.19</v>
      </c>
      <c r="F1453" s="8">
        <v>11657.09593385263</v>
      </c>
      <c r="G1453" s="7">
        <v>12043.9</v>
      </c>
      <c r="H1453" s="7">
        <v>17081.603055370702</v>
      </c>
    </row>
    <row r="1454" spans="1:8" x14ac:dyDescent="0.35">
      <c r="A1454">
        <v>315680</v>
      </c>
      <c r="B1454">
        <v>3156809</v>
      </c>
      <c r="C1454" t="s">
        <v>155</v>
      </c>
      <c r="D1454">
        <v>2017</v>
      </c>
      <c r="E1454" s="7">
        <v>6518.43</v>
      </c>
      <c r="F1454" s="8">
        <v>8980.2594480784956</v>
      </c>
      <c r="G1454" s="7">
        <v>11760.66</v>
      </c>
      <c r="H1454" s="7">
        <v>16202.332007936493</v>
      </c>
    </row>
    <row r="1455" spans="1:8" x14ac:dyDescent="0.35">
      <c r="A1455">
        <v>315680</v>
      </c>
      <c r="B1455">
        <v>3156809</v>
      </c>
      <c r="C1455" t="s">
        <v>155</v>
      </c>
      <c r="D1455">
        <v>2018</v>
      </c>
      <c r="E1455" s="7">
        <v>6774.12</v>
      </c>
      <c r="F1455" s="8">
        <v>8995.5796997614016</v>
      </c>
      <c r="G1455" s="7">
        <v>11816.43</v>
      </c>
      <c r="H1455" s="7">
        <v>15691.430914401944</v>
      </c>
    </row>
    <row r="1456" spans="1:8" x14ac:dyDescent="0.35">
      <c r="A1456">
        <v>315680</v>
      </c>
      <c r="B1456">
        <v>3156809</v>
      </c>
      <c r="C1456" t="s">
        <v>155</v>
      </c>
      <c r="D1456">
        <v>2019</v>
      </c>
      <c r="E1456" s="7">
        <v>9949.0300000000007</v>
      </c>
      <c r="F1456" s="8">
        <v>12666.221780574222</v>
      </c>
      <c r="G1456" s="7">
        <v>12383.41</v>
      </c>
      <c r="H1456" s="7">
        <v>15765.458068928707</v>
      </c>
    </row>
    <row r="1457" spans="1:8" x14ac:dyDescent="0.35">
      <c r="A1457">
        <v>315680</v>
      </c>
      <c r="B1457">
        <v>3156809</v>
      </c>
      <c r="C1457" t="s">
        <v>155</v>
      </c>
      <c r="D1457">
        <v>2020</v>
      </c>
      <c r="E1457" s="7">
        <v>8783.14</v>
      </c>
      <c r="F1457" s="8">
        <v>10698.609080655111</v>
      </c>
      <c r="G1457" s="7">
        <v>11421.57</v>
      </c>
      <c r="H1457" s="7">
        <v>13912.44542650628</v>
      </c>
    </row>
    <row r="1458" spans="1:8" x14ac:dyDescent="0.35">
      <c r="A1458">
        <v>315680</v>
      </c>
      <c r="B1458">
        <v>3156809</v>
      </c>
      <c r="C1458" t="s">
        <v>155</v>
      </c>
      <c r="D1458">
        <v>2021</v>
      </c>
      <c r="E1458" s="7">
        <v>15567.01</v>
      </c>
      <c r="F1458" s="8">
        <v>17228.573967277993</v>
      </c>
      <c r="G1458" s="7">
        <v>18313.419999999998</v>
      </c>
      <c r="H1458" s="7">
        <v>20268.130908612929</v>
      </c>
    </row>
    <row r="1459" spans="1:8" x14ac:dyDescent="0.35">
      <c r="A1459">
        <v>315680</v>
      </c>
      <c r="B1459">
        <v>3156809</v>
      </c>
      <c r="C1459" t="s">
        <v>155</v>
      </c>
      <c r="D1459">
        <v>2022</v>
      </c>
      <c r="E1459" s="7">
        <v>18889.439999999999</v>
      </c>
      <c r="F1459" s="8">
        <v>19762.356913295924</v>
      </c>
      <c r="G1459" s="7">
        <v>30185.09</v>
      </c>
      <c r="H1459" s="7">
        <v>31580.002285206821</v>
      </c>
    </row>
    <row r="1460" spans="1:8" x14ac:dyDescent="0.35">
      <c r="A1460">
        <v>315680</v>
      </c>
      <c r="B1460">
        <v>3156809</v>
      </c>
      <c r="C1460" t="s">
        <v>155</v>
      </c>
      <c r="D1460">
        <v>2023</v>
      </c>
      <c r="E1460" s="7">
        <v>16462.64</v>
      </c>
      <c r="F1460" s="8">
        <v>16462.64</v>
      </c>
      <c r="G1460" s="7">
        <v>39441.870000000003</v>
      </c>
      <c r="H1460" s="7">
        <v>39441.867857082776</v>
      </c>
    </row>
    <row r="1461" spans="1:8" x14ac:dyDescent="0.35">
      <c r="A1461">
        <v>315680</v>
      </c>
      <c r="B1461">
        <v>3156809</v>
      </c>
      <c r="C1461" t="s">
        <v>155</v>
      </c>
      <c r="D1461">
        <v>2024</v>
      </c>
      <c r="E1461" s="7">
        <v>14872.83</v>
      </c>
      <c r="F1461" s="8">
        <v>14187.408387310754</v>
      </c>
      <c r="G1461" s="7">
        <v>49632.98</v>
      </c>
      <c r="H1461" s="7">
        <v>47345.618396917933</v>
      </c>
    </row>
    <row r="1462" spans="1:8" x14ac:dyDescent="0.35">
      <c r="A1462">
        <v>315700</v>
      </c>
      <c r="B1462">
        <v>3157005</v>
      </c>
      <c r="C1462" t="s">
        <v>156</v>
      </c>
      <c r="D1462">
        <v>2015</v>
      </c>
      <c r="E1462" s="7">
        <v>7904.4</v>
      </c>
      <c r="F1462" s="8">
        <v>11915.559702392742</v>
      </c>
      <c r="G1462" s="7">
        <v>6280.43</v>
      </c>
      <c r="H1462" s="7">
        <v>9467.4938121812447</v>
      </c>
    </row>
    <row r="1463" spans="1:8" x14ac:dyDescent="0.35">
      <c r="A1463">
        <v>315700</v>
      </c>
      <c r="B1463">
        <v>3157005</v>
      </c>
      <c r="C1463" t="s">
        <v>156</v>
      </c>
      <c r="D1463">
        <v>2016</v>
      </c>
      <c r="E1463" s="7">
        <v>5289.45</v>
      </c>
      <c r="F1463" s="8">
        <v>7501.9102961869467</v>
      </c>
      <c r="G1463" s="7">
        <v>8139.14</v>
      </c>
      <c r="H1463" s="7">
        <v>11543.560665627547</v>
      </c>
    </row>
    <row r="1464" spans="1:8" x14ac:dyDescent="0.35">
      <c r="A1464">
        <v>315700</v>
      </c>
      <c r="B1464">
        <v>3157005</v>
      </c>
      <c r="C1464" t="s">
        <v>156</v>
      </c>
      <c r="D1464">
        <v>2017</v>
      </c>
      <c r="E1464" s="7">
        <v>7433.4</v>
      </c>
      <c r="F1464" s="8">
        <v>10240.788131704519</v>
      </c>
      <c r="G1464" s="7">
        <v>8577.07</v>
      </c>
      <c r="H1464" s="7">
        <v>11816.394772413356</v>
      </c>
    </row>
    <row r="1465" spans="1:8" x14ac:dyDescent="0.35">
      <c r="A1465">
        <v>315700</v>
      </c>
      <c r="B1465">
        <v>3157005</v>
      </c>
      <c r="C1465" t="s">
        <v>156</v>
      </c>
      <c r="D1465">
        <v>2018</v>
      </c>
      <c r="E1465" s="7">
        <v>7971.04</v>
      </c>
      <c r="F1465" s="8">
        <v>10585.009655864691</v>
      </c>
      <c r="G1465" s="7">
        <v>9155.91</v>
      </c>
      <c r="H1465" s="7">
        <v>12158.438708701266</v>
      </c>
    </row>
    <row r="1466" spans="1:8" x14ac:dyDescent="0.35">
      <c r="A1466">
        <v>315700</v>
      </c>
      <c r="B1466">
        <v>3157005</v>
      </c>
      <c r="C1466" t="s">
        <v>156</v>
      </c>
      <c r="D1466">
        <v>2019</v>
      </c>
      <c r="E1466" s="7">
        <v>8813.23</v>
      </c>
      <c r="F1466" s="8">
        <v>11220.222050110428</v>
      </c>
      <c r="G1466" s="7">
        <v>10695.41</v>
      </c>
      <c r="H1466" s="7">
        <v>13616.44080974407</v>
      </c>
    </row>
    <row r="1467" spans="1:8" x14ac:dyDescent="0.35">
      <c r="A1467">
        <v>315700</v>
      </c>
      <c r="B1467">
        <v>3157005</v>
      </c>
      <c r="C1467" t="s">
        <v>156</v>
      </c>
      <c r="D1467">
        <v>2020</v>
      </c>
      <c r="E1467" s="7">
        <v>9185.6</v>
      </c>
      <c r="F1467" s="8">
        <v>11188.839477825197</v>
      </c>
      <c r="G1467" s="7">
        <v>9309.94</v>
      </c>
      <c r="H1467" s="7">
        <v>11340.297305199671</v>
      </c>
    </row>
    <row r="1468" spans="1:8" x14ac:dyDescent="0.35">
      <c r="A1468">
        <v>315700</v>
      </c>
      <c r="B1468">
        <v>3157005</v>
      </c>
      <c r="C1468" t="s">
        <v>156</v>
      </c>
      <c r="D1468">
        <v>2021</v>
      </c>
      <c r="E1468" s="7">
        <v>10181.81</v>
      </c>
      <c r="F1468" s="8">
        <v>11268.578018885497</v>
      </c>
      <c r="G1468" s="7">
        <v>11124.94</v>
      </c>
      <c r="H1468" s="7">
        <v>12312.377075808337</v>
      </c>
    </row>
    <row r="1469" spans="1:8" x14ac:dyDescent="0.35">
      <c r="A1469">
        <v>315700</v>
      </c>
      <c r="B1469">
        <v>3157005</v>
      </c>
      <c r="C1469" t="s">
        <v>156</v>
      </c>
      <c r="D1469">
        <v>2022</v>
      </c>
      <c r="E1469" s="7">
        <v>13995.89</v>
      </c>
      <c r="F1469" s="8">
        <v>14642.666669802244</v>
      </c>
      <c r="G1469" s="7">
        <v>9556.34</v>
      </c>
      <c r="H1469" s="7">
        <v>9997.954880891155</v>
      </c>
    </row>
    <row r="1470" spans="1:8" x14ac:dyDescent="0.35">
      <c r="A1470">
        <v>315700</v>
      </c>
      <c r="B1470">
        <v>3157005</v>
      </c>
      <c r="C1470" t="s">
        <v>156</v>
      </c>
      <c r="D1470">
        <v>2023</v>
      </c>
      <c r="E1470" s="7">
        <v>10279.450000000001</v>
      </c>
      <c r="F1470" s="8">
        <v>10279.450000000001</v>
      </c>
      <c r="G1470" s="7">
        <v>12331.35</v>
      </c>
      <c r="H1470" s="7">
        <v>12331.351163683546</v>
      </c>
    </row>
    <row r="1471" spans="1:8" x14ac:dyDescent="0.35">
      <c r="A1471">
        <v>315700</v>
      </c>
      <c r="B1471">
        <v>3157005</v>
      </c>
      <c r="C1471" t="s">
        <v>156</v>
      </c>
      <c r="D1471">
        <v>2024</v>
      </c>
      <c r="E1471" s="7">
        <v>11925.27</v>
      </c>
      <c r="F1471" s="8">
        <v>11375.688125188368</v>
      </c>
      <c r="G1471" s="7">
        <v>13919.9</v>
      </c>
      <c r="H1471" s="7">
        <v>13278.393336467781</v>
      </c>
    </row>
    <row r="1472" spans="1:8" x14ac:dyDescent="0.35">
      <c r="A1472">
        <v>315710</v>
      </c>
      <c r="B1472">
        <v>3157104</v>
      </c>
      <c r="C1472" t="s">
        <v>157</v>
      </c>
      <c r="D1472">
        <v>2015</v>
      </c>
      <c r="E1472" s="7">
        <v>4438.6000000000004</v>
      </c>
      <c r="F1472" s="8">
        <v>6691.0079569657955</v>
      </c>
      <c r="G1472" s="7">
        <v>3608.03</v>
      </c>
      <c r="H1472" s="7">
        <v>5438.9536938504534</v>
      </c>
    </row>
    <row r="1473" spans="1:8" x14ac:dyDescent="0.35">
      <c r="A1473">
        <v>315710</v>
      </c>
      <c r="B1473">
        <v>3157104</v>
      </c>
      <c r="C1473" t="s">
        <v>157</v>
      </c>
      <c r="D1473">
        <v>2016</v>
      </c>
      <c r="E1473" s="7">
        <v>5143.68</v>
      </c>
      <c r="F1473" s="8">
        <v>7295.1679195929401</v>
      </c>
      <c r="G1473" s="7">
        <v>4766.03</v>
      </c>
      <c r="H1473" s="7">
        <v>6759.5595037209196</v>
      </c>
    </row>
    <row r="1474" spans="1:8" x14ac:dyDescent="0.35">
      <c r="A1474">
        <v>315710</v>
      </c>
      <c r="B1474">
        <v>3157104</v>
      </c>
      <c r="C1474" t="s">
        <v>157</v>
      </c>
      <c r="D1474">
        <v>2017</v>
      </c>
      <c r="E1474" s="7">
        <v>5127.08</v>
      </c>
      <c r="F1474" s="8">
        <v>7063.4353074366518</v>
      </c>
      <c r="G1474" s="7">
        <v>5182.32</v>
      </c>
      <c r="H1474" s="7">
        <v>7139.5369136876825</v>
      </c>
    </row>
    <row r="1475" spans="1:8" x14ac:dyDescent="0.35">
      <c r="A1475">
        <v>315710</v>
      </c>
      <c r="B1475">
        <v>3157104</v>
      </c>
      <c r="C1475" t="s">
        <v>157</v>
      </c>
      <c r="D1475">
        <v>2018</v>
      </c>
      <c r="E1475" s="7">
        <v>4603.9399999999996</v>
      </c>
      <c r="F1475" s="8">
        <v>6113.7253551634021</v>
      </c>
      <c r="G1475" s="7">
        <v>4244.54</v>
      </c>
      <c r="H1475" s="7">
        <v>5636.4672146505172</v>
      </c>
    </row>
    <row r="1476" spans="1:8" x14ac:dyDescent="0.35">
      <c r="A1476">
        <v>315710</v>
      </c>
      <c r="B1476">
        <v>3157104</v>
      </c>
      <c r="C1476" t="s">
        <v>157</v>
      </c>
      <c r="D1476">
        <v>2019</v>
      </c>
      <c r="E1476" s="7">
        <v>5424.5</v>
      </c>
      <c r="F1476" s="8">
        <v>6905.9918453080218</v>
      </c>
      <c r="G1476" s="7">
        <v>6229.15</v>
      </c>
      <c r="H1476" s="7">
        <v>7930.4054399454353</v>
      </c>
    </row>
    <row r="1477" spans="1:8" x14ac:dyDescent="0.35">
      <c r="A1477">
        <v>315710</v>
      </c>
      <c r="B1477">
        <v>3157104</v>
      </c>
      <c r="C1477" t="s">
        <v>157</v>
      </c>
      <c r="D1477">
        <v>2020</v>
      </c>
      <c r="E1477" s="7">
        <v>6514.58</v>
      </c>
      <c r="F1477" s="8">
        <v>7935.3106912395988</v>
      </c>
      <c r="G1477" s="7">
        <v>6364.56</v>
      </c>
      <c r="H1477" s="7">
        <v>7752.576986103918</v>
      </c>
    </row>
    <row r="1478" spans="1:8" x14ac:dyDescent="0.35">
      <c r="A1478">
        <v>315710</v>
      </c>
      <c r="B1478">
        <v>3157104</v>
      </c>
      <c r="C1478" t="s">
        <v>157</v>
      </c>
      <c r="D1478">
        <v>2021</v>
      </c>
      <c r="E1478" s="7">
        <v>7267.19</v>
      </c>
      <c r="F1478" s="8">
        <v>8042.8624667976028</v>
      </c>
      <c r="G1478" s="7">
        <v>6854.86</v>
      </c>
      <c r="H1478" s="7">
        <v>7586.5229278399029</v>
      </c>
    </row>
    <row r="1479" spans="1:8" x14ac:dyDescent="0.35">
      <c r="A1479">
        <v>315710</v>
      </c>
      <c r="B1479">
        <v>3157104</v>
      </c>
      <c r="C1479" t="s">
        <v>157</v>
      </c>
      <c r="D1479">
        <v>2022</v>
      </c>
      <c r="E1479" s="7">
        <v>9642.69</v>
      </c>
      <c r="F1479" s="8">
        <v>10088.297026501024</v>
      </c>
      <c r="G1479" s="7">
        <v>10831.78</v>
      </c>
      <c r="H1479" s="7">
        <v>11332.336209739895</v>
      </c>
    </row>
    <row r="1480" spans="1:8" x14ac:dyDescent="0.35">
      <c r="A1480">
        <v>315710</v>
      </c>
      <c r="B1480">
        <v>3157104</v>
      </c>
      <c r="C1480" t="s">
        <v>157</v>
      </c>
      <c r="D1480">
        <v>2023</v>
      </c>
      <c r="E1480" s="7">
        <v>12219.76</v>
      </c>
      <c r="F1480" s="8">
        <v>12219.76</v>
      </c>
      <c r="G1480" s="7">
        <v>14647.42</v>
      </c>
      <c r="H1480" s="7">
        <v>14647.418289738507</v>
      </c>
    </row>
    <row r="1481" spans="1:8" x14ac:dyDescent="0.35">
      <c r="A1481">
        <v>315710</v>
      </c>
      <c r="B1481">
        <v>3157104</v>
      </c>
      <c r="C1481" t="s">
        <v>157</v>
      </c>
      <c r="D1481">
        <v>2024</v>
      </c>
      <c r="E1481" s="7">
        <v>12727.58</v>
      </c>
      <c r="F1481" s="8">
        <v>12141.02327816351</v>
      </c>
      <c r="G1481" s="7">
        <v>15183.23</v>
      </c>
      <c r="H1481" s="7">
        <v>14483.502371698703</v>
      </c>
    </row>
    <row r="1482" spans="1:8" x14ac:dyDescent="0.35">
      <c r="A1482">
        <v>315725</v>
      </c>
      <c r="B1482">
        <v>3157252</v>
      </c>
      <c r="C1482" t="s">
        <v>158</v>
      </c>
      <c r="D1482">
        <v>2015</v>
      </c>
      <c r="E1482" s="7">
        <v>6216.9</v>
      </c>
      <c r="F1482" s="8">
        <v>9371.7224727753455</v>
      </c>
      <c r="G1482" s="7">
        <v>6713.99</v>
      </c>
      <c r="H1482" s="7">
        <v>10121.066164562117</v>
      </c>
    </row>
    <row r="1483" spans="1:8" x14ac:dyDescent="0.35">
      <c r="A1483">
        <v>315725</v>
      </c>
      <c r="B1483">
        <v>3157252</v>
      </c>
      <c r="C1483" t="s">
        <v>158</v>
      </c>
      <c r="D1483">
        <v>2016</v>
      </c>
      <c r="E1483" s="7">
        <v>6301.5</v>
      </c>
      <c r="F1483" s="8">
        <v>8937.2784942521521</v>
      </c>
      <c r="G1483" s="7">
        <v>7081.1</v>
      </c>
      <c r="H1483" s="7">
        <v>10042.963738651069</v>
      </c>
    </row>
    <row r="1484" spans="1:8" x14ac:dyDescent="0.35">
      <c r="A1484">
        <v>315725</v>
      </c>
      <c r="B1484">
        <v>3157252</v>
      </c>
      <c r="C1484" t="s">
        <v>158</v>
      </c>
      <c r="D1484">
        <v>2017</v>
      </c>
      <c r="E1484" s="7">
        <v>6799.5</v>
      </c>
      <c r="F1484" s="8">
        <v>9367.4817582162777</v>
      </c>
      <c r="G1484" s="7">
        <v>9791.7000000000007</v>
      </c>
      <c r="H1484" s="7">
        <v>13489.74801421327</v>
      </c>
    </row>
    <row r="1485" spans="1:8" x14ac:dyDescent="0.35">
      <c r="A1485">
        <v>315725</v>
      </c>
      <c r="B1485">
        <v>3157252</v>
      </c>
      <c r="C1485" t="s">
        <v>158</v>
      </c>
      <c r="D1485">
        <v>2018</v>
      </c>
      <c r="E1485" s="7">
        <v>4586.32</v>
      </c>
      <c r="F1485" s="8">
        <v>6090.3271699659454</v>
      </c>
      <c r="G1485" s="7">
        <v>12132.5</v>
      </c>
      <c r="H1485" s="7">
        <v>16111.153551915819</v>
      </c>
    </row>
    <row r="1486" spans="1:8" x14ac:dyDescent="0.35">
      <c r="A1486">
        <v>315725</v>
      </c>
      <c r="B1486">
        <v>3157252</v>
      </c>
      <c r="C1486" t="s">
        <v>158</v>
      </c>
      <c r="D1486">
        <v>2019</v>
      </c>
      <c r="E1486" s="7">
        <v>8148.21</v>
      </c>
      <c r="F1486" s="8">
        <v>10373.57762261172</v>
      </c>
      <c r="G1486" s="7">
        <v>12132.94</v>
      </c>
      <c r="H1486" s="7">
        <v>15446.585374892113</v>
      </c>
    </row>
    <row r="1487" spans="1:8" x14ac:dyDescent="0.35">
      <c r="A1487">
        <v>315725</v>
      </c>
      <c r="B1487">
        <v>3157252</v>
      </c>
      <c r="C1487" t="s">
        <v>158</v>
      </c>
      <c r="D1487">
        <v>2020</v>
      </c>
      <c r="E1487" s="7">
        <v>8586.6299999999992</v>
      </c>
      <c r="F1487" s="8">
        <v>10459.243242191926</v>
      </c>
      <c r="G1487" s="7">
        <v>9871.7900000000009</v>
      </c>
      <c r="H1487" s="7">
        <v>12024.672131682604</v>
      </c>
    </row>
    <row r="1488" spans="1:8" x14ac:dyDescent="0.35">
      <c r="A1488">
        <v>315725</v>
      </c>
      <c r="B1488">
        <v>3157252</v>
      </c>
      <c r="C1488" t="s">
        <v>158</v>
      </c>
      <c r="D1488">
        <v>2021</v>
      </c>
      <c r="E1488" s="7">
        <v>10617.72</v>
      </c>
      <c r="F1488" s="8">
        <v>11751.015409114972</v>
      </c>
      <c r="G1488" s="7">
        <v>12792.93</v>
      </c>
      <c r="H1488" s="7">
        <v>14158.396808087662</v>
      </c>
    </row>
    <row r="1489" spans="1:8" x14ac:dyDescent="0.35">
      <c r="A1489">
        <v>315725</v>
      </c>
      <c r="B1489">
        <v>3157252</v>
      </c>
      <c r="C1489" t="s">
        <v>158</v>
      </c>
      <c r="D1489">
        <v>2022</v>
      </c>
      <c r="E1489" s="7">
        <v>13957.7</v>
      </c>
      <c r="F1489" s="8">
        <v>14602.711837339304</v>
      </c>
      <c r="G1489" s="7">
        <v>14409.33</v>
      </c>
      <c r="H1489" s="7">
        <v>15075.211227713287</v>
      </c>
    </row>
    <row r="1490" spans="1:8" x14ac:dyDescent="0.35">
      <c r="A1490">
        <v>315725</v>
      </c>
      <c r="B1490">
        <v>3157252</v>
      </c>
      <c r="C1490" t="s">
        <v>158</v>
      </c>
      <c r="D1490">
        <v>2023</v>
      </c>
      <c r="E1490" s="7">
        <v>11660.4</v>
      </c>
      <c r="F1490" s="8">
        <v>11660.4</v>
      </c>
      <c r="G1490" s="7">
        <v>15659.91</v>
      </c>
      <c r="H1490" s="7">
        <v>15659.909236575813</v>
      </c>
    </row>
    <row r="1491" spans="1:8" x14ac:dyDescent="0.35">
      <c r="A1491">
        <v>315725</v>
      </c>
      <c r="B1491">
        <v>3157252</v>
      </c>
      <c r="C1491" t="s">
        <v>158</v>
      </c>
      <c r="D1491">
        <v>2024</v>
      </c>
      <c r="E1491" s="7">
        <v>14776.09</v>
      </c>
      <c r="F1491" s="8">
        <v>14095.126697317091</v>
      </c>
      <c r="G1491" s="7">
        <v>16292.88</v>
      </c>
      <c r="H1491" s="7">
        <v>15542.017095781204</v>
      </c>
    </row>
    <row r="1492" spans="1:8" x14ac:dyDescent="0.35">
      <c r="A1492">
        <v>315737</v>
      </c>
      <c r="B1492">
        <v>3157377</v>
      </c>
      <c r="C1492" t="s">
        <v>159</v>
      </c>
      <c r="D1492">
        <v>2015</v>
      </c>
      <c r="E1492" s="7">
        <v>5500.37</v>
      </c>
      <c r="F1492" s="8">
        <v>8291.5828045455655</v>
      </c>
      <c r="G1492" s="7">
        <v>7296.39</v>
      </c>
      <c r="H1492" s="7">
        <v>10999.001975463716</v>
      </c>
    </row>
    <row r="1493" spans="1:8" x14ac:dyDescent="0.35">
      <c r="A1493">
        <v>315737</v>
      </c>
      <c r="B1493">
        <v>3157377</v>
      </c>
      <c r="C1493" t="s">
        <v>159</v>
      </c>
      <c r="D1493">
        <v>2016</v>
      </c>
      <c r="E1493" s="7">
        <v>6645.23</v>
      </c>
      <c r="F1493" s="8">
        <v>9424.7831735871187</v>
      </c>
      <c r="G1493" s="7">
        <v>9099.83</v>
      </c>
      <c r="H1493" s="7">
        <v>12906.090487523767</v>
      </c>
    </row>
    <row r="1494" spans="1:8" x14ac:dyDescent="0.35">
      <c r="A1494">
        <v>315737</v>
      </c>
      <c r="B1494">
        <v>3157377</v>
      </c>
      <c r="C1494" t="s">
        <v>159</v>
      </c>
      <c r="D1494">
        <v>2017</v>
      </c>
      <c r="E1494" s="7">
        <v>7008.99</v>
      </c>
      <c r="F1494" s="8">
        <v>9656.0902961277025</v>
      </c>
      <c r="G1494" s="7">
        <v>9477</v>
      </c>
      <c r="H1494" s="7">
        <v>13056.198364142012</v>
      </c>
    </row>
    <row r="1495" spans="1:8" x14ac:dyDescent="0.35">
      <c r="A1495">
        <v>315737</v>
      </c>
      <c r="B1495">
        <v>3157377</v>
      </c>
      <c r="C1495" t="s">
        <v>159</v>
      </c>
      <c r="D1495">
        <v>2018</v>
      </c>
      <c r="E1495" s="7">
        <v>9618.77</v>
      </c>
      <c r="F1495" s="8">
        <v>12773.085234491562</v>
      </c>
      <c r="G1495" s="7">
        <v>8616.19</v>
      </c>
      <c r="H1495" s="7">
        <v>11441.726442043268</v>
      </c>
    </row>
    <row r="1496" spans="1:8" x14ac:dyDescent="0.35">
      <c r="A1496">
        <v>315737</v>
      </c>
      <c r="B1496">
        <v>3157377</v>
      </c>
      <c r="C1496" t="s">
        <v>159</v>
      </c>
      <c r="D1496">
        <v>2019</v>
      </c>
      <c r="E1496" s="7">
        <v>7460.92</v>
      </c>
      <c r="F1496" s="8">
        <v>9498.581008110521</v>
      </c>
      <c r="G1496" s="7">
        <v>9727.26</v>
      </c>
      <c r="H1496" s="7">
        <v>12383.879045154479</v>
      </c>
    </row>
    <row r="1497" spans="1:8" x14ac:dyDescent="0.35">
      <c r="A1497">
        <v>315737</v>
      </c>
      <c r="B1497">
        <v>3157377</v>
      </c>
      <c r="C1497" t="s">
        <v>159</v>
      </c>
      <c r="D1497">
        <v>2020</v>
      </c>
      <c r="E1497" s="7">
        <v>7544.14</v>
      </c>
      <c r="F1497" s="8">
        <v>9189.4020486674981</v>
      </c>
      <c r="G1497" s="7">
        <v>9080.65</v>
      </c>
      <c r="H1497" s="7">
        <v>11061.003509477512</v>
      </c>
    </row>
    <row r="1498" spans="1:8" x14ac:dyDescent="0.35">
      <c r="A1498">
        <v>315737</v>
      </c>
      <c r="B1498">
        <v>3157377</v>
      </c>
      <c r="C1498" t="s">
        <v>159</v>
      </c>
      <c r="D1498">
        <v>2021</v>
      </c>
      <c r="E1498" s="7">
        <v>12369.86</v>
      </c>
      <c r="F1498" s="8">
        <v>13690.172227991976</v>
      </c>
      <c r="G1498" s="7">
        <v>12412.85</v>
      </c>
      <c r="H1498" s="7">
        <v>13737.746093737343</v>
      </c>
    </row>
    <row r="1499" spans="1:8" x14ac:dyDescent="0.35">
      <c r="A1499">
        <v>315737</v>
      </c>
      <c r="B1499">
        <v>3157377</v>
      </c>
      <c r="C1499" t="s">
        <v>159</v>
      </c>
      <c r="D1499">
        <v>2022</v>
      </c>
      <c r="E1499" s="7">
        <v>13905.24</v>
      </c>
      <c r="F1499" s="8">
        <v>14547.827561062637</v>
      </c>
      <c r="G1499" s="7">
        <v>18834.419999999998</v>
      </c>
      <c r="H1499" s="7">
        <v>19704.791162660185</v>
      </c>
    </row>
    <row r="1500" spans="1:8" x14ac:dyDescent="0.35">
      <c r="A1500">
        <v>315737</v>
      </c>
      <c r="B1500">
        <v>3157377</v>
      </c>
      <c r="C1500" t="s">
        <v>159</v>
      </c>
      <c r="D1500">
        <v>2023</v>
      </c>
      <c r="E1500" s="7">
        <v>15291.84</v>
      </c>
      <c r="F1500" s="8">
        <v>15291.84</v>
      </c>
      <c r="G1500" s="7">
        <v>24576.400000000001</v>
      </c>
      <c r="H1500" s="7">
        <v>24576.404051991794</v>
      </c>
    </row>
    <row r="1501" spans="1:8" x14ac:dyDescent="0.35">
      <c r="A1501">
        <v>315737</v>
      </c>
      <c r="B1501">
        <v>3157377</v>
      </c>
      <c r="C1501" t="s">
        <v>159</v>
      </c>
      <c r="D1501">
        <v>2024</v>
      </c>
      <c r="E1501" s="7">
        <v>15240.07</v>
      </c>
      <c r="F1501" s="8">
        <v>14537.723953087811</v>
      </c>
      <c r="G1501" s="7">
        <v>26358.76</v>
      </c>
      <c r="H1501" s="7">
        <v>25143.999855069233</v>
      </c>
    </row>
    <row r="1502" spans="1:8" x14ac:dyDescent="0.35">
      <c r="A1502">
        <v>315750</v>
      </c>
      <c r="B1502">
        <v>3157500</v>
      </c>
      <c r="C1502" t="s">
        <v>160</v>
      </c>
      <c r="D1502">
        <v>2015</v>
      </c>
      <c r="E1502" s="7">
        <v>6167.04</v>
      </c>
      <c r="F1502" s="8">
        <v>9296.5605620975839</v>
      </c>
      <c r="G1502" s="7">
        <v>6338.3</v>
      </c>
      <c r="H1502" s="7">
        <v>9554.7248599558188</v>
      </c>
    </row>
    <row r="1503" spans="1:8" x14ac:dyDescent="0.35">
      <c r="A1503">
        <v>315750</v>
      </c>
      <c r="B1503">
        <v>3157500</v>
      </c>
      <c r="C1503" t="s">
        <v>160</v>
      </c>
      <c r="D1503">
        <v>2016</v>
      </c>
      <c r="E1503" s="7">
        <v>5348.1</v>
      </c>
      <c r="F1503" s="8">
        <v>7585.092297883034</v>
      </c>
      <c r="G1503" s="7">
        <v>10060.049999999999</v>
      </c>
      <c r="H1503" s="7">
        <v>14267.950314094731</v>
      </c>
    </row>
    <row r="1504" spans="1:8" x14ac:dyDescent="0.35">
      <c r="A1504">
        <v>315750</v>
      </c>
      <c r="B1504">
        <v>3157500</v>
      </c>
      <c r="C1504" t="s">
        <v>160</v>
      </c>
      <c r="D1504">
        <v>2017</v>
      </c>
      <c r="E1504" s="7">
        <v>5992.74</v>
      </c>
      <c r="F1504" s="8">
        <v>8256.030977532615</v>
      </c>
      <c r="G1504" s="7">
        <v>7830.89</v>
      </c>
      <c r="H1504" s="7">
        <v>10788.398183144553</v>
      </c>
    </row>
    <row r="1505" spans="1:8" x14ac:dyDescent="0.35">
      <c r="A1505">
        <v>315750</v>
      </c>
      <c r="B1505">
        <v>3157500</v>
      </c>
      <c r="C1505" t="s">
        <v>160</v>
      </c>
      <c r="D1505">
        <v>2018</v>
      </c>
      <c r="E1505" s="7">
        <v>6322.68</v>
      </c>
      <c r="F1505" s="8">
        <v>8396.0974792426805</v>
      </c>
      <c r="G1505" s="7">
        <v>8885.34</v>
      </c>
      <c r="H1505" s="7">
        <v>11799.145586560564</v>
      </c>
    </row>
    <row r="1506" spans="1:8" x14ac:dyDescent="0.35">
      <c r="A1506">
        <v>315750</v>
      </c>
      <c r="B1506">
        <v>3157500</v>
      </c>
      <c r="C1506" t="s">
        <v>160</v>
      </c>
      <c r="D1506">
        <v>2019</v>
      </c>
      <c r="E1506" s="7">
        <v>7589.59</v>
      </c>
      <c r="F1506" s="8">
        <v>9662.3922295568827</v>
      </c>
      <c r="G1506" s="7">
        <v>11744.12</v>
      </c>
      <c r="H1506" s="7">
        <v>14951.575976389886</v>
      </c>
    </row>
    <row r="1507" spans="1:8" x14ac:dyDescent="0.35">
      <c r="A1507">
        <v>315750</v>
      </c>
      <c r="B1507">
        <v>3157500</v>
      </c>
      <c r="C1507" t="s">
        <v>160</v>
      </c>
      <c r="D1507">
        <v>2020</v>
      </c>
      <c r="E1507" s="7">
        <v>8247.56</v>
      </c>
      <c r="F1507" s="8">
        <v>10046.227238692298</v>
      </c>
      <c r="G1507" s="7">
        <v>10502.74</v>
      </c>
      <c r="H1507" s="7">
        <v>12793.232810353244</v>
      </c>
    </row>
    <row r="1508" spans="1:8" x14ac:dyDescent="0.35">
      <c r="A1508">
        <v>315750</v>
      </c>
      <c r="B1508">
        <v>3157500</v>
      </c>
      <c r="C1508" t="s">
        <v>160</v>
      </c>
      <c r="D1508">
        <v>2021</v>
      </c>
      <c r="E1508" s="7">
        <v>11667.97</v>
      </c>
      <c r="F1508" s="8">
        <v>12913.365135178854</v>
      </c>
      <c r="G1508" s="7">
        <v>11999.95</v>
      </c>
      <c r="H1508" s="7">
        <v>13280.778453887146</v>
      </c>
    </row>
    <row r="1509" spans="1:8" x14ac:dyDescent="0.35">
      <c r="A1509">
        <v>315750</v>
      </c>
      <c r="B1509">
        <v>3157500</v>
      </c>
      <c r="C1509" t="s">
        <v>160</v>
      </c>
      <c r="D1509">
        <v>2022</v>
      </c>
      <c r="E1509" s="7">
        <v>13518.23</v>
      </c>
      <c r="F1509" s="8">
        <v>14142.933093623969</v>
      </c>
      <c r="G1509" s="7">
        <v>18222.59</v>
      </c>
      <c r="H1509" s="7">
        <v>19064.691712225758</v>
      </c>
    </row>
    <row r="1510" spans="1:8" x14ac:dyDescent="0.35">
      <c r="A1510">
        <v>315750</v>
      </c>
      <c r="B1510">
        <v>3157500</v>
      </c>
      <c r="C1510" t="s">
        <v>160</v>
      </c>
      <c r="D1510">
        <v>2023</v>
      </c>
      <c r="E1510" s="7">
        <v>16053.27</v>
      </c>
      <c r="F1510" s="8">
        <v>16053.27</v>
      </c>
      <c r="G1510" s="7">
        <v>21152.06</v>
      </c>
      <c r="H1510" s="7">
        <v>21152.058702663529</v>
      </c>
    </row>
    <row r="1511" spans="1:8" x14ac:dyDescent="0.35">
      <c r="A1511">
        <v>315750</v>
      </c>
      <c r="B1511">
        <v>3157500</v>
      </c>
      <c r="C1511" t="s">
        <v>160</v>
      </c>
      <c r="D1511">
        <v>2024</v>
      </c>
      <c r="E1511" s="7">
        <v>15240.36</v>
      </c>
      <c r="F1511" s="8">
        <v>14538.0005882966</v>
      </c>
      <c r="G1511" s="7">
        <v>19703.7</v>
      </c>
      <c r="H1511" s="7">
        <v>18795.647182270492</v>
      </c>
    </row>
    <row r="1512" spans="1:8" x14ac:dyDescent="0.35">
      <c r="A1512">
        <v>315765</v>
      </c>
      <c r="B1512">
        <v>3157658</v>
      </c>
      <c r="C1512" t="s">
        <v>161</v>
      </c>
      <c r="D1512">
        <v>2015</v>
      </c>
      <c r="E1512" s="7">
        <v>5787.97</v>
      </c>
      <c r="F1512" s="8">
        <v>8725.1280414273224</v>
      </c>
      <c r="G1512" s="7">
        <v>4772.4799999999996</v>
      </c>
      <c r="H1512" s="7">
        <v>7194.315671568007</v>
      </c>
    </row>
    <row r="1513" spans="1:8" x14ac:dyDescent="0.35">
      <c r="A1513">
        <v>315765</v>
      </c>
      <c r="B1513">
        <v>3157658</v>
      </c>
      <c r="C1513" t="s">
        <v>161</v>
      </c>
      <c r="D1513">
        <v>2016</v>
      </c>
      <c r="E1513" s="7">
        <v>6905.82</v>
      </c>
      <c r="F1513" s="8">
        <v>9794.372224260318</v>
      </c>
      <c r="G1513" s="7">
        <v>7686.06</v>
      </c>
      <c r="H1513" s="7">
        <v>10900.975875187081</v>
      </c>
    </row>
    <row r="1514" spans="1:8" x14ac:dyDescent="0.35">
      <c r="A1514">
        <v>315765</v>
      </c>
      <c r="B1514">
        <v>3157658</v>
      </c>
      <c r="C1514" t="s">
        <v>161</v>
      </c>
      <c r="D1514">
        <v>2017</v>
      </c>
      <c r="E1514" s="7">
        <v>9653.2999999999993</v>
      </c>
      <c r="F1514" s="8">
        <v>13299.082529096138</v>
      </c>
      <c r="G1514" s="7">
        <v>7976.04</v>
      </c>
      <c r="H1514" s="7">
        <v>10988.3691382134</v>
      </c>
    </row>
    <row r="1515" spans="1:8" x14ac:dyDescent="0.35">
      <c r="A1515">
        <v>315765</v>
      </c>
      <c r="B1515">
        <v>3157658</v>
      </c>
      <c r="C1515" t="s">
        <v>161</v>
      </c>
      <c r="D1515">
        <v>2018</v>
      </c>
      <c r="E1515" s="7">
        <v>6789.51</v>
      </c>
      <c r="F1515" s="8">
        <v>9016.016593642722</v>
      </c>
      <c r="G1515" s="7">
        <v>9557.41</v>
      </c>
      <c r="H1515" s="7">
        <v>12691.607625545828</v>
      </c>
    </row>
    <row r="1516" spans="1:8" x14ac:dyDescent="0.35">
      <c r="A1516">
        <v>315765</v>
      </c>
      <c r="B1516">
        <v>3157658</v>
      </c>
      <c r="C1516" t="s">
        <v>161</v>
      </c>
      <c r="D1516">
        <v>2019</v>
      </c>
      <c r="E1516" s="7">
        <v>10002.42</v>
      </c>
      <c r="F1516" s="8">
        <v>12734.193188929092</v>
      </c>
      <c r="G1516" s="7">
        <v>10258.16</v>
      </c>
      <c r="H1516" s="7">
        <v>13059.781325269025</v>
      </c>
    </row>
    <row r="1517" spans="1:8" x14ac:dyDescent="0.35">
      <c r="A1517">
        <v>315765</v>
      </c>
      <c r="B1517">
        <v>3157658</v>
      </c>
      <c r="C1517" t="s">
        <v>161</v>
      </c>
      <c r="D1517">
        <v>2020</v>
      </c>
      <c r="E1517" s="7">
        <v>10369.65</v>
      </c>
      <c r="F1517" s="8">
        <v>12631.112751614488</v>
      </c>
      <c r="G1517" s="7">
        <v>8615.68</v>
      </c>
      <c r="H1517" s="7">
        <v>10494.626780180755</v>
      </c>
    </row>
    <row r="1518" spans="1:8" x14ac:dyDescent="0.35">
      <c r="A1518">
        <v>315765</v>
      </c>
      <c r="B1518">
        <v>3157658</v>
      </c>
      <c r="C1518" t="s">
        <v>161</v>
      </c>
      <c r="D1518">
        <v>2021</v>
      </c>
      <c r="E1518" s="7">
        <v>9069.94</v>
      </c>
      <c r="F1518" s="8">
        <v>10038.031206299305</v>
      </c>
      <c r="G1518" s="7">
        <v>9279.94</v>
      </c>
      <c r="H1518" s="7">
        <v>10270.444381498095</v>
      </c>
    </row>
    <row r="1519" spans="1:8" x14ac:dyDescent="0.35">
      <c r="A1519">
        <v>315765</v>
      </c>
      <c r="B1519">
        <v>3157658</v>
      </c>
      <c r="C1519" t="s">
        <v>161</v>
      </c>
      <c r="D1519">
        <v>2022</v>
      </c>
      <c r="E1519" s="7">
        <v>14221.76</v>
      </c>
      <c r="F1519" s="8">
        <v>14878.974551666723</v>
      </c>
      <c r="G1519" s="7">
        <v>15926.17</v>
      </c>
      <c r="H1519" s="7">
        <v>16662.151266166667</v>
      </c>
    </row>
    <row r="1520" spans="1:8" x14ac:dyDescent="0.35">
      <c r="A1520">
        <v>315765</v>
      </c>
      <c r="B1520">
        <v>3157658</v>
      </c>
      <c r="C1520" t="s">
        <v>161</v>
      </c>
      <c r="D1520">
        <v>2023</v>
      </c>
      <c r="E1520" s="7">
        <v>17582.14</v>
      </c>
      <c r="F1520" s="8">
        <v>17582.14</v>
      </c>
      <c r="G1520" s="7">
        <v>23538.12</v>
      </c>
      <c r="H1520" s="7">
        <v>23538.121974344624</v>
      </c>
    </row>
    <row r="1521" spans="1:8" x14ac:dyDescent="0.35">
      <c r="A1521">
        <v>315765</v>
      </c>
      <c r="B1521">
        <v>3157658</v>
      </c>
      <c r="C1521" t="s">
        <v>161</v>
      </c>
      <c r="D1521">
        <v>2024</v>
      </c>
      <c r="E1521" s="7">
        <v>19622.060000000001</v>
      </c>
      <c r="F1521" s="8">
        <v>18717.767810182384</v>
      </c>
      <c r="G1521" s="7">
        <v>21375.81</v>
      </c>
      <c r="H1521" s="7">
        <v>20390.695000298692</v>
      </c>
    </row>
    <row r="1522" spans="1:8" x14ac:dyDescent="0.35">
      <c r="A1522">
        <v>315820</v>
      </c>
      <c r="B1522">
        <v>3158201</v>
      </c>
      <c r="C1522" t="s">
        <v>162</v>
      </c>
      <c r="D1522">
        <v>2015</v>
      </c>
      <c r="E1522" s="7">
        <v>5798.68</v>
      </c>
      <c r="F1522" s="8">
        <v>8741.2729283779609</v>
      </c>
      <c r="G1522" s="7">
        <v>8336.8799999999992</v>
      </c>
      <c r="H1522" s="7">
        <v>12567.508766759533</v>
      </c>
    </row>
    <row r="1523" spans="1:8" x14ac:dyDescent="0.35">
      <c r="A1523">
        <v>315820</v>
      </c>
      <c r="B1523">
        <v>3158201</v>
      </c>
      <c r="C1523" t="s">
        <v>162</v>
      </c>
      <c r="D1523">
        <v>2016</v>
      </c>
      <c r="E1523" s="7">
        <v>8095.07</v>
      </c>
      <c r="F1523" s="8">
        <v>11481.05927484976</v>
      </c>
      <c r="G1523" s="7">
        <v>9329.32</v>
      </c>
      <c r="H1523" s="7">
        <v>13231.567290351146</v>
      </c>
    </row>
    <row r="1524" spans="1:8" x14ac:dyDescent="0.35">
      <c r="A1524">
        <v>315820</v>
      </c>
      <c r="B1524">
        <v>3158201</v>
      </c>
      <c r="C1524" t="s">
        <v>162</v>
      </c>
      <c r="D1524">
        <v>2017</v>
      </c>
      <c r="E1524" s="7">
        <v>9505.42</v>
      </c>
      <c r="F1524" s="8">
        <v>13095.35237211327</v>
      </c>
      <c r="G1524" s="7">
        <v>15582.73</v>
      </c>
      <c r="H1524" s="7">
        <v>21467.896974430168</v>
      </c>
    </row>
    <row r="1525" spans="1:8" x14ac:dyDescent="0.35">
      <c r="A1525">
        <v>315820</v>
      </c>
      <c r="B1525">
        <v>3158201</v>
      </c>
      <c r="C1525" t="s">
        <v>162</v>
      </c>
      <c r="D1525">
        <v>2018</v>
      </c>
      <c r="E1525" s="7">
        <v>10208.36</v>
      </c>
      <c r="F1525" s="8">
        <v>13556.021443944943</v>
      </c>
      <c r="G1525" s="7">
        <v>19324.009999999998</v>
      </c>
      <c r="H1525" s="7">
        <v>25660.995068413002</v>
      </c>
    </row>
    <row r="1526" spans="1:8" x14ac:dyDescent="0.35">
      <c r="A1526">
        <v>315820</v>
      </c>
      <c r="B1526">
        <v>3158201</v>
      </c>
      <c r="C1526" t="s">
        <v>162</v>
      </c>
      <c r="D1526">
        <v>2019</v>
      </c>
      <c r="E1526" s="7">
        <v>12460.23</v>
      </c>
      <c r="F1526" s="8">
        <v>15863.258691245712</v>
      </c>
      <c r="G1526" s="7">
        <v>19204.54</v>
      </c>
      <c r="H1526" s="7">
        <v>24449.51461131177</v>
      </c>
    </row>
    <row r="1527" spans="1:8" x14ac:dyDescent="0.35">
      <c r="A1527">
        <v>315820</v>
      </c>
      <c r="B1527">
        <v>3158201</v>
      </c>
      <c r="C1527" t="s">
        <v>162</v>
      </c>
      <c r="D1527">
        <v>2020</v>
      </c>
      <c r="E1527" s="7">
        <v>13950.64</v>
      </c>
      <c r="F1527" s="8">
        <v>16993.062137794732</v>
      </c>
      <c r="G1527" s="7">
        <v>17902.41</v>
      </c>
      <c r="H1527" s="7">
        <v>21806.647717843887</v>
      </c>
    </row>
    <row r="1528" spans="1:8" x14ac:dyDescent="0.35">
      <c r="A1528">
        <v>315820</v>
      </c>
      <c r="B1528">
        <v>3158201</v>
      </c>
      <c r="C1528" t="s">
        <v>162</v>
      </c>
      <c r="D1528">
        <v>2021</v>
      </c>
      <c r="E1528" s="7">
        <v>15876.75</v>
      </c>
      <c r="F1528" s="8">
        <v>17571.374447307535</v>
      </c>
      <c r="G1528" s="7">
        <v>19084.47</v>
      </c>
      <c r="H1528" s="7">
        <v>21121.479245933555</v>
      </c>
    </row>
    <row r="1529" spans="1:8" x14ac:dyDescent="0.35">
      <c r="A1529">
        <v>315820</v>
      </c>
      <c r="B1529">
        <v>3158201</v>
      </c>
      <c r="C1529" s="9" t="s">
        <v>162</v>
      </c>
      <c r="D1529">
        <v>2022</v>
      </c>
      <c r="E1529" s="7">
        <v>16761.53</v>
      </c>
      <c r="F1529" s="8">
        <v>17536.112149058787</v>
      </c>
      <c r="G1529" s="7">
        <v>17948.468397310309</v>
      </c>
      <c r="H1529" s="7">
        <v>18777.901224952082</v>
      </c>
    </row>
    <row r="1530" spans="1:8" x14ac:dyDescent="0.35">
      <c r="A1530">
        <v>315820</v>
      </c>
      <c r="B1530">
        <v>3158201</v>
      </c>
      <c r="C1530" t="s">
        <v>162</v>
      </c>
      <c r="D1530">
        <v>2023</v>
      </c>
      <c r="E1530" s="7">
        <v>15747.96</v>
      </c>
      <c r="F1530" s="8">
        <v>15747.96</v>
      </c>
      <c r="G1530" s="7">
        <v>45161.46</v>
      </c>
      <c r="H1530" s="7">
        <v>45161.456886720705</v>
      </c>
    </row>
    <row r="1531" spans="1:8" x14ac:dyDescent="0.35">
      <c r="A1531">
        <v>315820</v>
      </c>
      <c r="B1531">
        <v>3158201</v>
      </c>
      <c r="C1531" t="s">
        <v>162</v>
      </c>
      <c r="D1531">
        <v>2024</v>
      </c>
      <c r="E1531" s="7">
        <v>18483.28</v>
      </c>
      <c r="F1531" s="8">
        <v>17631.469040997112</v>
      </c>
      <c r="G1531" s="7">
        <v>46576.77</v>
      </c>
      <c r="H1531" s="7">
        <v>44430.259926535808</v>
      </c>
    </row>
    <row r="1532" spans="1:8" x14ac:dyDescent="0.35">
      <c r="A1532">
        <v>315935</v>
      </c>
      <c r="B1532">
        <v>3159357</v>
      </c>
      <c r="C1532" t="s">
        <v>163</v>
      </c>
      <c r="D1532">
        <v>2015</v>
      </c>
      <c r="E1532" s="7">
        <v>4625.47</v>
      </c>
      <c r="F1532" s="8">
        <v>6972.7068388020043</v>
      </c>
      <c r="G1532" s="7">
        <v>4487.97</v>
      </c>
      <c r="H1532" s="7">
        <v>6765.4314487524507</v>
      </c>
    </row>
    <row r="1533" spans="1:8" x14ac:dyDescent="0.35">
      <c r="A1533">
        <v>315935</v>
      </c>
      <c r="B1533">
        <v>3159357</v>
      </c>
      <c r="C1533" t="s">
        <v>163</v>
      </c>
      <c r="D1533">
        <v>2016</v>
      </c>
      <c r="E1533" s="7">
        <v>4732.37</v>
      </c>
      <c r="F1533" s="8">
        <v>6711.8160164792598</v>
      </c>
      <c r="G1533" s="7">
        <v>4780.12</v>
      </c>
      <c r="H1533" s="7">
        <v>6779.5377255844069</v>
      </c>
    </row>
    <row r="1534" spans="1:8" x14ac:dyDescent="0.35">
      <c r="A1534">
        <v>315935</v>
      </c>
      <c r="B1534">
        <v>3159357</v>
      </c>
      <c r="C1534" t="s">
        <v>163</v>
      </c>
      <c r="D1534">
        <v>2017</v>
      </c>
      <c r="E1534" s="7">
        <v>4713.9799999999996</v>
      </c>
      <c r="F1534" s="8">
        <v>6494.3189438335712</v>
      </c>
      <c r="G1534" s="7">
        <v>4087.3</v>
      </c>
      <c r="H1534" s="7">
        <v>5630.9560129272168</v>
      </c>
    </row>
    <row r="1535" spans="1:8" x14ac:dyDescent="0.35">
      <c r="A1535">
        <v>315935</v>
      </c>
      <c r="B1535">
        <v>3159357</v>
      </c>
      <c r="C1535" t="s">
        <v>163</v>
      </c>
      <c r="D1535">
        <v>2018</v>
      </c>
      <c r="E1535" s="7">
        <v>5165.6499999999996</v>
      </c>
      <c r="F1535" s="8">
        <v>6859.6387834984444</v>
      </c>
      <c r="G1535" s="7">
        <v>4585.6499999999996</v>
      </c>
      <c r="H1535" s="7">
        <v>6089.4369803758773</v>
      </c>
    </row>
    <row r="1536" spans="1:8" x14ac:dyDescent="0.35">
      <c r="A1536">
        <v>315935</v>
      </c>
      <c r="B1536">
        <v>3159357</v>
      </c>
      <c r="C1536" t="s">
        <v>163</v>
      </c>
      <c r="D1536">
        <v>2019</v>
      </c>
      <c r="E1536" s="7">
        <v>5995.3</v>
      </c>
      <c r="F1536" s="8">
        <v>7632.6837330952494</v>
      </c>
      <c r="G1536" s="7">
        <v>7796.9</v>
      </c>
      <c r="H1536" s="7">
        <v>9926.3155215997704</v>
      </c>
    </row>
    <row r="1537" spans="1:8" x14ac:dyDescent="0.35">
      <c r="A1537">
        <v>315935</v>
      </c>
      <c r="B1537">
        <v>3159357</v>
      </c>
      <c r="C1537" t="s">
        <v>163</v>
      </c>
      <c r="D1537">
        <v>2020</v>
      </c>
      <c r="E1537" s="7">
        <v>6618.7</v>
      </c>
      <c r="F1537" s="8">
        <v>8062.1376776565075</v>
      </c>
      <c r="G1537" s="7">
        <v>7037.7</v>
      </c>
      <c r="H1537" s="7">
        <v>8572.5210835858979</v>
      </c>
    </row>
    <row r="1538" spans="1:8" x14ac:dyDescent="0.35">
      <c r="A1538">
        <v>315935</v>
      </c>
      <c r="B1538">
        <v>3159357</v>
      </c>
      <c r="C1538" t="s">
        <v>163</v>
      </c>
      <c r="D1538">
        <v>2021</v>
      </c>
      <c r="E1538" s="7">
        <v>9764.77</v>
      </c>
      <c r="F1538" s="8">
        <v>10807.024741325222</v>
      </c>
      <c r="G1538" s="7">
        <v>9469.0499999999993</v>
      </c>
      <c r="H1538" s="7">
        <v>10479.737226535366</v>
      </c>
    </row>
    <row r="1539" spans="1:8" x14ac:dyDescent="0.35">
      <c r="A1539">
        <v>315935</v>
      </c>
      <c r="B1539">
        <v>3159357</v>
      </c>
      <c r="C1539" t="s">
        <v>163</v>
      </c>
      <c r="D1539">
        <v>2022</v>
      </c>
      <c r="E1539" s="7">
        <v>11161.6</v>
      </c>
      <c r="F1539" s="8">
        <v>11677.398743607211</v>
      </c>
      <c r="G1539" s="7">
        <v>11262.84</v>
      </c>
      <c r="H1539" s="7">
        <v>11783.314236242586</v>
      </c>
    </row>
    <row r="1540" spans="1:8" x14ac:dyDescent="0.35">
      <c r="A1540">
        <v>315935</v>
      </c>
      <c r="B1540">
        <v>3159357</v>
      </c>
      <c r="C1540" t="s">
        <v>163</v>
      </c>
      <c r="D1540">
        <v>2023</v>
      </c>
      <c r="E1540" s="7">
        <v>12315.27</v>
      </c>
      <c r="F1540" s="8">
        <v>12315.27</v>
      </c>
      <c r="G1540" s="7">
        <v>14159.05</v>
      </c>
      <c r="H1540" s="7">
        <v>14159.046667861681</v>
      </c>
    </row>
    <row r="1541" spans="1:8" x14ac:dyDescent="0.35">
      <c r="A1541">
        <v>315935</v>
      </c>
      <c r="B1541">
        <v>3159357</v>
      </c>
      <c r="C1541" t="s">
        <v>163</v>
      </c>
      <c r="D1541">
        <v>2024</v>
      </c>
      <c r="E1541" s="7">
        <v>13631.87</v>
      </c>
      <c r="F1541" s="8">
        <v>13003.638633180763</v>
      </c>
      <c r="G1541" s="7">
        <v>16545.759999999998</v>
      </c>
      <c r="H1541" s="7">
        <v>15783.241663569012</v>
      </c>
    </row>
    <row r="1542" spans="1:8" x14ac:dyDescent="0.35">
      <c r="A1542">
        <v>315950</v>
      </c>
      <c r="B1542">
        <v>3159506</v>
      </c>
      <c r="C1542" t="s">
        <v>164</v>
      </c>
      <c r="D1542">
        <v>2015</v>
      </c>
      <c r="E1542" s="7">
        <v>5196.97</v>
      </c>
      <c r="F1542" s="8">
        <v>7834.219713899096</v>
      </c>
      <c r="G1542" s="7">
        <v>6722.11</v>
      </c>
      <c r="H1542" s="7">
        <v>10133.300974407122</v>
      </c>
    </row>
    <row r="1543" spans="1:8" x14ac:dyDescent="0.35">
      <c r="A1543">
        <v>315950</v>
      </c>
      <c r="B1543">
        <v>3159506</v>
      </c>
      <c r="C1543" t="s">
        <v>164</v>
      </c>
      <c r="D1543">
        <v>2016</v>
      </c>
      <c r="E1543" s="7">
        <v>6905.88</v>
      </c>
      <c r="F1543" s="8">
        <v>9794.4573209372465</v>
      </c>
      <c r="G1543" s="7">
        <v>7033.66</v>
      </c>
      <c r="H1543" s="7">
        <v>9975.6871508079948</v>
      </c>
    </row>
    <row r="1544" spans="1:8" x14ac:dyDescent="0.35">
      <c r="A1544">
        <v>315950</v>
      </c>
      <c r="B1544">
        <v>3159506</v>
      </c>
      <c r="C1544" t="s">
        <v>164</v>
      </c>
      <c r="D1544">
        <v>2017</v>
      </c>
      <c r="E1544" s="7">
        <v>7619.27</v>
      </c>
      <c r="F1544" s="8">
        <v>10496.856053522251</v>
      </c>
      <c r="G1544" s="7">
        <v>6603.45</v>
      </c>
      <c r="H1544" s="7">
        <v>9097.3831917015032</v>
      </c>
    </row>
    <row r="1545" spans="1:8" x14ac:dyDescent="0.35">
      <c r="A1545">
        <v>315950</v>
      </c>
      <c r="B1545">
        <v>3159506</v>
      </c>
      <c r="C1545" t="s">
        <v>164</v>
      </c>
      <c r="D1545">
        <v>2018</v>
      </c>
      <c r="E1545" s="7">
        <v>6412.12</v>
      </c>
      <c r="F1545" s="8">
        <v>8514.8678358862962</v>
      </c>
      <c r="G1545" s="7">
        <v>6504.66</v>
      </c>
      <c r="H1545" s="7">
        <v>8637.7592016176277</v>
      </c>
    </row>
    <row r="1546" spans="1:8" x14ac:dyDescent="0.35">
      <c r="A1546">
        <v>315950</v>
      </c>
      <c r="B1546">
        <v>3159506</v>
      </c>
      <c r="C1546" t="s">
        <v>164</v>
      </c>
      <c r="D1546">
        <v>2019</v>
      </c>
      <c r="E1546" s="7">
        <v>7908.56</v>
      </c>
      <c r="F1546" s="8">
        <v>10068.476517306519</v>
      </c>
      <c r="G1546" s="7">
        <v>10890.13</v>
      </c>
      <c r="H1546" s="7">
        <v>13864.345374748671</v>
      </c>
    </row>
    <row r="1547" spans="1:8" x14ac:dyDescent="0.35">
      <c r="A1547">
        <v>315950</v>
      </c>
      <c r="B1547">
        <v>3159506</v>
      </c>
      <c r="C1547" t="s">
        <v>164</v>
      </c>
      <c r="D1547">
        <v>2020</v>
      </c>
      <c r="E1547" s="7">
        <v>8434.0300000000007</v>
      </c>
      <c r="F1547" s="8">
        <v>10273.36350604882</v>
      </c>
      <c r="G1547" s="7">
        <v>9964.7099999999991</v>
      </c>
      <c r="H1547" s="7">
        <v>12137.86703480054</v>
      </c>
    </row>
    <row r="1548" spans="1:8" x14ac:dyDescent="0.35">
      <c r="A1548">
        <v>315950</v>
      </c>
      <c r="B1548">
        <v>3159506</v>
      </c>
      <c r="C1548" t="s">
        <v>164</v>
      </c>
      <c r="D1548">
        <v>2021</v>
      </c>
      <c r="E1548" s="7">
        <v>10408.469999999999</v>
      </c>
      <c r="F1548" s="8">
        <v>11519.430852886582</v>
      </c>
      <c r="G1548" s="7">
        <v>11134.22</v>
      </c>
      <c r="H1548" s="7">
        <v>12322.641632055935</v>
      </c>
    </row>
    <row r="1549" spans="1:8" x14ac:dyDescent="0.35">
      <c r="A1549">
        <v>315950</v>
      </c>
      <c r="B1549">
        <v>3159506</v>
      </c>
      <c r="C1549" t="s">
        <v>164</v>
      </c>
      <c r="D1549">
        <v>2022</v>
      </c>
      <c r="E1549" s="7">
        <v>15135.35</v>
      </c>
      <c r="F1549" s="8">
        <v>15834.783281434151</v>
      </c>
      <c r="G1549" s="7">
        <v>18350.349999999999</v>
      </c>
      <c r="H1549" s="7">
        <v>19198.354548193114</v>
      </c>
    </row>
    <row r="1550" spans="1:8" x14ac:dyDescent="0.35">
      <c r="A1550">
        <v>315950</v>
      </c>
      <c r="B1550">
        <v>3159506</v>
      </c>
      <c r="C1550" t="s">
        <v>164</v>
      </c>
      <c r="D1550">
        <v>2023</v>
      </c>
      <c r="E1550" s="7">
        <v>17132.66</v>
      </c>
      <c r="F1550" s="8">
        <v>17132.66</v>
      </c>
      <c r="G1550" s="7">
        <v>19800.48</v>
      </c>
      <c r="H1550" s="7">
        <v>19800.477631407972</v>
      </c>
    </row>
    <row r="1551" spans="1:8" x14ac:dyDescent="0.35">
      <c r="A1551">
        <v>315950</v>
      </c>
      <c r="B1551">
        <v>3159506</v>
      </c>
      <c r="C1551" t="s">
        <v>164</v>
      </c>
      <c r="D1551">
        <v>2024</v>
      </c>
      <c r="E1551" s="7">
        <v>18062.060000000001</v>
      </c>
      <c r="F1551" s="8">
        <v>17229.661169804946</v>
      </c>
      <c r="G1551" s="7">
        <v>19406.07</v>
      </c>
      <c r="H1551" s="7">
        <v>18511.727665292608</v>
      </c>
    </row>
    <row r="1552" spans="1:8" x14ac:dyDescent="0.35">
      <c r="A1552">
        <v>316045</v>
      </c>
      <c r="B1552">
        <v>3160454</v>
      </c>
      <c r="C1552" t="s">
        <v>165</v>
      </c>
      <c r="D1552">
        <v>2015</v>
      </c>
      <c r="E1552" s="7">
        <v>4177.6000000000004</v>
      </c>
      <c r="F1552" s="8">
        <v>6297.5611321183051</v>
      </c>
      <c r="G1552" s="7">
        <v>4429.17</v>
      </c>
      <c r="H1552" s="7">
        <v>6676.7952985658558</v>
      </c>
    </row>
    <row r="1553" spans="1:8" x14ac:dyDescent="0.35">
      <c r="A1553">
        <v>316045</v>
      </c>
      <c r="B1553">
        <v>3160454</v>
      </c>
      <c r="C1553" t="s">
        <v>165</v>
      </c>
      <c r="D1553">
        <v>2016</v>
      </c>
      <c r="E1553" s="7">
        <v>4238.51</v>
      </c>
      <c r="F1553" s="8">
        <v>6011.3852686935952</v>
      </c>
      <c r="G1553" s="7">
        <v>5865.34</v>
      </c>
      <c r="H1553" s="7">
        <v>8318.6807462274664</v>
      </c>
    </row>
    <row r="1554" spans="1:8" x14ac:dyDescent="0.35">
      <c r="A1554">
        <v>316045</v>
      </c>
      <c r="B1554">
        <v>3160454</v>
      </c>
      <c r="C1554" t="s">
        <v>165</v>
      </c>
      <c r="D1554">
        <v>2017</v>
      </c>
      <c r="E1554" s="7">
        <v>4495.78</v>
      </c>
      <c r="F1554" s="8">
        <v>6193.7108815285792</v>
      </c>
      <c r="G1554" s="7">
        <v>5845.61</v>
      </c>
      <c r="H1554" s="7">
        <v>8053.3291702314273</v>
      </c>
    </row>
    <row r="1555" spans="1:8" x14ac:dyDescent="0.35">
      <c r="A1555">
        <v>316045</v>
      </c>
      <c r="B1555">
        <v>3160454</v>
      </c>
      <c r="C1555" t="s">
        <v>165</v>
      </c>
      <c r="D1555">
        <v>2018</v>
      </c>
      <c r="E1555" s="7">
        <v>4614.4799999999996</v>
      </c>
      <c r="F1555" s="8">
        <v>6127.7217724154561</v>
      </c>
      <c r="G1555" s="7">
        <v>5629.57</v>
      </c>
      <c r="H1555" s="7">
        <v>7475.691957652768</v>
      </c>
    </row>
    <row r="1556" spans="1:8" x14ac:dyDescent="0.35">
      <c r="A1556">
        <v>316045</v>
      </c>
      <c r="B1556">
        <v>3160454</v>
      </c>
      <c r="C1556" t="s">
        <v>165</v>
      </c>
      <c r="D1556">
        <v>2019</v>
      </c>
      <c r="E1556" s="7">
        <v>5380.25</v>
      </c>
      <c r="F1556" s="8">
        <v>6849.6566735585739</v>
      </c>
      <c r="G1556" s="7">
        <v>6750.85</v>
      </c>
      <c r="H1556" s="7">
        <v>8594.585720324405</v>
      </c>
    </row>
    <row r="1557" spans="1:8" x14ac:dyDescent="0.35">
      <c r="A1557">
        <v>316045</v>
      </c>
      <c r="B1557">
        <v>3160454</v>
      </c>
      <c r="C1557" t="s">
        <v>165</v>
      </c>
      <c r="D1557">
        <v>2020</v>
      </c>
      <c r="E1557" s="7">
        <v>5942.28</v>
      </c>
      <c r="F1557" s="8">
        <v>7238.2007764643686</v>
      </c>
      <c r="G1557" s="7">
        <v>6754.22</v>
      </c>
      <c r="H1557" s="7">
        <v>8227.2138555332003</v>
      </c>
    </row>
    <row r="1558" spans="1:8" x14ac:dyDescent="0.35">
      <c r="A1558">
        <v>316045</v>
      </c>
      <c r="B1558">
        <v>3160454</v>
      </c>
      <c r="C1558" t="s">
        <v>165</v>
      </c>
      <c r="D1558">
        <v>2021</v>
      </c>
      <c r="E1558" s="7">
        <v>8133.79</v>
      </c>
      <c r="F1558" s="8">
        <v>9001.9600841334377</v>
      </c>
      <c r="G1558" s="7">
        <v>9539.5300000000007</v>
      </c>
      <c r="H1558" s="7">
        <v>10557.744791294164</v>
      </c>
    </row>
    <row r="1559" spans="1:8" x14ac:dyDescent="0.35">
      <c r="A1559">
        <v>316045</v>
      </c>
      <c r="B1559">
        <v>3160454</v>
      </c>
      <c r="C1559" t="s">
        <v>165</v>
      </c>
      <c r="D1559">
        <v>2022</v>
      </c>
      <c r="E1559" s="7">
        <v>7148.49</v>
      </c>
      <c r="F1559" s="8">
        <v>7478.8353053942728</v>
      </c>
      <c r="G1559" s="7">
        <v>11569.06</v>
      </c>
      <c r="H1559" s="7">
        <v>12103.689471789354</v>
      </c>
    </row>
    <row r="1560" spans="1:8" x14ac:dyDescent="0.35">
      <c r="A1560">
        <v>316045</v>
      </c>
      <c r="B1560">
        <v>3160454</v>
      </c>
      <c r="C1560" t="s">
        <v>165</v>
      </c>
      <c r="D1560">
        <v>2023</v>
      </c>
      <c r="E1560" s="7">
        <v>8335.42</v>
      </c>
      <c r="F1560" s="8">
        <v>8335.42</v>
      </c>
      <c r="G1560" s="7">
        <v>12177.1</v>
      </c>
      <c r="H1560" s="7">
        <v>12177.100403267419</v>
      </c>
    </row>
    <row r="1561" spans="1:8" x14ac:dyDescent="0.35">
      <c r="A1561">
        <v>316045</v>
      </c>
      <c r="B1561">
        <v>3160454</v>
      </c>
      <c r="C1561" t="s">
        <v>165</v>
      </c>
      <c r="D1561">
        <v>2024</v>
      </c>
      <c r="E1561" s="7">
        <v>9279.42</v>
      </c>
      <c r="F1561" s="8">
        <v>8851.7734108020559</v>
      </c>
      <c r="G1561" s="7">
        <v>11892.59</v>
      </c>
      <c r="H1561" s="7">
        <v>11344.513428034577</v>
      </c>
    </row>
    <row r="1562" spans="1:8" x14ac:dyDescent="0.35">
      <c r="A1562">
        <v>316060</v>
      </c>
      <c r="B1562">
        <v>3160603</v>
      </c>
      <c r="C1562" t="s">
        <v>166</v>
      </c>
      <c r="D1562">
        <v>2015</v>
      </c>
      <c r="E1562" s="7">
        <v>8173.81</v>
      </c>
      <c r="F1562" s="8">
        <v>12321.684258263098</v>
      </c>
      <c r="G1562" s="7">
        <v>11390.14</v>
      </c>
      <c r="H1562" s="7">
        <v>17170.174049214696</v>
      </c>
    </row>
    <row r="1563" spans="1:8" x14ac:dyDescent="0.35">
      <c r="A1563">
        <v>316060</v>
      </c>
      <c r="B1563">
        <v>3160603</v>
      </c>
      <c r="C1563" t="s">
        <v>166</v>
      </c>
      <c r="D1563">
        <v>2016</v>
      </c>
      <c r="E1563" s="7">
        <v>6171.5</v>
      </c>
      <c r="F1563" s="8">
        <v>8752.9023609104424</v>
      </c>
      <c r="G1563" s="7">
        <v>10447.58</v>
      </c>
      <c r="H1563" s="7">
        <v>14817.565704006664</v>
      </c>
    </row>
    <row r="1564" spans="1:8" x14ac:dyDescent="0.35">
      <c r="A1564">
        <v>316060</v>
      </c>
      <c r="B1564">
        <v>3160603</v>
      </c>
      <c r="C1564" t="s">
        <v>166</v>
      </c>
      <c r="D1564">
        <v>2017</v>
      </c>
      <c r="E1564" s="7">
        <v>8332.4500000000007</v>
      </c>
      <c r="F1564" s="8">
        <v>11479.384274762737</v>
      </c>
      <c r="G1564" s="7">
        <v>10775.03</v>
      </c>
      <c r="H1564" s="7">
        <v>14844.45493520327</v>
      </c>
    </row>
    <row r="1565" spans="1:8" x14ac:dyDescent="0.35">
      <c r="A1565">
        <v>316060</v>
      </c>
      <c r="B1565">
        <v>3160603</v>
      </c>
      <c r="C1565" t="s">
        <v>166</v>
      </c>
      <c r="D1565">
        <v>2018</v>
      </c>
      <c r="E1565" s="7">
        <v>8365.0499999999993</v>
      </c>
      <c r="F1565" s="8">
        <v>11108.22866549295</v>
      </c>
      <c r="G1565" s="7">
        <v>12687.93</v>
      </c>
      <c r="H1565" s="7">
        <v>16848.719590376852</v>
      </c>
    </row>
    <row r="1566" spans="1:8" x14ac:dyDescent="0.35">
      <c r="A1566">
        <v>316060</v>
      </c>
      <c r="B1566">
        <v>3160603</v>
      </c>
      <c r="C1566" t="s">
        <v>166</v>
      </c>
      <c r="D1566">
        <v>2019</v>
      </c>
      <c r="E1566" s="7">
        <v>11778.45</v>
      </c>
      <c r="F1566" s="8">
        <v>14995.276919599644</v>
      </c>
      <c r="G1566" s="7">
        <v>14141.56</v>
      </c>
      <c r="H1566" s="7">
        <v>18003.77938792748</v>
      </c>
    </row>
    <row r="1567" spans="1:8" x14ac:dyDescent="0.35">
      <c r="A1567">
        <v>316060</v>
      </c>
      <c r="B1567">
        <v>3160603</v>
      </c>
      <c r="C1567" t="s">
        <v>166</v>
      </c>
      <c r="D1567">
        <v>2020</v>
      </c>
      <c r="E1567" s="7">
        <v>10983.51</v>
      </c>
      <c r="F1567" s="8">
        <v>13378.846269496584</v>
      </c>
      <c r="G1567" s="7">
        <v>15247.9</v>
      </c>
      <c r="H1567" s="7">
        <v>18573.233864510286</v>
      </c>
    </row>
    <row r="1568" spans="1:8" x14ac:dyDescent="0.35">
      <c r="A1568">
        <v>316060</v>
      </c>
      <c r="B1568">
        <v>3160603</v>
      </c>
      <c r="C1568" t="s">
        <v>166</v>
      </c>
      <c r="D1568">
        <v>2021</v>
      </c>
      <c r="E1568" s="7">
        <v>15232.71</v>
      </c>
      <c r="F1568" s="8">
        <v>16858.592045427806</v>
      </c>
      <c r="G1568" s="7">
        <v>11770.54</v>
      </c>
      <c r="H1568" s="7">
        <v>13026.885112531263</v>
      </c>
    </row>
    <row r="1569" spans="1:8" x14ac:dyDescent="0.35">
      <c r="A1569">
        <v>316060</v>
      </c>
      <c r="B1569">
        <v>3160603</v>
      </c>
      <c r="C1569" t="s">
        <v>166</v>
      </c>
      <c r="D1569">
        <v>2022</v>
      </c>
      <c r="E1569" s="7">
        <v>14204.01</v>
      </c>
      <c r="F1569" s="8">
        <v>14860.404290440822</v>
      </c>
      <c r="G1569" s="7">
        <v>19484.64</v>
      </c>
      <c r="H1569" s="7">
        <v>20385.063902042813</v>
      </c>
    </row>
    <row r="1570" spans="1:8" x14ac:dyDescent="0.35">
      <c r="A1570">
        <v>316060</v>
      </c>
      <c r="B1570">
        <v>3160603</v>
      </c>
      <c r="C1570" t="s">
        <v>166</v>
      </c>
      <c r="D1570">
        <v>2023</v>
      </c>
      <c r="E1570" s="7">
        <v>17000</v>
      </c>
      <c r="F1570" s="8">
        <v>17000</v>
      </c>
      <c r="G1570" s="7">
        <v>31731.58</v>
      </c>
      <c r="H1570" s="7">
        <v>31731.583020016602</v>
      </c>
    </row>
    <row r="1571" spans="1:8" x14ac:dyDescent="0.35">
      <c r="A1571">
        <v>316060</v>
      </c>
      <c r="B1571">
        <v>3160603</v>
      </c>
      <c r="C1571" t="s">
        <v>166</v>
      </c>
      <c r="D1571">
        <v>2024</v>
      </c>
      <c r="E1571" s="7">
        <v>17372.34</v>
      </c>
      <c r="F1571" s="8">
        <v>16571.727251855504</v>
      </c>
      <c r="G1571" s="7">
        <v>20773.509999999998</v>
      </c>
      <c r="H1571" s="7">
        <v>19816.15222607736</v>
      </c>
    </row>
    <row r="1572" spans="1:8" x14ac:dyDescent="0.35">
      <c r="A1572">
        <v>316095</v>
      </c>
      <c r="B1572">
        <v>3160959</v>
      </c>
      <c r="C1572" t="s">
        <v>167</v>
      </c>
      <c r="D1572">
        <v>2015</v>
      </c>
      <c r="E1572" s="7">
        <v>3930.02</v>
      </c>
      <c r="F1572" s="8">
        <v>5924.3444083798295</v>
      </c>
      <c r="G1572" s="7">
        <v>3887.19</v>
      </c>
      <c r="H1572" s="7">
        <v>5859.7840256564559</v>
      </c>
    </row>
    <row r="1573" spans="1:8" x14ac:dyDescent="0.35">
      <c r="A1573">
        <v>316095</v>
      </c>
      <c r="B1573">
        <v>3160959</v>
      </c>
      <c r="C1573" t="s">
        <v>167</v>
      </c>
      <c r="D1573">
        <v>2016</v>
      </c>
      <c r="E1573" s="7">
        <v>4171.26</v>
      </c>
      <c r="F1573" s="8">
        <v>5916.0060766379802</v>
      </c>
      <c r="G1573" s="7">
        <v>4996.84</v>
      </c>
      <c r="H1573" s="7">
        <v>7086.9094728748569</v>
      </c>
    </row>
    <row r="1574" spans="1:8" x14ac:dyDescent="0.35">
      <c r="A1574">
        <v>316095</v>
      </c>
      <c r="B1574">
        <v>3160959</v>
      </c>
      <c r="C1574" t="s">
        <v>167</v>
      </c>
      <c r="D1574">
        <v>2017</v>
      </c>
      <c r="E1574" s="7">
        <v>4435.2</v>
      </c>
      <c r="F1574" s="8">
        <v>6110.2515029106307</v>
      </c>
      <c r="G1574" s="7">
        <v>4936.59</v>
      </c>
      <c r="H1574" s="7">
        <v>6800.9997326689972</v>
      </c>
    </row>
    <row r="1575" spans="1:8" x14ac:dyDescent="0.35">
      <c r="A1575">
        <v>316095</v>
      </c>
      <c r="B1575">
        <v>3160959</v>
      </c>
      <c r="C1575" t="s">
        <v>167</v>
      </c>
      <c r="D1575">
        <v>2018</v>
      </c>
      <c r="E1575" s="7">
        <v>4109.97</v>
      </c>
      <c r="F1575" s="8">
        <v>5457.766130305984</v>
      </c>
      <c r="G1575" s="7">
        <v>5285.03</v>
      </c>
      <c r="H1575" s="7">
        <v>7018.1725862361345</v>
      </c>
    </row>
    <row r="1576" spans="1:8" x14ac:dyDescent="0.35">
      <c r="A1576">
        <v>316095</v>
      </c>
      <c r="B1576">
        <v>3160959</v>
      </c>
      <c r="C1576" t="s">
        <v>167</v>
      </c>
      <c r="D1576">
        <v>2019</v>
      </c>
      <c r="E1576" s="7">
        <v>5709.28</v>
      </c>
      <c r="F1576" s="8">
        <v>7268.5484602415299</v>
      </c>
      <c r="G1576" s="7">
        <v>6543.98</v>
      </c>
      <c r="H1576" s="7">
        <v>8331.2199650601451</v>
      </c>
    </row>
    <row r="1577" spans="1:8" x14ac:dyDescent="0.35">
      <c r="A1577">
        <v>316095</v>
      </c>
      <c r="B1577">
        <v>3160959</v>
      </c>
      <c r="C1577" t="s">
        <v>167</v>
      </c>
      <c r="D1577">
        <v>2020</v>
      </c>
      <c r="E1577" s="7">
        <v>6247.11</v>
      </c>
      <c r="F1577" s="8">
        <v>7609.5095573850977</v>
      </c>
      <c r="G1577" s="7">
        <v>6269.58</v>
      </c>
      <c r="H1577" s="7">
        <v>7636.8833339426092</v>
      </c>
    </row>
    <row r="1578" spans="1:8" x14ac:dyDescent="0.35">
      <c r="A1578">
        <v>316095</v>
      </c>
      <c r="B1578">
        <v>3160959</v>
      </c>
      <c r="C1578" t="s">
        <v>167</v>
      </c>
      <c r="D1578">
        <v>2021</v>
      </c>
      <c r="E1578" s="7">
        <v>7859.3</v>
      </c>
      <c r="F1578" s="8">
        <v>8698.1720562283917</v>
      </c>
      <c r="G1578" s="7">
        <v>8607.3700000000008</v>
      </c>
      <c r="H1578" s="7">
        <v>9526.0859829798355</v>
      </c>
    </row>
    <row r="1579" spans="1:8" x14ac:dyDescent="0.35">
      <c r="A1579">
        <v>316095</v>
      </c>
      <c r="B1579">
        <v>3160959</v>
      </c>
      <c r="C1579" t="s">
        <v>167</v>
      </c>
      <c r="D1579">
        <v>2022</v>
      </c>
      <c r="E1579" s="7">
        <v>9562.01</v>
      </c>
      <c r="F1579" s="8">
        <v>10003.888650404924</v>
      </c>
      <c r="G1579" s="7">
        <v>14966.64</v>
      </c>
      <c r="H1579" s="7">
        <v>15658.273072314079</v>
      </c>
    </row>
    <row r="1580" spans="1:8" x14ac:dyDescent="0.35">
      <c r="A1580">
        <v>316095</v>
      </c>
      <c r="B1580">
        <v>3160959</v>
      </c>
      <c r="C1580" t="s">
        <v>167</v>
      </c>
      <c r="D1580">
        <v>2023</v>
      </c>
      <c r="E1580" s="7">
        <v>10807.26</v>
      </c>
      <c r="F1580" s="8">
        <v>10807.26</v>
      </c>
      <c r="G1580" s="7">
        <v>13176.52</v>
      </c>
      <c r="H1580" s="7">
        <v>13176.51574708611</v>
      </c>
    </row>
    <row r="1581" spans="1:8" x14ac:dyDescent="0.35">
      <c r="A1581">
        <v>316095</v>
      </c>
      <c r="B1581">
        <v>3160959</v>
      </c>
      <c r="C1581" t="s">
        <v>167</v>
      </c>
      <c r="D1581">
        <v>2024</v>
      </c>
      <c r="E1581" s="7">
        <v>12159.27</v>
      </c>
      <c r="F1581" s="8">
        <v>11598.904121244985</v>
      </c>
      <c r="G1581" s="7">
        <v>14231.27</v>
      </c>
      <c r="H1581" s="7">
        <v>13575.411200489281</v>
      </c>
    </row>
    <row r="1582" spans="1:8" x14ac:dyDescent="0.35">
      <c r="A1582">
        <v>316160</v>
      </c>
      <c r="B1582">
        <v>3161601</v>
      </c>
      <c r="C1582" t="s">
        <v>168</v>
      </c>
      <c r="D1582">
        <v>2015</v>
      </c>
      <c r="E1582" s="7">
        <v>5727.45</v>
      </c>
      <c r="F1582" s="8">
        <v>8633.8966167538729</v>
      </c>
      <c r="G1582" s="7">
        <v>5557.2</v>
      </c>
      <c r="H1582" s="7">
        <v>8377.2576225817156</v>
      </c>
    </row>
    <row r="1583" spans="1:8" x14ac:dyDescent="0.35">
      <c r="A1583">
        <v>316160</v>
      </c>
      <c r="B1583">
        <v>3161601</v>
      </c>
      <c r="C1583" t="s">
        <v>168</v>
      </c>
      <c r="D1583">
        <v>2016</v>
      </c>
      <c r="E1583" s="7">
        <v>5849.73</v>
      </c>
      <c r="F1583" s="8">
        <v>8296.5430653307376</v>
      </c>
      <c r="G1583" s="7">
        <v>6922.33</v>
      </c>
      <c r="H1583" s="7">
        <v>9817.784734988616</v>
      </c>
    </row>
    <row r="1584" spans="1:8" x14ac:dyDescent="0.35">
      <c r="A1584">
        <v>316160</v>
      </c>
      <c r="B1584">
        <v>3161601</v>
      </c>
      <c r="C1584" t="s">
        <v>168</v>
      </c>
      <c r="D1584">
        <v>2017</v>
      </c>
      <c r="E1584" s="7">
        <v>6010.28</v>
      </c>
      <c r="F1584" s="8">
        <v>8280.1953469772961</v>
      </c>
      <c r="G1584" s="7">
        <v>6420.79</v>
      </c>
      <c r="H1584" s="7">
        <v>8845.7475711585939</v>
      </c>
    </row>
    <row r="1585" spans="1:8" x14ac:dyDescent="0.35">
      <c r="A1585">
        <v>316160</v>
      </c>
      <c r="B1585">
        <v>3161601</v>
      </c>
      <c r="C1585" s="9" t="s">
        <v>168</v>
      </c>
      <c r="D1585">
        <v>2018</v>
      </c>
      <c r="E1585" s="7">
        <v>4806.93</v>
      </c>
      <c r="F1585" s="8">
        <v>6383.28254093138</v>
      </c>
      <c r="G1585" s="7">
        <v>7097.2527165840202</v>
      </c>
      <c r="H1585" s="7">
        <v>9424.6784027120393</v>
      </c>
    </row>
    <row r="1586" spans="1:8" x14ac:dyDescent="0.35">
      <c r="A1586">
        <v>316160</v>
      </c>
      <c r="B1586">
        <v>3161601</v>
      </c>
      <c r="C1586" t="s">
        <v>168</v>
      </c>
      <c r="D1586">
        <v>2019</v>
      </c>
      <c r="E1586" s="7">
        <v>7480.12</v>
      </c>
      <c r="F1586" s="8">
        <v>9523.0247436492646</v>
      </c>
      <c r="G1586" s="7">
        <v>7940.88</v>
      </c>
      <c r="H1586" s="7">
        <v>10109.620803285006</v>
      </c>
    </row>
    <row r="1587" spans="1:8" x14ac:dyDescent="0.35">
      <c r="A1587">
        <v>316160</v>
      </c>
      <c r="B1587">
        <v>3161601</v>
      </c>
      <c r="C1587" t="s">
        <v>168</v>
      </c>
      <c r="D1587">
        <v>2020</v>
      </c>
      <c r="E1587" s="7">
        <v>7965.4</v>
      </c>
      <c r="F1587" s="8">
        <v>9702.5324395432854</v>
      </c>
      <c r="G1587" s="7">
        <v>8105.66</v>
      </c>
      <c r="H1587" s="7">
        <v>9873.375300989379</v>
      </c>
    </row>
    <row r="1588" spans="1:8" x14ac:dyDescent="0.35">
      <c r="A1588">
        <v>316160</v>
      </c>
      <c r="B1588">
        <v>3161601</v>
      </c>
      <c r="C1588" t="s">
        <v>168</v>
      </c>
      <c r="D1588">
        <v>2021</v>
      </c>
      <c r="E1588" s="7">
        <v>10809.15</v>
      </c>
      <c r="F1588" s="8">
        <v>11962.877925716171</v>
      </c>
      <c r="G1588" s="7">
        <v>13092.41</v>
      </c>
      <c r="H1588" s="7">
        <v>14489.842759152025</v>
      </c>
    </row>
    <row r="1589" spans="1:8" x14ac:dyDescent="0.35">
      <c r="A1589">
        <v>316160</v>
      </c>
      <c r="B1589">
        <v>3161601</v>
      </c>
      <c r="C1589" t="s">
        <v>168</v>
      </c>
      <c r="D1589">
        <v>2022</v>
      </c>
      <c r="E1589" s="7">
        <v>15031.12</v>
      </c>
      <c r="F1589" s="8">
        <v>15725.736615091853</v>
      </c>
      <c r="G1589" s="7">
        <v>19546.09</v>
      </c>
      <c r="H1589" s="7">
        <v>20449.356984080005</v>
      </c>
    </row>
    <row r="1590" spans="1:8" x14ac:dyDescent="0.35">
      <c r="A1590">
        <v>316160</v>
      </c>
      <c r="B1590">
        <v>3161601</v>
      </c>
      <c r="C1590" t="s">
        <v>168</v>
      </c>
      <c r="D1590">
        <v>2023</v>
      </c>
      <c r="E1590" s="7">
        <v>17157.57</v>
      </c>
      <c r="F1590" s="8">
        <v>17157.57</v>
      </c>
      <c r="G1590" s="7">
        <v>19818.78</v>
      </c>
      <c r="H1590" s="7">
        <v>19818.77511836652</v>
      </c>
    </row>
    <row r="1591" spans="1:8" x14ac:dyDescent="0.35">
      <c r="A1591">
        <v>316160</v>
      </c>
      <c r="B1591">
        <v>3161601</v>
      </c>
      <c r="C1591" t="s">
        <v>168</v>
      </c>
      <c r="D1591">
        <v>2024</v>
      </c>
      <c r="E1591" s="7">
        <v>17208.759999999998</v>
      </c>
      <c r="F1591" s="8">
        <v>16415.685915808746</v>
      </c>
      <c r="G1591" s="7">
        <v>25591.75</v>
      </c>
      <c r="H1591" s="7">
        <v>24412.339390139041</v>
      </c>
    </row>
    <row r="1592" spans="1:8" x14ac:dyDescent="0.35">
      <c r="A1592">
        <v>316225</v>
      </c>
      <c r="B1592">
        <v>3162252</v>
      </c>
      <c r="C1592" t="s">
        <v>170</v>
      </c>
      <c r="D1592">
        <v>2015</v>
      </c>
      <c r="E1592" s="7">
        <v>5823.23</v>
      </c>
      <c r="F1592" s="8">
        <v>8778.2810492592089</v>
      </c>
      <c r="G1592" s="7">
        <v>5323.79</v>
      </c>
      <c r="H1592" s="7">
        <v>8025.3910414016727</v>
      </c>
    </row>
    <row r="1593" spans="1:8" x14ac:dyDescent="0.35">
      <c r="A1593">
        <v>316225</v>
      </c>
      <c r="B1593">
        <v>3162252</v>
      </c>
      <c r="C1593" t="s">
        <v>170</v>
      </c>
      <c r="D1593">
        <v>2016</v>
      </c>
      <c r="E1593" s="7">
        <v>6145.6</v>
      </c>
      <c r="F1593" s="8">
        <v>8716.1689620369798</v>
      </c>
      <c r="G1593" s="7">
        <v>6744.7</v>
      </c>
      <c r="H1593" s="7">
        <v>9565.8560836376982</v>
      </c>
    </row>
    <row r="1594" spans="1:8" x14ac:dyDescent="0.35">
      <c r="A1594">
        <v>316225</v>
      </c>
      <c r="B1594">
        <v>3162252</v>
      </c>
      <c r="C1594" t="s">
        <v>170</v>
      </c>
      <c r="D1594">
        <v>2017</v>
      </c>
      <c r="E1594" s="7">
        <v>5798.98</v>
      </c>
      <c r="F1594" s="8">
        <v>7989.0932224812159</v>
      </c>
      <c r="G1594" s="7">
        <v>6741.41</v>
      </c>
      <c r="H1594" s="7">
        <v>9287.4580530575113</v>
      </c>
    </row>
    <row r="1595" spans="1:8" x14ac:dyDescent="0.35">
      <c r="A1595">
        <v>316225</v>
      </c>
      <c r="B1595">
        <v>3162252</v>
      </c>
      <c r="C1595" t="s">
        <v>170</v>
      </c>
      <c r="D1595">
        <v>2018</v>
      </c>
      <c r="E1595" s="7">
        <v>6754.51</v>
      </c>
      <c r="F1595" s="8">
        <v>8969.5389272459579</v>
      </c>
      <c r="G1595" s="7">
        <v>7578.05</v>
      </c>
      <c r="H1595" s="7">
        <v>10063.147786512884</v>
      </c>
    </row>
    <row r="1596" spans="1:8" x14ac:dyDescent="0.35">
      <c r="A1596">
        <v>316225</v>
      </c>
      <c r="B1596">
        <v>3162252</v>
      </c>
      <c r="C1596" t="s">
        <v>170</v>
      </c>
      <c r="D1596">
        <v>2019</v>
      </c>
      <c r="E1596" s="7">
        <v>7581.42</v>
      </c>
      <c r="F1596" s="8">
        <v>9651.9909108406555</v>
      </c>
      <c r="G1596" s="7">
        <v>8261.51</v>
      </c>
      <c r="H1596" s="7">
        <v>10517.81630364139</v>
      </c>
    </row>
    <row r="1597" spans="1:8" x14ac:dyDescent="0.35">
      <c r="A1597">
        <v>316225</v>
      </c>
      <c r="B1597">
        <v>3162252</v>
      </c>
      <c r="C1597" t="s">
        <v>170</v>
      </c>
      <c r="D1597">
        <v>2020</v>
      </c>
      <c r="E1597" s="7">
        <v>7735.83</v>
      </c>
      <c r="F1597" s="8">
        <v>9422.8967185316669</v>
      </c>
      <c r="G1597" s="7">
        <v>9435.89</v>
      </c>
      <c r="H1597" s="7">
        <v>11493.710038324933</v>
      </c>
    </row>
    <row r="1598" spans="1:8" x14ac:dyDescent="0.35">
      <c r="A1598">
        <v>316225</v>
      </c>
      <c r="B1598">
        <v>3162252</v>
      </c>
      <c r="C1598" t="s">
        <v>170</v>
      </c>
      <c r="D1598">
        <v>2021</v>
      </c>
      <c r="E1598" s="7">
        <v>10702.32</v>
      </c>
      <c r="F1598" s="8">
        <v>11844.645294213764</v>
      </c>
      <c r="G1598" s="7">
        <v>9048.89</v>
      </c>
      <c r="H1598" s="7">
        <v>10014.734927538488</v>
      </c>
    </row>
    <row r="1599" spans="1:8" x14ac:dyDescent="0.35">
      <c r="A1599">
        <v>316225</v>
      </c>
      <c r="B1599">
        <v>3162252</v>
      </c>
      <c r="C1599" t="s">
        <v>170</v>
      </c>
      <c r="D1599">
        <v>2022</v>
      </c>
      <c r="E1599" s="7">
        <v>12184.33</v>
      </c>
      <c r="F1599" s="8">
        <v>12747.391040146184</v>
      </c>
      <c r="G1599" s="7">
        <v>15277.2</v>
      </c>
      <c r="H1599" s="7">
        <v>15983.190890938513</v>
      </c>
    </row>
    <row r="1600" spans="1:8" x14ac:dyDescent="0.35">
      <c r="A1600">
        <v>316225</v>
      </c>
      <c r="B1600">
        <v>3162252</v>
      </c>
      <c r="C1600" t="s">
        <v>170</v>
      </c>
      <c r="D1600">
        <v>2023</v>
      </c>
      <c r="E1600" s="7">
        <v>15057.39</v>
      </c>
      <c r="F1600" s="8">
        <v>15057.39</v>
      </c>
      <c r="G1600" s="7">
        <v>16806.349999999999</v>
      </c>
      <c r="H1600" s="7">
        <v>16806.353918057899</v>
      </c>
    </row>
    <row r="1601" spans="1:8" x14ac:dyDescent="0.35">
      <c r="A1601">
        <v>316225</v>
      </c>
      <c r="B1601">
        <v>3162252</v>
      </c>
      <c r="C1601" t="s">
        <v>170</v>
      </c>
      <c r="D1601">
        <v>2024</v>
      </c>
      <c r="E1601" s="7">
        <v>16319.08</v>
      </c>
      <c r="F1601" s="8">
        <v>15567.007251827337</v>
      </c>
      <c r="G1601" s="7">
        <v>22474.59</v>
      </c>
      <c r="H1601" s="7">
        <v>21438.833325444633</v>
      </c>
    </row>
    <row r="1602" spans="1:8" x14ac:dyDescent="0.35">
      <c r="A1602">
        <v>316240</v>
      </c>
      <c r="B1602">
        <v>3162401</v>
      </c>
      <c r="C1602" t="s">
        <v>171</v>
      </c>
      <c r="D1602">
        <v>2015</v>
      </c>
      <c r="E1602" s="7">
        <v>4917.97</v>
      </c>
      <c r="F1602" s="8">
        <v>7413.6386252690199</v>
      </c>
      <c r="G1602" s="7">
        <v>5536.52</v>
      </c>
      <c r="H1602" s="7">
        <v>8346.0705543502136</v>
      </c>
    </row>
    <row r="1603" spans="1:8" x14ac:dyDescent="0.35">
      <c r="A1603">
        <v>316240</v>
      </c>
      <c r="B1603">
        <v>3162401</v>
      </c>
      <c r="C1603" t="s">
        <v>171</v>
      </c>
      <c r="D1603">
        <v>2016</v>
      </c>
      <c r="E1603" s="7">
        <v>5375.07</v>
      </c>
      <c r="F1603" s="8">
        <v>7623.3432541616939</v>
      </c>
      <c r="G1603" s="7">
        <v>7558.15</v>
      </c>
      <c r="H1603" s="7">
        <v>10719.563517995852</v>
      </c>
    </row>
    <row r="1604" spans="1:8" x14ac:dyDescent="0.35">
      <c r="A1604">
        <v>316240</v>
      </c>
      <c r="B1604">
        <v>3162401</v>
      </c>
      <c r="C1604" t="s">
        <v>171</v>
      </c>
      <c r="D1604">
        <v>2017</v>
      </c>
      <c r="E1604" s="7">
        <v>5217.1099999999997</v>
      </c>
      <c r="F1604" s="8">
        <v>7187.4671307607505</v>
      </c>
      <c r="G1604" s="7">
        <v>6813.41</v>
      </c>
      <c r="H1604" s="7">
        <v>9386.6399952897846</v>
      </c>
    </row>
    <row r="1605" spans="1:8" x14ac:dyDescent="0.35">
      <c r="A1605">
        <v>316240</v>
      </c>
      <c r="B1605">
        <v>3162401</v>
      </c>
      <c r="C1605" t="s">
        <v>171</v>
      </c>
      <c r="D1605">
        <v>2018</v>
      </c>
      <c r="E1605" s="7">
        <v>4742.58</v>
      </c>
      <c r="F1605" s="8">
        <v>6297.8300314276139</v>
      </c>
      <c r="G1605" s="7">
        <v>6079.96</v>
      </c>
      <c r="H1605" s="7">
        <v>8073.7794263709084</v>
      </c>
    </row>
    <row r="1606" spans="1:8" x14ac:dyDescent="0.35">
      <c r="A1606">
        <v>316240</v>
      </c>
      <c r="B1606">
        <v>3162401</v>
      </c>
      <c r="C1606" t="s">
        <v>171</v>
      </c>
      <c r="D1606">
        <v>2019</v>
      </c>
      <c r="E1606" s="7">
        <v>5377.79</v>
      </c>
      <c r="F1606" s="8">
        <v>6846.5248199426724</v>
      </c>
      <c r="G1606" s="7">
        <v>6321.6</v>
      </c>
      <c r="H1606" s="7">
        <v>8048.1018922689182</v>
      </c>
    </row>
    <row r="1607" spans="1:8" x14ac:dyDescent="0.35">
      <c r="A1607">
        <v>316240</v>
      </c>
      <c r="B1607">
        <v>3162401</v>
      </c>
      <c r="C1607" t="s">
        <v>171</v>
      </c>
      <c r="D1607">
        <v>2020</v>
      </c>
      <c r="E1607" s="7">
        <v>5954.12</v>
      </c>
      <c r="F1607" s="8">
        <v>7252.6229001598758</v>
      </c>
      <c r="G1607" s="7">
        <v>5989.02</v>
      </c>
      <c r="H1607" s="7">
        <v>7295.139150435004</v>
      </c>
    </row>
    <row r="1608" spans="1:8" x14ac:dyDescent="0.35">
      <c r="A1608">
        <v>316240</v>
      </c>
      <c r="B1608">
        <v>3162401</v>
      </c>
      <c r="C1608" t="s">
        <v>171</v>
      </c>
      <c r="D1608">
        <v>2021</v>
      </c>
      <c r="E1608" s="7">
        <v>8028.66</v>
      </c>
      <c r="F1608" s="8">
        <v>8885.6089042228487</v>
      </c>
      <c r="G1608" s="7">
        <v>8351.09</v>
      </c>
      <c r="H1608" s="7">
        <v>9242.4520598728195</v>
      </c>
    </row>
    <row r="1609" spans="1:8" x14ac:dyDescent="0.35">
      <c r="A1609">
        <v>316240</v>
      </c>
      <c r="B1609">
        <v>3162401</v>
      </c>
      <c r="C1609" t="s">
        <v>171</v>
      </c>
      <c r="D1609">
        <v>2022</v>
      </c>
      <c r="E1609" s="7">
        <v>9842.3799999999992</v>
      </c>
      <c r="F1609" s="8">
        <v>10297.21508082217</v>
      </c>
      <c r="G1609" s="7">
        <v>12122.43</v>
      </c>
      <c r="H1609" s="7">
        <v>12682.627424866127</v>
      </c>
    </row>
    <row r="1610" spans="1:8" x14ac:dyDescent="0.35">
      <c r="A1610">
        <v>316240</v>
      </c>
      <c r="B1610">
        <v>3162401</v>
      </c>
      <c r="C1610" t="s">
        <v>171</v>
      </c>
      <c r="D1610">
        <v>2023</v>
      </c>
      <c r="E1610" s="7">
        <v>10648.94</v>
      </c>
      <c r="F1610" s="8">
        <v>10648.94</v>
      </c>
      <c r="G1610" s="7">
        <v>13386.89</v>
      </c>
      <c r="H1610" s="7">
        <v>13386.889912281544</v>
      </c>
    </row>
    <row r="1611" spans="1:8" x14ac:dyDescent="0.35">
      <c r="A1611">
        <v>316240</v>
      </c>
      <c r="B1611">
        <v>3162401</v>
      </c>
      <c r="C1611" t="s">
        <v>171</v>
      </c>
      <c r="D1611">
        <v>2024</v>
      </c>
      <c r="E1611" s="7">
        <v>10035.049999999999</v>
      </c>
      <c r="F1611" s="8">
        <v>9572.5798343074439</v>
      </c>
      <c r="G1611" s="7">
        <v>17711.13</v>
      </c>
      <c r="H1611" s="7">
        <v>16894.901457492047</v>
      </c>
    </row>
    <row r="1612" spans="1:8" x14ac:dyDescent="0.35">
      <c r="A1612">
        <v>316257</v>
      </c>
      <c r="B1612">
        <v>3162575</v>
      </c>
      <c r="C1612" t="s">
        <v>172</v>
      </c>
      <c r="D1612">
        <v>2015</v>
      </c>
      <c r="E1612" s="7">
        <v>5223.43</v>
      </c>
      <c r="F1612" s="8">
        <v>7874.1070816594975</v>
      </c>
      <c r="G1612" s="7">
        <v>7120.43</v>
      </c>
      <c r="H1612" s="7">
        <v>10733.760982857119</v>
      </c>
    </row>
    <row r="1613" spans="1:8" x14ac:dyDescent="0.35">
      <c r="A1613">
        <v>316257</v>
      </c>
      <c r="B1613">
        <v>3162575</v>
      </c>
      <c r="C1613" t="s">
        <v>172</v>
      </c>
      <c r="D1613">
        <v>2016</v>
      </c>
      <c r="E1613" s="7">
        <v>6325.35</v>
      </c>
      <c r="F1613" s="8">
        <v>8971.1044233306129</v>
      </c>
      <c r="G1613" s="7">
        <v>7806.17</v>
      </c>
      <c r="H1613" s="7">
        <v>11071.313375403204</v>
      </c>
    </row>
    <row r="1614" spans="1:8" x14ac:dyDescent="0.35">
      <c r="A1614">
        <v>316257</v>
      </c>
      <c r="B1614">
        <v>3162575</v>
      </c>
      <c r="C1614" t="s">
        <v>172</v>
      </c>
      <c r="D1614">
        <v>2017</v>
      </c>
      <c r="E1614" s="7">
        <v>7863.53</v>
      </c>
      <c r="F1614" s="8">
        <v>10833.36625195771</v>
      </c>
      <c r="G1614" s="7">
        <v>6452.87</v>
      </c>
      <c r="H1614" s="7">
        <v>8889.9448384643965</v>
      </c>
    </row>
    <row r="1615" spans="1:8" x14ac:dyDescent="0.35">
      <c r="A1615">
        <v>316257</v>
      </c>
      <c r="B1615">
        <v>3162575</v>
      </c>
      <c r="C1615" s="9" t="s">
        <v>172</v>
      </c>
      <c r="D1615">
        <v>2018</v>
      </c>
      <c r="E1615" s="7">
        <v>4938.17</v>
      </c>
      <c r="F1615" s="8">
        <v>6557.5605105859895</v>
      </c>
      <c r="G1615" s="7">
        <v>6795.8969365687781</v>
      </c>
      <c r="H1615" s="7">
        <v>9024.4980195610351</v>
      </c>
    </row>
    <row r="1616" spans="1:8" x14ac:dyDescent="0.35">
      <c r="A1616">
        <v>316257</v>
      </c>
      <c r="B1616">
        <v>3162575</v>
      </c>
      <c r="C1616" t="s">
        <v>172</v>
      </c>
      <c r="D1616">
        <v>2019</v>
      </c>
      <c r="E1616" s="7">
        <v>5462.72</v>
      </c>
      <c r="F1616" s="8">
        <v>6954.6501563648326</v>
      </c>
      <c r="G1616" s="7">
        <v>8641.74</v>
      </c>
      <c r="H1616" s="7">
        <v>11001.895592854709</v>
      </c>
    </row>
    <row r="1617" spans="1:8" x14ac:dyDescent="0.35">
      <c r="A1617">
        <v>316257</v>
      </c>
      <c r="B1617">
        <v>3162575</v>
      </c>
      <c r="C1617" t="s">
        <v>172</v>
      </c>
      <c r="D1617">
        <v>2020</v>
      </c>
      <c r="E1617" s="7">
        <v>7523.2</v>
      </c>
      <c r="F1617" s="8">
        <v>9163.8953535506134</v>
      </c>
      <c r="G1617" s="7">
        <v>6874.3</v>
      </c>
      <c r="H1617" s="7">
        <v>8373.4807092313076</v>
      </c>
    </row>
    <row r="1618" spans="1:8" x14ac:dyDescent="0.35">
      <c r="A1618">
        <v>316257</v>
      </c>
      <c r="B1618">
        <v>3162575</v>
      </c>
      <c r="C1618" t="s">
        <v>172</v>
      </c>
      <c r="D1618">
        <v>2021</v>
      </c>
      <c r="E1618" s="7">
        <v>9419.16</v>
      </c>
      <c r="F1618" s="8">
        <v>10424.525632708283</v>
      </c>
      <c r="G1618" s="7">
        <v>11002.67</v>
      </c>
      <c r="H1618" s="7">
        <v>12177.056932435764</v>
      </c>
    </row>
    <row r="1619" spans="1:8" x14ac:dyDescent="0.35">
      <c r="A1619">
        <v>316257</v>
      </c>
      <c r="B1619">
        <v>3162575</v>
      </c>
      <c r="C1619" t="s">
        <v>172</v>
      </c>
      <c r="D1619">
        <v>2022</v>
      </c>
      <c r="E1619" s="7">
        <v>12847.12</v>
      </c>
      <c r="F1619" s="8">
        <v>13440.809825380868</v>
      </c>
      <c r="G1619" s="7">
        <v>16464.669999999998</v>
      </c>
      <c r="H1619" s="7">
        <v>17225.538153904774</v>
      </c>
    </row>
    <row r="1620" spans="1:8" x14ac:dyDescent="0.35">
      <c r="A1620">
        <v>316257</v>
      </c>
      <c r="B1620">
        <v>3162575</v>
      </c>
      <c r="C1620" t="s">
        <v>172</v>
      </c>
      <c r="D1620">
        <v>2023</v>
      </c>
      <c r="E1620" s="7">
        <v>12924.72</v>
      </c>
      <c r="F1620" s="8">
        <v>12924.72</v>
      </c>
      <c r="G1620" s="7">
        <v>14540.51</v>
      </c>
      <c r="H1620" s="7">
        <v>14540.512775370733</v>
      </c>
    </row>
    <row r="1621" spans="1:8" x14ac:dyDescent="0.35">
      <c r="A1621">
        <v>316257</v>
      </c>
      <c r="B1621">
        <v>3162575</v>
      </c>
      <c r="C1621" t="s">
        <v>172</v>
      </c>
      <c r="D1621">
        <v>2024</v>
      </c>
      <c r="E1621" s="7">
        <v>16597.38</v>
      </c>
      <c r="F1621" s="8">
        <v>15832.48166081262</v>
      </c>
      <c r="G1621" s="7">
        <v>17514.509999999998</v>
      </c>
      <c r="H1621" s="7">
        <v>16707.345278177592</v>
      </c>
    </row>
    <row r="1622" spans="1:8" x14ac:dyDescent="0.35">
      <c r="A1622">
        <v>316280</v>
      </c>
      <c r="B1622">
        <v>3162807</v>
      </c>
      <c r="C1622" t="s">
        <v>173</v>
      </c>
      <c r="D1622">
        <v>2015</v>
      </c>
      <c r="E1622" s="7">
        <v>5482.63</v>
      </c>
      <c r="F1622" s="8">
        <v>8264.8404801287288</v>
      </c>
      <c r="G1622" s="7">
        <v>5653.68</v>
      </c>
      <c r="H1622" s="7">
        <v>8522.6875387451855</v>
      </c>
    </row>
    <row r="1623" spans="1:8" x14ac:dyDescent="0.35">
      <c r="A1623">
        <v>316280</v>
      </c>
      <c r="B1623">
        <v>3162807</v>
      </c>
      <c r="C1623" t="s">
        <v>173</v>
      </c>
      <c r="D1623">
        <v>2016</v>
      </c>
      <c r="E1623" s="7">
        <v>4729.84</v>
      </c>
      <c r="F1623" s="8">
        <v>6708.2277732688408</v>
      </c>
      <c r="G1623" s="7">
        <v>6283.77</v>
      </c>
      <c r="H1623" s="7">
        <v>8912.138239111342</v>
      </c>
    </row>
    <row r="1624" spans="1:8" x14ac:dyDescent="0.35">
      <c r="A1624">
        <v>316280</v>
      </c>
      <c r="B1624">
        <v>3162807</v>
      </c>
      <c r="C1624" t="s">
        <v>173</v>
      </c>
      <c r="D1624">
        <v>2017</v>
      </c>
      <c r="E1624" s="7">
        <v>5030.0600000000004</v>
      </c>
      <c r="F1624" s="8">
        <v>6929.7735558104823</v>
      </c>
      <c r="G1624" s="7">
        <v>6442.11</v>
      </c>
      <c r="H1624" s="7">
        <v>8875.1214130012977</v>
      </c>
    </row>
    <row r="1625" spans="1:8" x14ac:dyDescent="0.35">
      <c r="A1625">
        <v>316280</v>
      </c>
      <c r="B1625">
        <v>3162807</v>
      </c>
      <c r="C1625" t="s">
        <v>173</v>
      </c>
      <c r="D1625">
        <v>2018</v>
      </c>
      <c r="E1625" s="7">
        <v>6161.75</v>
      </c>
      <c r="F1625" s="8">
        <v>8182.3931691503576</v>
      </c>
      <c r="G1625" s="7">
        <v>6926.38</v>
      </c>
      <c r="H1625" s="7">
        <v>9197.764219251465</v>
      </c>
    </row>
    <row r="1626" spans="1:8" x14ac:dyDescent="0.35">
      <c r="A1626">
        <v>316280</v>
      </c>
      <c r="B1626">
        <v>3162807</v>
      </c>
      <c r="C1626" t="s">
        <v>173</v>
      </c>
      <c r="D1626">
        <v>2019</v>
      </c>
      <c r="E1626" s="7">
        <v>5593.68</v>
      </c>
      <c r="F1626" s="8">
        <v>7121.3768025186791</v>
      </c>
      <c r="G1626" s="7">
        <v>7727.68</v>
      </c>
      <c r="H1626" s="7">
        <v>9838.2024011831927</v>
      </c>
    </row>
    <row r="1627" spans="1:8" x14ac:dyDescent="0.35">
      <c r="A1627">
        <v>316280</v>
      </c>
      <c r="B1627">
        <v>3162807</v>
      </c>
      <c r="C1627" t="s">
        <v>173</v>
      </c>
      <c r="D1627">
        <v>2020</v>
      </c>
      <c r="E1627" s="7">
        <v>7618.69</v>
      </c>
      <c r="F1627" s="8">
        <v>9280.2102683887861</v>
      </c>
      <c r="G1627" s="7">
        <v>9641.08</v>
      </c>
      <c r="H1627" s="7">
        <v>11743.658192129562</v>
      </c>
    </row>
    <row r="1628" spans="1:8" x14ac:dyDescent="0.35">
      <c r="A1628">
        <v>316280</v>
      </c>
      <c r="B1628">
        <v>3162807</v>
      </c>
      <c r="C1628" t="s">
        <v>173</v>
      </c>
      <c r="D1628">
        <v>2021</v>
      </c>
      <c r="E1628" s="7">
        <v>10210.58</v>
      </c>
      <c r="F1628" s="8">
        <v>11300.418820236469</v>
      </c>
      <c r="G1628" s="7">
        <v>10689.24</v>
      </c>
      <c r="H1628" s="7">
        <v>11830.166570419417</v>
      </c>
    </row>
    <row r="1629" spans="1:8" x14ac:dyDescent="0.35">
      <c r="A1629">
        <v>316280</v>
      </c>
      <c r="B1629">
        <v>3162807</v>
      </c>
      <c r="C1629" t="s">
        <v>173</v>
      </c>
      <c r="D1629">
        <v>2022</v>
      </c>
      <c r="E1629" s="7">
        <v>14065.75</v>
      </c>
      <c r="F1629" s="8">
        <v>14715.755033139794</v>
      </c>
      <c r="G1629" s="7">
        <v>22542.38</v>
      </c>
      <c r="H1629" s="7">
        <v>23584.102214432449</v>
      </c>
    </row>
    <row r="1630" spans="1:8" x14ac:dyDescent="0.35">
      <c r="A1630">
        <v>316280</v>
      </c>
      <c r="B1630">
        <v>3162807</v>
      </c>
      <c r="C1630" t="s">
        <v>173</v>
      </c>
      <c r="D1630">
        <v>2023</v>
      </c>
      <c r="E1630" s="7">
        <v>16828.73</v>
      </c>
      <c r="F1630" s="8">
        <v>16828.73</v>
      </c>
      <c r="G1630" s="7">
        <v>21582.9</v>
      </c>
      <c r="H1630" s="7">
        <v>21582.89821585903</v>
      </c>
    </row>
    <row r="1631" spans="1:8" x14ac:dyDescent="0.35">
      <c r="A1631">
        <v>316280</v>
      </c>
      <c r="B1631">
        <v>3162807</v>
      </c>
      <c r="C1631" t="s">
        <v>173</v>
      </c>
      <c r="D1631">
        <v>2024</v>
      </c>
      <c r="E1631" s="7">
        <v>17693.27</v>
      </c>
      <c r="F1631" s="8">
        <v>16877.86703653264</v>
      </c>
      <c r="G1631" s="7">
        <v>22805.31</v>
      </c>
      <c r="H1631" s="7">
        <v>21754.319572389959</v>
      </c>
    </row>
    <row r="1632" spans="1:8" x14ac:dyDescent="0.35">
      <c r="A1632">
        <v>316350</v>
      </c>
      <c r="B1632">
        <v>3163508</v>
      </c>
      <c r="C1632" t="s">
        <v>174</v>
      </c>
      <c r="D1632">
        <v>2015</v>
      </c>
      <c r="E1632" s="7">
        <v>6312.86</v>
      </c>
      <c r="F1632" s="8">
        <v>9516.3782479185065</v>
      </c>
      <c r="G1632" s="7">
        <v>10049.969999999999</v>
      </c>
      <c r="H1632" s="7">
        <v>15149.921204377781</v>
      </c>
    </row>
    <row r="1633" spans="1:8" x14ac:dyDescent="0.35">
      <c r="A1633">
        <v>316350</v>
      </c>
      <c r="B1633">
        <v>3163508</v>
      </c>
      <c r="C1633" t="s">
        <v>174</v>
      </c>
      <c r="D1633">
        <v>2016</v>
      </c>
      <c r="E1633" s="7">
        <v>6962.52</v>
      </c>
      <c r="F1633" s="8">
        <v>9874.7885839562805</v>
      </c>
      <c r="G1633" s="7">
        <v>9613.25</v>
      </c>
      <c r="H1633" s="7">
        <v>13634.267027994802</v>
      </c>
    </row>
    <row r="1634" spans="1:8" x14ac:dyDescent="0.35">
      <c r="A1634">
        <v>316350</v>
      </c>
      <c r="B1634">
        <v>3163508</v>
      </c>
      <c r="C1634" t="s">
        <v>174</v>
      </c>
      <c r="D1634">
        <v>2017</v>
      </c>
      <c r="E1634" s="7">
        <v>7994.31</v>
      </c>
      <c r="F1634" s="8">
        <v>11013.538215240234</v>
      </c>
      <c r="G1634" s="7">
        <v>10495.92</v>
      </c>
      <c r="H1634" s="7">
        <v>14459.934181912575</v>
      </c>
    </row>
    <row r="1635" spans="1:8" x14ac:dyDescent="0.35">
      <c r="A1635">
        <v>316350</v>
      </c>
      <c r="B1635">
        <v>3163508</v>
      </c>
      <c r="C1635" t="s">
        <v>174</v>
      </c>
      <c r="D1635">
        <v>2018</v>
      </c>
      <c r="E1635" s="7">
        <v>7110.32</v>
      </c>
      <c r="F1635" s="8">
        <v>9442.0308838354631</v>
      </c>
      <c r="G1635" s="7">
        <v>12690.3</v>
      </c>
      <c r="H1635" s="7">
        <v>16851.874515476127</v>
      </c>
    </row>
    <row r="1636" spans="1:8" x14ac:dyDescent="0.35">
      <c r="A1636">
        <v>316350</v>
      </c>
      <c r="B1636">
        <v>3163508</v>
      </c>
      <c r="C1636" t="s">
        <v>174</v>
      </c>
      <c r="D1636">
        <v>2019</v>
      </c>
      <c r="E1636" s="7">
        <v>10603.81</v>
      </c>
      <c r="F1636" s="8">
        <v>13499.829549118933</v>
      </c>
      <c r="G1636" s="7">
        <v>16253.65</v>
      </c>
      <c r="H1636" s="7">
        <v>20692.70814802403</v>
      </c>
    </row>
    <row r="1637" spans="1:8" x14ac:dyDescent="0.35">
      <c r="A1637">
        <v>316350</v>
      </c>
      <c r="B1637">
        <v>3163508</v>
      </c>
      <c r="C1637" t="s">
        <v>174</v>
      </c>
      <c r="D1637">
        <v>2020</v>
      </c>
      <c r="E1637" s="7">
        <v>12813.27</v>
      </c>
      <c r="F1637" s="8">
        <v>15607.649061142794</v>
      </c>
      <c r="G1637" s="7">
        <v>12499.75</v>
      </c>
      <c r="H1637" s="7">
        <v>15225.757548795036</v>
      </c>
    </row>
    <row r="1638" spans="1:8" x14ac:dyDescent="0.35">
      <c r="A1638">
        <v>316350</v>
      </c>
      <c r="B1638">
        <v>3163508</v>
      </c>
      <c r="C1638" t="s">
        <v>174</v>
      </c>
      <c r="D1638">
        <v>2021</v>
      </c>
      <c r="E1638" s="7">
        <v>16939.189999999999</v>
      </c>
      <c r="F1638" s="8">
        <v>18747.215288020994</v>
      </c>
      <c r="G1638" s="7">
        <v>12417.2</v>
      </c>
      <c r="H1638" s="7">
        <v>13742.561383098644</v>
      </c>
    </row>
    <row r="1639" spans="1:8" x14ac:dyDescent="0.35">
      <c r="A1639">
        <v>316350</v>
      </c>
      <c r="B1639">
        <v>3163508</v>
      </c>
      <c r="C1639" t="s">
        <v>174</v>
      </c>
      <c r="D1639">
        <v>2022</v>
      </c>
      <c r="E1639" s="7">
        <v>14957.97</v>
      </c>
      <c r="F1639" s="8">
        <v>15649.206214603135</v>
      </c>
      <c r="G1639" s="7">
        <v>14732.53</v>
      </c>
      <c r="H1639" s="7">
        <v>15413.351753223411</v>
      </c>
    </row>
    <row r="1640" spans="1:8" x14ac:dyDescent="0.35">
      <c r="A1640">
        <v>316350</v>
      </c>
      <c r="B1640">
        <v>3163508</v>
      </c>
      <c r="C1640" t="s">
        <v>174</v>
      </c>
      <c r="D1640">
        <v>2023</v>
      </c>
      <c r="E1640" s="7">
        <v>14180.48</v>
      </c>
      <c r="F1640" s="8">
        <v>14180.48</v>
      </c>
      <c r="G1640" s="7">
        <v>23163.62</v>
      </c>
      <c r="H1640" s="7">
        <v>23163.616133745472</v>
      </c>
    </row>
    <row r="1641" spans="1:8" x14ac:dyDescent="0.35">
      <c r="A1641">
        <v>316350</v>
      </c>
      <c r="B1641">
        <v>3163508</v>
      </c>
      <c r="C1641" t="s">
        <v>174</v>
      </c>
      <c r="D1641">
        <v>2024</v>
      </c>
      <c r="E1641" s="7">
        <v>14866.71</v>
      </c>
      <c r="F1641" s="8">
        <v>14181.57043049081</v>
      </c>
      <c r="G1641" s="7">
        <v>21221.34</v>
      </c>
      <c r="H1641" s="7">
        <v>20243.345732374772</v>
      </c>
    </row>
    <row r="1642" spans="1:8" x14ac:dyDescent="0.35">
      <c r="A1642">
        <v>316410</v>
      </c>
      <c r="B1642">
        <v>3164100</v>
      </c>
      <c r="C1642" t="s">
        <v>175</v>
      </c>
      <c r="D1642">
        <v>2015</v>
      </c>
      <c r="E1642" s="7">
        <v>6892.68</v>
      </c>
      <c r="F1642" s="8">
        <v>10390.433182719551</v>
      </c>
      <c r="G1642" s="7">
        <v>6610.96</v>
      </c>
      <c r="H1642" s="7">
        <v>9965.7507253694075</v>
      </c>
    </row>
    <row r="1643" spans="1:8" x14ac:dyDescent="0.35">
      <c r="A1643">
        <v>316410</v>
      </c>
      <c r="B1643">
        <v>3164100</v>
      </c>
      <c r="C1643" t="s">
        <v>175</v>
      </c>
      <c r="D1643">
        <v>2016</v>
      </c>
      <c r="E1643" s="7">
        <v>6250.9</v>
      </c>
      <c r="F1643" s="8">
        <v>8865.5136300437625</v>
      </c>
      <c r="G1643" s="7">
        <v>7356.52</v>
      </c>
      <c r="H1643" s="7">
        <v>10433.594033624686</v>
      </c>
    </row>
    <row r="1644" spans="1:8" x14ac:dyDescent="0.35">
      <c r="A1644">
        <v>316410</v>
      </c>
      <c r="B1644">
        <v>3164100</v>
      </c>
      <c r="C1644" t="s">
        <v>175</v>
      </c>
      <c r="D1644">
        <v>2017</v>
      </c>
      <c r="E1644" s="7">
        <v>6669.78</v>
      </c>
      <c r="F1644" s="8">
        <v>9188.7701274087449</v>
      </c>
      <c r="G1644" s="7">
        <v>8228.93</v>
      </c>
      <c r="H1644" s="7">
        <v>11336.764958806585</v>
      </c>
    </row>
    <row r="1645" spans="1:8" x14ac:dyDescent="0.35">
      <c r="A1645">
        <v>316410</v>
      </c>
      <c r="B1645">
        <v>3164100</v>
      </c>
      <c r="C1645" t="s">
        <v>175</v>
      </c>
      <c r="D1645">
        <v>2018</v>
      </c>
      <c r="E1645" s="7">
        <v>7780.4</v>
      </c>
      <c r="F1645" s="8">
        <v>10331.852446668145</v>
      </c>
      <c r="G1645" s="7">
        <v>7944.2</v>
      </c>
      <c r="H1645" s="7">
        <v>10549.374301525126</v>
      </c>
    </row>
    <row r="1646" spans="1:8" x14ac:dyDescent="0.35">
      <c r="A1646">
        <v>316410</v>
      </c>
      <c r="B1646">
        <v>3164100</v>
      </c>
      <c r="C1646" t="s">
        <v>175</v>
      </c>
      <c r="D1646">
        <v>2019</v>
      </c>
      <c r="E1646" s="7">
        <v>7728.79</v>
      </c>
      <c r="F1646" s="8">
        <v>9839.6093122127713</v>
      </c>
      <c r="G1646" s="7">
        <v>10330.42</v>
      </c>
      <c r="H1646" s="7">
        <v>13151.778333401704</v>
      </c>
    </row>
    <row r="1647" spans="1:8" x14ac:dyDescent="0.35">
      <c r="A1647">
        <v>316410</v>
      </c>
      <c r="B1647">
        <v>3164100</v>
      </c>
      <c r="C1647" t="s">
        <v>175</v>
      </c>
      <c r="D1647">
        <v>2020</v>
      </c>
      <c r="E1647" s="7">
        <v>9423.25</v>
      </c>
      <c r="F1647" s="8">
        <v>11478.317323791181</v>
      </c>
      <c r="G1647" s="7">
        <v>9547.6200000000008</v>
      </c>
      <c r="H1647" s="7">
        <v>11629.808668957628</v>
      </c>
    </row>
    <row r="1648" spans="1:8" x14ac:dyDescent="0.35">
      <c r="A1648">
        <v>316410</v>
      </c>
      <c r="B1648">
        <v>3164100</v>
      </c>
      <c r="C1648" t="s">
        <v>175</v>
      </c>
      <c r="D1648">
        <v>2021</v>
      </c>
      <c r="E1648" s="7">
        <v>12343.95</v>
      </c>
      <c r="F1648" s="8">
        <v>13661.496692260183</v>
      </c>
      <c r="G1648" s="7">
        <v>11185.98</v>
      </c>
      <c r="H1648" s="7">
        <v>12379.924566905909</v>
      </c>
    </row>
    <row r="1649" spans="1:8" x14ac:dyDescent="0.35">
      <c r="A1649">
        <v>316410</v>
      </c>
      <c r="B1649">
        <v>3164100</v>
      </c>
      <c r="C1649" t="s">
        <v>175</v>
      </c>
      <c r="D1649">
        <v>2022</v>
      </c>
      <c r="E1649" s="7">
        <v>14678.77</v>
      </c>
      <c r="F1649" s="8">
        <v>15357.103852108949</v>
      </c>
      <c r="G1649" s="7">
        <v>19225.689999999999</v>
      </c>
      <c r="H1649" s="7">
        <v>20114.147648976072</v>
      </c>
    </row>
    <row r="1650" spans="1:8" x14ac:dyDescent="0.35">
      <c r="A1650">
        <v>316410</v>
      </c>
      <c r="B1650">
        <v>3164100</v>
      </c>
      <c r="C1650" t="s">
        <v>175</v>
      </c>
      <c r="D1650">
        <v>2023</v>
      </c>
      <c r="E1650" s="7">
        <v>13494.09</v>
      </c>
      <c r="F1650" s="8">
        <v>13494.09</v>
      </c>
      <c r="G1650" s="7">
        <v>16084.72</v>
      </c>
      <c r="H1650" s="7">
        <v>16084.717168088744</v>
      </c>
    </row>
    <row r="1651" spans="1:8" x14ac:dyDescent="0.35">
      <c r="A1651">
        <v>316410</v>
      </c>
      <c r="B1651">
        <v>3164100</v>
      </c>
      <c r="C1651" t="s">
        <v>175</v>
      </c>
      <c r="D1651">
        <v>2024</v>
      </c>
      <c r="E1651" s="7">
        <v>13796.2</v>
      </c>
      <c r="F1651" s="8">
        <v>13160.395405112318</v>
      </c>
      <c r="G1651" s="7">
        <v>19026.36</v>
      </c>
      <c r="H1651" s="7">
        <v>18149.52304441337</v>
      </c>
    </row>
    <row r="1652" spans="1:8" x14ac:dyDescent="0.35">
      <c r="A1652">
        <v>316447</v>
      </c>
      <c r="B1652">
        <v>3164472</v>
      </c>
      <c r="C1652" t="s">
        <v>176</v>
      </c>
      <c r="D1652">
        <v>2015</v>
      </c>
      <c r="E1652" s="7">
        <v>5420.48</v>
      </c>
      <c r="F1652" s="8">
        <v>8171.1518971238565</v>
      </c>
      <c r="G1652" s="7">
        <v>5609.05</v>
      </c>
      <c r="H1652" s="7">
        <v>8455.4187754987342</v>
      </c>
    </row>
    <row r="1653" spans="1:8" x14ac:dyDescent="0.35">
      <c r="A1653">
        <v>316447</v>
      </c>
      <c r="B1653">
        <v>3164472</v>
      </c>
      <c r="C1653" t="s">
        <v>176</v>
      </c>
      <c r="D1653">
        <v>2016</v>
      </c>
      <c r="E1653" s="7">
        <v>4747.5600000000004</v>
      </c>
      <c r="F1653" s="8">
        <v>6733.3596585212654</v>
      </c>
      <c r="G1653" s="7">
        <v>6025.76</v>
      </c>
      <c r="H1653" s="7">
        <v>8546.2055838163997</v>
      </c>
    </row>
    <row r="1654" spans="1:8" x14ac:dyDescent="0.35">
      <c r="A1654">
        <v>316447</v>
      </c>
      <c r="B1654">
        <v>3164472</v>
      </c>
      <c r="C1654" t="s">
        <v>176</v>
      </c>
      <c r="D1654">
        <v>2017</v>
      </c>
      <c r="E1654" s="7">
        <v>5007.24</v>
      </c>
      <c r="F1654" s="8">
        <v>6898.3350774337632</v>
      </c>
      <c r="G1654" s="7">
        <v>5452.17</v>
      </c>
      <c r="H1654" s="7">
        <v>7511.3003971184826</v>
      </c>
    </row>
    <row r="1655" spans="1:8" x14ac:dyDescent="0.35">
      <c r="A1655">
        <v>316447</v>
      </c>
      <c r="B1655">
        <v>3164472</v>
      </c>
      <c r="C1655" t="s">
        <v>176</v>
      </c>
      <c r="D1655">
        <v>2018</v>
      </c>
      <c r="E1655" s="7">
        <v>4784.92</v>
      </c>
      <c r="F1655" s="8">
        <v>6354.0547284344429</v>
      </c>
      <c r="G1655" s="7">
        <v>5416.17</v>
      </c>
      <c r="H1655" s="7">
        <v>7192.3105354893396</v>
      </c>
    </row>
    <row r="1656" spans="1:8" x14ac:dyDescent="0.35">
      <c r="A1656">
        <v>316447</v>
      </c>
      <c r="B1656">
        <v>3164472</v>
      </c>
      <c r="C1656" t="s">
        <v>176</v>
      </c>
      <c r="D1656">
        <v>2019</v>
      </c>
      <c r="E1656" s="7">
        <v>5435.75</v>
      </c>
      <c r="F1656" s="8">
        <v>6920.3143466002539</v>
      </c>
      <c r="G1656" s="7">
        <v>6667.62</v>
      </c>
      <c r="H1656" s="7">
        <v>8488.6214980038567</v>
      </c>
    </row>
    <row r="1657" spans="1:8" x14ac:dyDescent="0.35">
      <c r="A1657">
        <v>316447</v>
      </c>
      <c r="B1657">
        <v>3164472</v>
      </c>
      <c r="C1657" t="s">
        <v>176</v>
      </c>
      <c r="D1657">
        <v>2020</v>
      </c>
      <c r="E1657" s="7">
        <v>5397.52</v>
      </c>
      <c r="F1657" s="8">
        <v>6574.6369162984511</v>
      </c>
      <c r="G1657" s="7">
        <v>5886.59</v>
      </c>
      <c r="H1657" s="7">
        <v>7170.3635602394561</v>
      </c>
    </row>
    <row r="1658" spans="1:8" x14ac:dyDescent="0.35">
      <c r="A1658">
        <v>316447</v>
      </c>
      <c r="B1658">
        <v>3164472</v>
      </c>
      <c r="C1658" t="s">
        <v>176</v>
      </c>
      <c r="D1658">
        <v>2021</v>
      </c>
      <c r="E1658" s="7">
        <v>5967.2</v>
      </c>
      <c r="F1658" s="8">
        <v>6604.1164345331081</v>
      </c>
      <c r="G1658" s="7">
        <v>7109.37</v>
      </c>
      <c r="H1658" s="7">
        <v>7868.1981622542744</v>
      </c>
    </row>
    <row r="1659" spans="1:8" x14ac:dyDescent="0.35">
      <c r="A1659">
        <v>316447</v>
      </c>
      <c r="B1659">
        <v>3164472</v>
      </c>
      <c r="C1659" t="s">
        <v>176</v>
      </c>
      <c r="D1659">
        <v>2022</v>
      </c>
      <c r="E1659" s="7">
        <v>9123.16</v>
      </c>
      <c r="F1659" s="8">
        <v>9544.7585580676223</v>
      </c>
      <c r="G1659" s="7">
        <v>10050.870000000001</v>
      </c>
      <c r="H1659" s="7">
        <v>10515.3440302444</v>
      </c>
    </row>
    <row r="1660" spans="1:8" x14ac:dyDescent="0.35">
      <c r="A1660">
        <v>316447</v>
      </c>
      <c r="B1660">
        <v>3164472</v>
      </c>
      <c r="C1660" t="s">
        <v>176</v>
      </c>
      <c r="D1660">
        <v>2023</v>
      </c>
      <c r="E1660" s="7">
        <v>9799.0300000000007</v>
      </c>
      <c r="F1660" s="8">
        <v>9799.0300000000007</v>
      </c>
      <c r="G1660" s="7">
        <v>10245.91</v>
      </c>
      <c r="H1660" s="7">
        <v>10245.907168114623</v>
      </c>
    </row>
    <row r="1661" spans="1:8" x14ac:dyDescent="0.35">
      <c r="A1661">
        <v>316447</v>
      </c>
      <c r="B1661">
        <v>3164472</v>
      </c>
      <c r="C1661" t="s">
        <v>176</v>
      </c>
      <c r="D1661">
        <v>2024</v>
      </c>
      <c r="E1661" s="7">
        <v>8394.1299999999992</v>
      </c>
      <c r="F1661" s="8">
        <v>8007.2824315329899</v>
      </c>
      <c r="G1661" s="7">
        <v>10273.76</v>
      </c>
      <c r="H1661" s="7">
        <v>9800.2925377019692</v>
      </c>
    </row>
    <row r="1662" spans="1:8" x14ac:dyDescent="0.35">
      <c r="A1662">
        <v>316550</v>
      </c>
      <c r="B1662">
        <v>3165503</v>
      </c>
      <c r="C1662" t="s">
        <v>177</v>
      </c>
      <c r="D1662">
        <v>2015</v>
      </c>
      <c r="E1662" s="7">
        <v>6049.56</v>
      </c>
      <c r="F1662" s="8">
        <v>9119.464267143243</v>
      </c>
      <c r="G1662" s="7">
        <v>6450.62</v>
      </c>
      <c r="H1662" s="7">
        <v>9724.0473946520324</v>
      </c>
    </row>
    <row r="1663" spans="1:8" x14ac:dyDescent="0.35">
      <c r="A1663">
        <v>316550</v>
      </c>
      <c r="B1663">
        <v>3165503</v>
      </c>
      <c r="C1663" t="s">
        <v>177</v>
      </c>
      <c r="D1663">
        <v>2016</v>
      </c>
      <c r="E1663" s="7">
        <v>6446.55</v>
      </c>
      <c r="F1663" s="8">
        <v>9142.9997107230356</v>
      </c>
      <c r="G1663" s="7">
        <v>6867.26</v>
      </c>
      <c r="H1663" s="7">
        <v>9739.6776233262335</v>
      </c>
    </row>
    <row r="1664" spans="1:8" x14ac:dyDescent="0.35">
      <c r="A1664">
        <v>316550</v>
      </c>
      <c r="B1664">
        <v>3165503</v>
      </c>
      <c r="C1664" t="s">
        <v>177</v>
      </c>
      <c r="D1664">
        <v>2017</v>
      </c>
      <c r="E1664" s="7">
        <v>5113.53</v>
      </c>
      <c r="F1664" s="8">
        <v>7044.7678498553832</v>
      </c>
      <c r="G1664" s="7">
        <v>5389.09</v>
      </c>
      <c r="H1664" s="7">
        <v>7424.4048996290576</v>
      </c>
    </row>
    <row r="1665" spans="1:8" x14ac:dyDescent="0.35">
      <c r="A1665">
        <v>316550</v>
      </c>
      <c r="B1665">
        <v>3165503</v>
      </c>
      <c r="C1665" t="s">
        <v>177</v>
      </c>
      <c r="D1665">
        <v>2018</v>
      </c>
      <c r="E1665" s="7">
        <v>7381.09</v>
      </c>
      <c r="F1665" s="8">
        <v>9801.5953904140897</v>
      </c>
      <c r="G1665" s="7">
        <v>8458.4599999999991</v>
      </c>
      <c r="H1665" s="7">
        <v>11232.270363125082</v>
      </c>
    </row>
    <row r="1666" spans="1:8" x14ac:dyDescent="0.35">
      <c r="A1666">
        <v>316550</v>
      </c>
      <c r="B1666">
        <v>3165503</v>
      </c>
      <c r="C1666" t="s">
        <v>177</v>
      </c>
      <c r="D1666">
        <v>2019</v>
      </c>
      <c r="E1666" s="7">
        <v>7790.98</v>
      </c>
      <c r="F1666" s="8">
        <v>9918.7840993562331</v>
      </c>
      <c r="G1666" s="7">
        <v>9188.84</v>
      </c>
      <c r="H1666" s="7">
        <v>11698.417515047435</v>
      </c>
    </row>
    <row r="1667" spans="1:8" x14ac:dyDescent="0.35">
      <c r="A1667">
        <v>316550</v>
      </c>
      <c r="B1667">
        <v>3165503</v>
      </c>
      <c r="C1667" t="s">
        <v>177</v>
      </c>
      <c r="D1667">
        <v>2020</v>
      </c>
      <c r="E1667" s="7">
        <v>10114.83</v>
      </c>
      <c r="F1667" s="8">
        <v>12320.720390120474</v>
      </c>
      <c r="G1667" s="7">
        <v>9714.39</v>
      </c>
      <c r="H1667" s="7">
        <v>11832.950274847997</v>
      </c>
    </row>
    <row r="1668" spans="1:8" x14ac:dyDescent="0.35">
      <c r="A1668">
        <v>316550</v>
      </c>
      <c r="B1668">
        <v>3165503</v>
      </c>
      <c r="C1668" t="s">
        <v>177</v>
      </c>
      <c r="D1668">
        <v>2021</v>
      </c>
      <c r="E1668" s="7">
        <v>10330.85</v>
      </c>
      <c r="F1668" s="8">
        <v>11433.525986676559</v>
      </c>
      <c r="G1668" s="7">
        <v>8192.8700000000008</v>
      </c>
      <c r="H1668" s="7">
        <v>9067.3479669903954</v>
      </c>
    </row>
    <row r="1669" spans="1:8" x14ac:dyDescent="0.35">
      <c r="A1669">
        <v>316550</v>
      </c>
      <c r="B1669">
        <v>3165503</v>
      </c>
      <c r="C1669" t="s">
        <v>177</v>
      </c>
      <c r="D1669">
        <v>2022</v>
      </c>
      <c r="E1669" s="7">
        <v>11987.22</v>
      </c>
      <c r="F1669" s="8">
        <v>12541.172212527166</v>
      </c>
      <c r="G1669" s="7">
        <v>12166.1</v>
      </c>
      <c r="H1669" s="7">
        <v>12728.320742777792</v>
      </c>
    </row>
    <row r="1670" spans="1:8" x14ac:dyDescent="0.35">
      <c r="A1670">
        <v>316550</v>
      </c>
      <c r="B1670">
        <v>3165503</v>
      </c>
      <c r="C1670" t="s">
        <v>177</v>
      </c>
      <c r="D1670">
        <v>2023</v>
      </c>
      <c r="E1670" s="7">
        <v>11790.67</v>
      </c>
      <c r="F1670" s="8">
        <v>11790.67</v>
      </c>
      <c r="G1670" s="7">
        <v>16785.16</v>
      </c>
      <c r="H1670" s="7">
        <v>16785.158635294883</v>
      </c>
    </row>
    <row r="1671" spans="1:8" x14ac:dyDescent="0.35">
      <c r="A1671">
        <v>316550</v>
      </c>
      <c r="B1671">
        <v>3165503</v>
      </c>
      <c r="C1671" t="s">
        <v>177</v>
      </c>
      <c r="D1671">
        <v>2024</v>
      </c>
      <c r="E1671" s="7">
        <v>12987.45</v>
      </c>
      <c r="F1671" s="8">
        <v>12388.917042673052</v>
      </c>
      <c r="G1671" s="7">
        <v>22463.37</v>
      </c>
      <c r="H1671" s="7">
        <v>21428.131618604122</v>
      </c>
    </row>
    <row r="1672" spans="1:8" x14ac:dyDescent="0.35">
      <c r="A1672">
        <v>316590</v>
      </c>
      <c r="B1672">
        <v>3165909</v>
      </c>
      <c r="C1672" t="s">
        <v>178</v>
      </c>
      <c r="D1672">
        <v>2015</v>
      </c>
      <c r="E1672" s="7">
        <v>6799</v>
      </c>
      <c r="F1672" s="8">
        <v>10249.214414322183</v>
      </c>
      <c r="G1672" s="7">
        <v>8531.0499999999993</v>
      </c>
      <c r="H1672" s="7">
        <v>12860.201830845483</v>
      </c>
    </row>
    <row r="1673" spans="1:8" x14ac:dyDescent="0.35">
      <c r="A1673">
        <v>316590</v>
      </c>
      <c r="B1673">
        <v>3165909</v>
      </c>
      <c r="C1673" t="s">
        <v>178</v>
      </c>
      <c r="D1673">
        <v>2016</v>
      </c>
      <c r="E1673" s="7">
        <v>8199.1200000000008</v>
      </c>
      <c r="F1673" s="8">
        <v>11628.631095420569</v>
      </c>
      <c r="G1673" s="7">
        <v>9779.43</v>
      </c>
      <c r="H1673" s="7">
        <v>13869.943022234089</v>
      </c>
    </row>
    <row r="1674" spans="1:8" x14ac:dyDescent="0.35">
      <c r="A1674">
        <v>316590</v>
      </c>
      <c r="B1674">
        <v>3165909</v>
      </c>
      <c r="C1674" t="s">
        <v>178</v>
      </c>
      <c r="D1674">
        <v>2017</v>
      </c>
      <c r="E1674" s="7">
        <v>9571.15</v>
      </c>
      <c r="F1674" s="8">
        <v>13185.906762284245</v>
      </c>
      <c r="G1674" s="7">
        <v>11378.47</v>
      </c>
      <c r="H1674" s="7">
        <v>15675.803112847694</v>
      </c>
    </row>
    <row r="1675" spans="1:8" x14ac:dyDescent="0.35">
      <c r="A1675">
        <v>316590</v>
      </c>
      <c r="B1675">
        <v>3165909</v>
      </c>
      <c r="C1675" t="s">
        <v>178</v>
      </c>
      <c r="D1675">
        <v>2018</v>
      </c>
      <c r="E1675" s="7">
        <v>12077.34</v>
      </c>
      <c r="F1675" s="8">
        <v>16037.902270865643</v>
      </c>
      <c r="G1675" s="7">
        <v>14072.77</v>
      </c>
      <c r="H1675" s="7">
        <v>18687.706131747171</v>
      </c>
    </row>
    <row r="1676" spans="1:8" x14ac:dyDescent="0.35">
      <c r="A1676">
        <v>316590</v>
      </c>
      <c r="B1676">
        <v>3165909</v>
      </c>
      <c r="C1676" t="s">
        <v>178</v>
      </c>
      <c r="D1676">
        <v>2019</v>
      </c>
      <c r="E1676" s="7">
        <v>8822.5300000000007</v>
      </c>
      <c r="F1676" s="8">
        <v>11232.061984512007</v>
      </c>
      <c r="G1676" s="7">
        <v>12754.54</v>
      </c>
      <c r="H1676" s="7">
        <v>16237.943203394057</v>
      </c>
    </row>
    <row r="1677" spans="1:8" x14ac:dyDescent="0.35">
      <c r="A1677">
        <v>316590</v>
      </c>
      <c r="B1677">
        <v>3165909</v>
      </c>
      <c r="C1677" t="s">
        <v>178</v>
      </c>
      <c r="D1677">
        <v>2020</v>
      </c>
      <c r="E1677" s="7">
        <v>10312.5</v>
      </c>
      <c r="F1677" s="8">
        <v>12561.499206918692</v>
      </c>
      <c r="G1677" s="7">
        <v>10150.620000000001</v>
      </c>
      <c r="H1677" s="7">
        <v>12364.31527125669</v>
      </c>
    </row>
    <row r="1678" spans="1:8" x14ac:dyDescent="0.35">
      <c r="A1678">
        <v>316590</v>
      </c>
      <c r="B1678">
        <v>3165909</v>
      </c>
      <c r="C1678" t="s">
        <v>178</v>
      </c>
      <c r="D1678">
        <v>2021</v>
      </c>
      <c r="E1678" s="7">
        <v>10971.18</v>
      </c>
      <c r="F1678" s="8">
        <v>12142.202397141196</v>
      </c>
      <c r="G1678" s="7">
        <v>12166.49</v>
      </c>
      <c r="H1678" s="7">
        <v>13465.097125359203</v>
      </c>
    </row>
    <row r="1679" spans="1:8" x14ac:dyDescent="0.35">
      <c r="A1679">
        <v>316590</v>
      </c>
      <c r="B1679">
        <v>3165909</v>
      </c>
      <c r="C1679" t="s">
        <v>178</v>
      </c>
      <c r="D1679">
        <v>2022</v>
      </c>
      <c r="E1679" s="7">
        <v>12889.3</v>
      </c>
      <c r="F1679" s="8">
        <v>13484.939043325008</v>
      </c>
      <c r="G1679" s="7">
        <v>15405.32</v>
      </c>
      <c r="H1679" s="7">
        <v>16117.225577125708</v>
      </c>
    </row>
    <row r="1680" spans="1:8" x14ac:dyDescent="0.35">
      <c r="A1680">
        <v>316590</v>
      </c>
      <c r="B1680">
        <v>3165909</v>
      </c>
      <c r="C1680" t="s">
        <v>178</v>
      </c>
      <c r="D1680">
        <v>2023</v>
      </c>
      <c r="E1680" s="7">
        <v>15066.24</v>
      </c>
      <c r="F1680" s="8">
        <v>15066.24</v>
      </c>
      <c r="G1680" s="7">
        <v>27697.03</v>
      </c>
      <c r="H1680" s="7">
        <v>27697.034046511628</v>
      </c>
    </row>
    <row r="1681" spans="1:8" x14ac:dyDescent="0.35">
      <c r="A1681">
        <v>316590</v>
      </c>
      <c r="B1681">
        <v>3165909</v>
      </c>
      <c r="C1681" t="s">
        <v>178</v>
      </c>
      <c r="D1681">
        <v>2024</v>
      </c>
      <c r="E1681" s="7">
        <v>16809.02</v>
      </c>
      <c r="F1681" s="8">
        <v>16034.368128357159</v>
      </c>
      <c r="G1681" s="7">
        <v>32863.81</v>
      </c>
      <c r="H1681" s="7">
        <v>31349.268013493544</v>
      </c>
    </row>
    <row r="1682" spans="1:8" x14ac:dyDescent="0.35">
      <c r="A1682">
        <v>316610</v>
      </c>
      <c r="B1682">
        <v>3166105</v>
      </c>
      <c r="C1682" t="s">
        <v>179</v>
      </c>
      <c r="D1682">
        <v>2015</v>
      </c>
      <c r="E1682" s="7">
        <v>4530.78</v>
      </c>
      <c r="F1682" s="8">
        <v>6829.9655367146133</v>
      </c>
      <c r="G1682" s="7">
        <v>7890.96</v>
      </c>
      <c r="H1682" s="7">
        <v>11895.303519848519</v>
      </c>
    </row>
    <row r="1683" spans="1:8" x14ac:dyDescent="0.35">
      <c r="A1683">
        <v>316610</v>
      </c>
      <c r="B1683">
        <v>3166105</v>
      </c>
      <c r="C1683" t="s">
        <v>179</v>
      </c>
      <c r="D1683">
        <v>2016</v>
      </c>
      <c r="E1683" s="7">
        <v>7732.31</v>
      </c>
      <c r="F1683" s="8">
        <v>10966.564766149466</v>
      </c>
      <c r="G1683" s="7">
        <v>7305.46</v>
      </c>
      <c r="H1683" s="7">
        <v>10361.169677531752</v>
      </c>
    </row>
    <row r="1684" spans="1:8" x14ac:dyDescent="0.35">
      <c r="A1684">
        <v>316610</v>
      </c>
      <c r="B1684">
        <v>3166105</v>
      </c>
      <c r="C1684" t="s">
        <v>179</v>
      </c>
      <c r="D1684">
        <v>2017</v>
      </c>
      <c r="E1684" s="7">
        <v>8527.44</v>
      </c>
      <c r="F1684" s="8">
        <v>11748.016566553984</v>
      </c>
      <c r="G1684" s="7">
        <v>10349.469999999999</v>
      </c>
      <c r="H1684" s="7">
        <v>14258.169737945267</v>
      </c>
    </row>
    <row r="1685" spans="1:8" x14ac:dyDescent="0.35">
      <c r="A1685">
        <v>316610</v>
      </c>
      <c r="B1685">
        <v>3166105</v>
      </c>
      <c r="C1685" t="s">
        <v>179</v>
      </c>
      <c r="D1685">
        <v>2018</v>
      </c>
      <c r="E1685" s="7">
        <v>7736.05</v>
      </c>
      <c r="F1685" s="8">
        <v>10272.958603676816</v>
      </c>
      <c r="G1685" s="7">
        <v>9020.5400000000009</v>
      </c>
      <c r="H1685" s="7">
        <v>11978.677321181827</v>
      </c>
    </row>
    <row r="1686" spans="1:8" x14ac:dyDescent="0.35">
      <c r="A1686">
        <v>316610</v>
      </c>
      <c r="B1686">
        <v>3166105</v>
      </c>
      <c r="C1686" t="s">
        <v>179</v>
      </c>
      <c r="D1686">
        <v>2019</v>
      </c>
      <c r="E1686" s="7">
        <v>8230.64</v>
      </c>
      <c r="F1686" s="8">
        <v>10478.520180968939</v>
      </c>
      <c r="G1686" s="7">
        <v>8811.94</v>
      </c>
      <c r="H1686" s="7">
        <v>11218.580793152758</v>
      </c>
    </row>
    <row r="1687" spans="1:8" x14ac:dyDescent="0.35">
      <c r="A1687">
        <v>316610</v>
      </c>
      <c r="B1687">
        <v>3166105</v>
      </c>
      <c r="C1687" t="s">
        <v>179</v>
      </c>
      <c r="D1687">
        <v>2020</v>
      </c>
      <c r="E1687" s="7">
        <v>7349.21</v>
      </c>
      <c r="F1687" s="8">
        <v>8951.9607841434099</v>
      </c>
      <c r="G1687" s="7">
        <v>7178.45</v>
      </c>
      <c r="H1687" s="7">
        <v>8743.9615969003207</v>
      </c>
    </row>
    <row r="1688" spans="1:8" x14ac:dyDescent="0.35">
      <c r="A1688">
        <v>316610</v>
      </c>
      <c r="B1688">
        <v>3166105</v>
      </c>
      <c r="C1688" t="s">
        <v>179</v>
      </c>
      <c r="D1688">
        <v>2021</v>
      </c>
      <c r="E1688" s="7">
        <v>8846.2099999999991</v>
      </c>
      <c r="F1688" s="8">
        <v>9790.4211094535331</v>
      </c>
      <c r="G1688" s="7">
        <v>11274.87</v>
      </c>
      <c r="H1688" s="7">
        <v>12478.302152867211</v>
      </c>
    </row>
    <row r="1689" spans="1:8" x14ac:dyDescent="0.35">
      <c r="A1689">
        <v>316610</v>
      </c>
      <c r="B1689">
        <v>3166105</v>
      </c>
      <c r="C1689" t="s">
        <v>179</v>
      </c>
      <c r="D1689">
        <v>2022</v>
      </c>
      <c r="E1689" s="7">
        <v>16946.509999999998</v>
      </c>
      <c r="F1689" s="8">
        <v>17729.640426330188</v>
      </c>
      <c r="G1689" s="7">
        <v>22700.41</v>
      </c>
      <c r="H1689" s="7">
        <v>23749.436213661909</v>
      </c>
    </row>
    <row r="1690" spans="1:8" x14ac:dyDescent="0.35">
      <c r="A1690">
        <v>316610</v>
      </c>
      <c r="B1690">
        <v>3166105</v>
      </c>
      <c r="C1690" t="s">
        <v>179</v>
      </c>
      <c r="D1690">
        <v>2023</v>
      </c>
      <c r="E1690" s="7">
        <v>17268.12</v>
      </c>
      <c r="F1690" s="8">
        <v>17268.12</v>
      </c>
      <c r="G1690" s="7">
        <v>25028.19</v>
      </c>
      <c r="H1690" s="7">
        <v>25028.188723404259</v>
      </c>
    </row>
    <row r="1691" spans="1:8" x14ac:dyDescent="0.35">
      <c r="A1691">
        <v>316610</v>
      </c>
      <c r="B1691">
        <v>3166105</v>
      </c>
      <c r="C1691" t="s">
        <v>179</v>
      </c>
      <c r="D1691">
        <v>2024</v>
      </c>
      <c r="E1691" s="7">
        <v>18908.88</v>
      </c>
      <c r="F1691" s="8">
        <v>18037.455057756499</v>
      </c>
      <c r="G1691" s="7">
        <v>27674.52</v>
      </c>
      <c r="H1691" s="7">
        <v>26399.126162850709</v>
      </c>
    </row>
    <row r="1692" spans="1:8" x14ac:dyDescent="0.35">
      <c r="A1692">
        <v>316670</v>
      </c>
      <c r="B1692">
        <v>3166709</v>
      </c>
      <c r="C1692" s="9" t="s">
        <v>180</v>
      </c>
      <c r="D1692">
        <v>2015</v>
      </c>
      <c r="E1692" s="7">
        <v>6246.53</v>
      </c>
      <c r="F1692" s="8">
        <v>9416.3884858796791</v>
      </c>
      <c r="G1692" s="7">
        <v>5571.4538006360999</v>
      </c>
      <c r="H1692" s="7">
        <v>8398.7387266082696</v>
      </c>
    </row>
    <row r="1693" spans="1:8" x14ac:dyDescent="0.35">
      <c r="A1693">
        <v>316670</v>
      </c>
      <c r="B1693">
        <v>3166709</v>
      </c>
      <c r="C1693" t="s">
        <v>180</v>
      </c>
      <c r="D1693">
        <v>2016</v>
      </c>
      <c r="E1693" s="7">
        <v>8221.44</v>
      </c>
      <c r="F1693" s="8">
        <v>11660.287059237391</v>
      </c>
      <c r="G1693" s="7">
        <v>6718.75</v>
      </c>
      <c r="H1693" s="7">
        <v>9529.0556648573784</v>
      </c>
    </row>
    <row r="1694" spans="1:8" x14ac:dyDescent="0.35">
      <c r="A1694">
        <v>316670</v>
      </c>
      <c r="B1694">
        <v>3166709</v>
      </c>
      <c r="C1694" t="s">
        <v>180</v>
      </c>
      <c r="D1694">
        <v>2017</v>
      </c>
      <c r="E1694" s="7">
        <v>4789.6499999999996</v>
      </c>
      <c r="F1694" s="8">
        <v>6598.5673951379649</v>
      </c>
      <c r="G1694" s="7">
        <v>6221.07</v>
      </c>
      <c r="H1694" s="7">
        <v>8570.5896159630429</v>
      </c>
    </row>
    <row r="1695" spans="1:8" x14ac:dyDescent="0.35">
      <c r="A1695">
        <v>316670</v>
      </c>
      <c r="B1695">
        <v>3166709</v>
      </c>
      <c r="C1695" t="s">
        <v>180</v>
      </c>
      <c r="D1695">
        <v>2018</v>
      </c>
      <c r="E1695" s="7">
        <v>5909.28</v>
      </c>
      <c r="F1695" s="8">
        <v>7847.1298424306115</v>
      </c>
      <c r="G1695" s="7">
        <v>6643.63</v>
      </c>
      <c r="H1695" s="7">
        <v>8822.294627994248</v>
      </c>
    </row>
    <row r="1696" spans="1:8" x14ac:dyDescent="0.35">
      <c r="A1696">
        <v>316670</v>
      </c>
      <c r="B1696">
        <v>3166709</v>
      </c>
      <c r="C1696" t="s">
        <v>180</v>
      </c>
      <c r="D1696">
        <v>2019</v>
      </c>
      <c r="E1696" s="7">
        <v>6253.37</v>
      </c>
      <c r="F1696" s="8">
        <v>7961.2355471829333</v>
      </c>
      <c r="G1696" s="7">
        <v>8961.67</v>
      </c>
      <c r="H1696" s="7">
        <v>11409.204845756112</v>
      </c>
    </row>
    <row r="1697" spans="1:8" x14ac:dyDescent="0.35">
      <c r="A1697">
        <v>316670</v>
      </c>
      <c r="B1697">
        <v>3166709</v>
      </c>
      <c r="C1697" t="s">
        <v>180</v>
      </c>
      <c r="D1697">
        <v>2020</v>
      </c>
      <c r="E1697" s="7">
        <v>9095.16</v>
      </c>
      <c r="F1697" s="8">
        <v>11078.675891083501</v>
      </c>
      <c r="G1697" s="7">
        <v>10285.040000000001</v>
      </c>
      <c r="H1697" s="7">
        <v>12528.044737934439</v>
      </c>
    </row>
    <row r="1698" spans="1:8" x14ac:dyDescent="0.35">
      <c r="A1698">
        <v>316670</v>
      </c>
      <c r="B1698">
        <v>3166709</v>
      </c>
      <c r="C1698" s="9" t="s">
        <v>180</v>
      </c>
      <c r="D1698">
        <v>2021</v>
      </c>
      <c r="E1698" s="7">
        <v>12493.24</v>
      </c>
      <c r="F1698" s="8">
        <v>13826.721344108862</v>
      </c>
      <c r="G1698" s="7">
        <v>11965.233700305811</v>
      </c>
      <c r="H1698" s="7">
        <v>13242.357642314486</v>
      </c>
    </row>
    <row r="1699" spans="1:8" x14ac:dyDescent="0.35">
      <c r="A1699">
        <v>316670</v>
      </c>
      <c r="B1699">
        <v>3166709</v>
      </c>
      <c r="C1699" t="s">
        <v>180</v>
      </c>
      <c r="D1699">
        <v>2022</v>
      </c>
      <c r="E1699" s="7">
        <v>15485.2</v>
      </c>
      <c r="F1699" s="8">
        <v>16200.800514666929</v>
      </c>
      <c r="G1699" s="7">
        <v>14546.79</v>
      </c>
      <c r="H1699" s="7">
        <v>15219.021486618896</v>
      </c>
    </row>
    <row r="1700" spans="1:8" x14ac:dyDescent="0.35">
      <c r="A1700">
        <v>316670</v>
      </c>
      <c r="B1700">
        <v>3166709</v>
      </c>
      <c r="C1700" t="s">
        <v>180</v>
      </c>
      <c r="D1700">
        <v>2023</v>
      </c>
      <c r="E1700" s="7">
        <v>13603.67</v>
      </c>
      <c r="F1700" s="8">
        <v>13603.67</v>
      </c>
      <c r="G1700" s="7">
        <v>17855.419999999998</v>
      </c>
      <c r="H1700" s="7">
        <v>17855.422492244685</v>
      </c>
    </row>
    <row r="1701" spans="1:8" x14ac:dyDescent="0.35">
      <c r="A1701">
        <v>316670</v>
      </c>
      <c r="B1701">
        <v>3166709</v>
      </c>
      <c r="C1701" t="s">
        <v>180</v>
      </c>
      <c r="D1701">
        <v>2024</v>
      </c>
      <c r="E1701" s="7">
        <v>14667.74</v>
      </c>
      <c r="F1701" s="8">
        <v>13991.770059826773</v>
      </c>
      <c r="G1701" s="7">
        <v>20458.150000000001</v>
      </c>
      <c r="H1701" s="7">
        <v>19515.32942578819</v>
      </c>
    </row>
    <row r="1702" spans="1:8" x14ac:dyDescent="0.35">
      <c r="A1702">
        <v>316695</v>
      </c>
      <c r="B1702">
        <v>3166956</v>
      </c>
      <c r="C1702" t="s">
        <v>181</v>
      </c>
      <c r="D1702">
        <v>2015</v>
      </c>
      <c r="E1702" s="7">
        <v>7986.98</v>
      </c>
      <c r="F1702" s="8">
        <v>12040.045674790848</v>
      </c>
      <c r="G1702" s="7">
        <v>8152.35</v>
      </c>
      <c r="H1702" s="7">
        <v>12289.340142523175</v>
      </c>
    </row>
    <row r="1703" spans="1:8" x14ac:dyDescent="0.35">
      <c r="A1703">
        <v>316695</v>
      </c>
      <c r="B1703">
        <v>3166956</v>
      </c>
      <c r="C1703" t="s">
        <v>181</v>
      </c>
      <c r="D1703">
        <v>2016</v>
      </c>
      <c r="E1703" s="7">
        <v>7956.51</v>
      </c>
      <c r="F1703" s="8">
        <v>11284.542682266476</v>
      </c>
      <c r="G1703" s="7">
        <v>9640.06</v>
      </c>
      <c r="H1703" s="7">
        <v>13672.283075567108</v>
      </c>
    </row>
    <row r="1704" spans="1:8" x14ac:dyDescent="0.35">
      <c r="A1704">
        <v>316695</v>
      </c>
      <c r="B1704">
        <v>3166956</v>
      </c>
      <c r="C1704" t="s">
        <v>181</v>
      </c>
      <c r="D1704">
        <v>2017</v>
      </c>
      <c r="E1704" s="7">
        <v>9292.5300000000007</v>
      </c>
      <c r="F1704" s="8">
        <v>12802.059748904701</v>
      </c>
      <c r="G1704" s="7">
        <v>11291.57</v>
      </c>
      <c r="H1704" s="7">
        <v>15556.086395858409</v>
      </c>
    </row>
    <row r="1705" spans="1:8" x14ac:dyDescent="0.35">
      <c r="A1705">
        <v>316695</v>
      </c>
      <c r="B1705">
        <v>3166956</v>
      </c>
      <c r="C1705" t="s">
        <v>181</v>
      </c>
      <c r="D1705">
        <v>2018</v>
      </c>
      <c r="E1705" s="7">
        <v>9273.34</v>
      </c>
      <c r="F1705" s="8">
        <v>12314.377225822011</v>
      </c>
      <c r="G1705" s="7">
        <v>10993.72</v>
      </c>
      <c r="H1705" s="7">
        <v>14598.927095950781</v>
      </c>
    </row>
    <row r="1706" spans="1:8" x14ac:dyDescent="0.35">
      <c r="A1706">
        <v>316695</v>
      </c>
      <c r="B1706">
        <v>3166956</v>
      </c>
      <c r="C1706" t="s">
        <v>181</v>
      </c>
      <c r="D1706">
        <v>2019</v>
      </c>
      <c r="E1706" s="7">
        <v>10611.94</v>
      </c>
      <c r="F1706" s="8">
        <v>13510.17994338612</v>
      </c>
      <c r="G1706" s="7">
        <v>9831.6299999999992</v>
      </c>
      <c r="H1706" s="7">
        <v>12516.759502657089</v>
      </c>
    </row>
    <row r="1707" spans="1:8" x14ac:dyDescent="0.35">
      <c r="A1707">
        <v>316695</v>
      </c>
      <c r="B1707">
        <v>3166956</v>
      </c>
      <c r="C1707" t="s">
        <v>181</v>
      </c>
      <c r="D1707">
        <v>2020</v>
      </c>
      <c r="E1707" s="7">
        <v>7707.65</v>
      </c>
      <c r="F1707" s="8">
        <v>9388.5710896685432</v>
      </c>
      <c r="G1707" s="7">
        <v>9483.02</v>
      </c>
      <c r="H1707" s="7">
        <v>11551.126071194656</v>
      </c>
    </row>
    <row r="1708" spans="1:8" x14ac:dyDescent="0.35">
      <c r="A1708">
        <v>316695</v>
      </c>
      <c r="B1708">
        <v>3166956</v>
      </c>
      <c r="C1708" t="s">
        <v>181</v>
      </c>
      <c r="D1708">
        <v>2021</v>
      </c>
      <c r="E1708" s="7">
        <v>10165.92</v>
      </c>
      <c r="F1708" s="8">
        <v>11250.991980183137</v>
      </c>
      <c r="G1708" s="7">
        <v>11187.57</v>
      </c>
      <c r="H1708" s="7">
        <v>12381.686312160009</v>
      </c>
    </row>
    <row r="1709" spans="1:8" x14ac:dyDescent="0.35">
      <c r="A1709">
        <v>316695</v>
      </c>
      <c r="B1709">
        <v>3166956</v>
      </c>
      <c r="C1709" t="s">
        <v>181</v>
      </c>
      <c r="D1709">
        <v>2022</v>
      </c>
      <c r="E1709" s="7">
        <v>14133.88</v>
      </c>
      <c r="F1709" s="8">
        <v>14787.033449890256</v>
      </c>
      <c r="G1709" s="7">
        <v>19824.73</v>
      </c>
      <c r="H1709" s="7">
        <v>20740.864140377478</v>
      </c>
    </row>
    <row r="1710" spans="1:8" x14ac:dyDescent="0.35">
      <c r="A1710">
        <v>316695</v>
      </c>
      <c r="B1710">
        <v>3166956</v>
      </c>
      <c r="C1710" t="s">
        <v>181</v>
      </c>
      <c r="D1710">
        <v>2023</v>
      </c>
      <c r="E1710" s="7">
        <v>16531.87</v>
      </c>
      <c r="F1710" s="8">
        <v>16531.87</v>
      </c>
      <c r="G1710" s="7">
        <v>22046.18</v>
      </c>
      <c r="H1710" s="7">
        <v>22046.178465110446</v>
      </c>
    </row>
    <row r="1711" spans="1:8" x14ac:dyDescent="0.35">
      <c r="A1711">
        <v>316695</v>
      </c>
      <c r="B1711">
        <v>3166956</v>
      </c>
      <c r="C1711" t="s">
        <v>181</v>
      </c>
      <c r="D1711">
        <v>2024</v>
      </c>
      <c r="E1711" s="7">
        <v>16896</v>
      </c>
      <c r="F1711" s="8">
        <v>16117.339612703332</v>
      </c>
      <c r="G1711" s="7">
        <v>24846.86</v>
      </c>
      <c r="H1711" s="7">
        <v>23701.781714428475</v>
      </c>
    </row>
    <row r="1712" spans="1:8" x14ac:dyDescent="0.35">
      <c r="A1712">
        <v>316800</v>
      </c>
      <c r="B1712">
        <v>3168002</v>
      </c>
      <c r="C1712" t="s">
        <v>182</v>
      </c>
      <c r="D1712">
        <v>2015</v>
      </c>
      <c r="E1712" s="7">
        <v>5067.3900000000003</v>
      </c>
      <c r="F1712" s="8">
        <v>7638.8831638464608</v>
      </c>
      <c r="G1712" s="7">
        <v>3530.4</v>
      </c>
      <c r="H1712" s="7">
        <v>5321.938624549477</v>
      </c>
    </row>
    <row r="1713" spans="1:8" x14ac:dyDescent="0.35">
      <c r="A1713">
        <v>316800</v>
      </c>
      <c r="B1713">
        <v>3168002</v>
      </c>
      <c r="C1713" t="s">
        <v>182</v>
      </c>
      <c r="D1713">
        <v>2016</v>
      </c>
      <c r="E1713" s="7">
        <v>5136.22</v>
      </c>
      <c r="F1713" s="8">
        <v>7284.5875660950232</v>
      </c>
      <c r="G1713" s="7">
        <v>3995.34</v>
      </c>
      <c r="H1713" s="7">
        <v>5666.5059099690789</v>
      </c>
    </row>
    <row r="1714" spans="1:8" x14ac:dyDescent="0.35">
      <c r="A1714">
        <v>316800</v>
      </c>
      <c r="B1714">
        <v>3168002</v>
      </c>
      <c r="C1714" t="s">
        <v>182</v>
      </c>
      <c r="D1714">
        <v>2017</v>
      </c>
      <c r="E1714" s="7">
        <v>4709.42</v>
      </c>
      <c r="F1714" s="8">
        <v>6488.0367588468125</v>
      </c>
      <c r="G1714" s="7">
        <v>4355.2299999999996</v>
      </c>
      <c r="H1714" s="7">
        <v>6000.0798533678699</v>
      </c>
    </row>
    <row r="1715" spans="1:8" x14ac:dyDescent="0.35">
      <c r="A1715">
        <v>316800</v>
      </c>
      <c r="B1715">
        <v>3168002</v>
      </c>
      <c r="C1715" t="s">
        <v>182</v>
      </c>
      <c r="D1715">
        <v>2018</v>
      </c>
      <c r="E1715" s="7">
        <v>5085.96</v>
      </c>
      <c r="F1715" s="8">
        <v>6753.8157767796411</v>
      </c>
      <c r="G1715" s="7">
        <v>4430.97</v>
      </c>
      <c r="H1715" s="7">
        <v>5884.0278225875509</v>
      </c>
    </row>
    <row r="1716" spans="1:8" x14ac:dyDescent="0.35">
      <c r="A1716">
        <v>316800</v>
      </c>
      <c r="B1716">
        <v>3168002</v>
      </c>
      <c r="C1716" t="s">
        <v>182</v>
      </c>
      <c r="D1716">
        <v>2019</v>
      </c>
      <c r="E1716" s="7">
        <v>6148.27</v>
      </c>
      <c r="F1716" s="8">
        <v>7827.4315573328331</v>
      </c>
      <c r="G1716" s="7">
        <v>6086.67</v>
      </c>
      <c r="H1716" s="7">
        <v>7749.0133492915456</v>
      </c>
    </row>
    <row r="1717" spans="1:8" x14ac:dyDescent="0.35">
      <c r="A1717">
        <v>316800</v>
      </c>
      <c r="B1717">
        <v>3168002</v>
      </c>
      <c r="C1717" t="s">
        <v>182</v>
      </c>
      <c r="D1717">
        <v>2020</v>
      </c>
      <c r="E1717" s="7">
        <v>6585.22</v>
      </c>
      <c r="F1717" s="8">
        <v>8021.35619950401</v>
      </c>
      <c r="G1717" s="7">
        <v>7034.02</v>
      </c>
      <c r="H1717" s="7">
        <v>8568.0283005711644</v>
      </c>
    </row>
    <row r="1718" spans="1:8" x14ac:dyDescent="0.35">
      <c r="A1718">
        <v>316800</v>
      </c>
      <c r="B1718">
        <v>3168002</v>
      </c>
      <c r="C1718" t="s">
        <v>182</v>
      </c>
      <c r="D1718">
        <v>2021</v>
      </c>
      <c r="E1718" s="7">
        <v>9370.3799999999992</v>
      </c>
      <c r="F1718" s="8">
        <v>10370.539039385363</v>
      </c>
      <c r="G1718" s="7">
        <v>9935.06</v>
      </c>
      <c r="H1718" s="7">
        <v>10995.49545266831</v>
      </c>
    </row>
    <row r="1719" spans="1:8" x14ac:dyDescent="0.35">
      <c r="A1719">
        <v>316800</v>
      </c>
      <c r="B1719">
        <v>3168002</v>
      </c>
      <c r="C1719" t="s">
        <v>182</v>
      </c>
      <c r="D1719">
        <v>2022</v>
      </c>
      <c r="E1719" s="7">
        <v>11295.16</v>
      </c>
      <c r="F1719" s="8">
        <v>11817.130804977998</v>
      </c>
      <c r="G1719" s="7">
        <v>9731.2999999999993</v>
      </c>
      <c r="H1719" s="7">
        <v>10181.006243930909</v>
      </c>
    </row>
    <row r="1720" spans="1:8" x14ac:dyDescent="0.35">
      <c r="A1720">
        <v>316800</v>
      </c>
      <c r="B1720">
        <v>3168002</v>
      </c>
      <c r="C1720" t="s">
        <v>182</v>
      </c>
      <c r="D1720">
        <v>2023</v>
      </c>
      <c r="E1720" s="7">
        <v>10390.780000000001</v>
      </c>
      <c r="F1720" s="8">
        <v>10390.780000000001</v>
      </c>
      <c r="G1720" s="7">
        <v>11132.7</v>
      </c>
      <c r="H1720" s="7">
        <v>11132.696676469795</v>
      </c>
    </row>
    <row r="1721" spans="1:8" x14ac:dyDescent="0.35">
      <c r="A1721">
        <v>316800</v>
      </c>
      <c r="B1721">
        <v>3168002</v>
      </c>
      <c r="C1721" t="s">
        <v>182</v>
      </c>
      <c r="D1721">
        <v>2024</v>
      </c>
      <c r="E1721" s="7">
        <v>12963.06</v>
      </c>
      <c r="F1721" s="8">
        <v>12365.651067699459</v>
      </c>
      <c r="G1721" s="7">
        <v>13213.28</v>
      </c>
      <c r="H1721" s="7">
        <v>12604.335086334731</v>
      </c>
    </row>
    <row r="1722" spans="1:8" x14ac:dyDescent="0.35">
      <c r="A1722">
        <v>316805</v>
      </c>
      <c r="B1722">
        <v>3168051</v>
      </c>
      <c r="C1722" t="s">
        <v>183</v>
      </c>
      <c r="D1722">
        <v>2015</v>
      </c>
      <c r="E1722" s="7">
        <v>5883.19</v>
      </c>
      <c r="F1722" s="8">
        <v>8868.6682968371988</v>
      </c>
      <c r="G1722" s="7">
        <v>6155.78</v>
      </c>
      <c r="H1722" s="7">
        <v>9279.5921538924285</v>
      </c>
    </row>
    <row r="1723" spans="1:8" x14ac:dyDescent="0.35">
      <c r="A1723">
        <v>316805</v>
      </c>
      <c r="B1723">
        <v>3168051</v>
      </c>
      <c r="C1723" t="s">
        <v>183</v>
      </c>
      <c r="D1723">
        <v>2016</v>
      </c>
      <c r="E1723" s="7">
        <v>6941.99</v>
      </c>
      <c r="F1723" s="8">
        <v>9845.6713376677762</v>
      </c>
      <c r="G1723" s="7">
        <v>7550.03</v>
      </c>
      <c r="H1723" s="7">
        <v>10708.041960038345</v>
      </c>
    </row>
    <row r="1724" spans="1:8" x14ac:dyDescent="0.35">
      <c r="A1724">
        <v>316805</v>
      </c>
      <c r="B1724">
        <v>3168051</v>
      </c>
      <c r="C1724" t="s">
        <v>183</v>
      </c>
      <c r="D1724">
        <v>2017</v>
      </c>
      <c r="E1724" s="7">
        <v>7449.99</v>
      </c>
      <c r="F1724" s="8">
        <v>10263.643712610294</v>
      </c>
      <c r="G1724" s="7">
        <v>7884.22</v>
      </c>
      <c r="H1724" s="7">
        <v>10861.864769309068</v>
      </c>
    </row>
    <row r="1725" spans="1:8" x14ac:dyDescent="0.35">
      <c r="A1725">
        <v>316805</v>
      </c>
      <c r="B1725">
        <v>3168051</v>
      </c>
      <c r="C1725" t="s">
        <v>183</v>
      </c>
      <c r="D1725">
        <v>2018</v>
      </c>
      <c r="E1725" s="7">
        <v>7516.9</v>
      </c>
      <c r="F1725" s="8">
        <v>9981.9420153667907</v>
      </c>
      <c r="G1725" s="7">
        <v>7781.08</v>
      </c>
      <c r="H1725" s="7">
        <v>10332.750084581578</v>
      </c>
    </row>
    <row r="1726" spans="1:8" x14ac:dyDescent="0.35">
      <c r="A1726">
        <v>316805</v>
      </c>
      <c r="B1726">
        <v>3168051</v>
      </c>
      <c r="C1726" t="s">
        <v>183</v>
      </c>
      <c r="D1726">
        <v>2019</v>
      </c>
      <c r="E1726" s="7">
        <v>8550.18</v>
      </c>
      <c r="F1726" s="8">
        <v>10885.330142117382</v>
      </c>
      <c r="G1726" s="7">
        <v>9896.2000000000007</v>
      </c>
      <c r="H1726" s="7">
        <v>12598.961106527018</v>
      </c>
    </row>
    <row r="1727" spans="1:8" x14ac:dyDescent="0.35">
      <c r="A1727">
        <v>316805</v>
      </c>
      <c r="B1727">
        <v>3168051</v>
      </c>
      <c r="C1727" t="s">
        <v>183</v>
      </c>
      <c r="D1727">
        <v>2020</v>
      </c>
      <c r="E1727" s="7">
        <v>9006.89</v>
      </c>
      <c r="F1727" s="8">
        <v>10971.155548296134</v>
      </c>
      <c r="G1727" s="7">
        <v>9947.5</v>
      </c>
      <c r="H1727" s="7">
        <v>12116.902939805201</v>
      </c>
    </row>
    <row r="1728" spans="1:8" x14ac:dyDescent="0.35">
      <c r="A1728">
        <v>316805</v>
      </c>
      <c r="B1728">
        <v>3168051</v>
      </c>
      <c r="C1728" t="s">
        <v>183</v>
      </c>
      <c r="D1728">
        <v>2021</v>
      </c>
      <c r="E1728" s="7">
        <v>9352.4</v>
      </c>
      <c r="F1728" s="8">
        <v>10350.639921961294</v>
      </c>
      <c r="G1728" s="7">
        <v>9602.7900000000009</v>
      </c>
      <c r="H1728" s="7">
        <v>10627.751344062282</v>
      </c>
    </row>
    <row r="1729" spans="1:8" x14ac:dyDescent="0.35">
      <c r="A1729">
        <v>316805</v>
      </c>
      <c r="B1729">
        <v>3168051</v>
      </c>
      <c r="C1729" t="s">
        <v>183</v>
      </c>
      <c r="D1729">
        <v>2022</v>
      </c>
      <c r="E1729" s="7">
        <v>10487.06</v>
      </c>
      <c r="F1729" s="8">
        <v>10971.686968546932</v>
      </c>
      <c r="G1729" s="7">
        <v>12472.16</v>
      </c>
      <c r="H1729" s="7">
        <v>13048.518097574079</v>
      </c>
    </row>
    <row r="1730" spans="1:8" x14ac:dyDescent="0.35">
      <c r="A1730">
        <v>316805</v>
      </c>
      <c r="B1730">
        <v>3168051</v>
      </c>
      <c r="C1730" t="s">
        <v>183</v>
      </c>
      <c r="D1730">
        <v>2023</v>
      </c>
      <c r="E1730" s="7">
        <v>11790.14</v>
      </c>
      <c r="F1730" s="8">
        <v>11790.14</v>
      </c>
      <c r="G1730" s="7">
        <v>21165.98</v>
      </c>
      <c r="H1730" s="7">
        <v>21165.975518975058</v>
      </c>
    </row>
    <row r="1731" spans="1:8" x14ac:dyDescent="0.35">
      <c r="A1731">
        <v>316805</v>
      </c>
      <c r="B1731">
        <v>3168051</v>
      </c>
      <c r="C1731" t="s">
        <v>183</v>
      </c>
      <c r="D1731">
        <v>2024</v>
      </c>
      <c r="E1731" s="7">
        <v>16284.51</v>
      </c>
      <c r="F1731" s="8">
        <v>15534.030427110767</v>
      </c>
      <c r="G1731" s="7">
        <v>21266.98</v>
      </c>
      <c r="H1731" s="7">
        <v>20286.87964271001</v>
      </c>
    </row>
    <row r="1732" spans="1:8" x14ac:dyDescent="0.35">
      <c r="A1732">
        <v>316840</v>
      </c>
      <c r="B1732">
        <v>3168408</v>
      </c>
      <c r="C1732" t="s">
        <v>184</v>
      </c>
      <c r="D1732">
        <v>2015</v>
      </c>
      <c r="E1732" s="7">
        <v>6715.16</v>
      </c>
      <c r="F1732" s="8">
        <v>10122.829043459295</v>
      </c>
      <c r="G1732" s="7">
        <v>9705.24</v>
      </c>
      <c r="H1732" s="7">
        <v>14630.25274490146</v>
      </c>
    </row>
    <row r="1733" spans="1:8" x14ac:dyDescent="0.35">
      <c r="A1733">
        <v>316840</v>
      </c>
      <c r="B1733">
        <v>3168408</v>
      </c>
      <c r="C1733" t="s">
        <v>184</v>
      </c>
      <c r="D1733">
        <v>2016</v>
      </c>
      <c r="E1733" s="7">
        <v>7219.28</v>
      </c>
      <c r="F1733" s="8">
        <v>10238.945630085642</v>
      </c>
      <c r="G1733" s="7">
        <v>10747.66</v>
      </c>
      <c r="H1733" s="7">
        <v>15243.169502860856</v>
      </c>
    </row>
    <row r="1734" spans="1:8" x14ac:dyDescent="0.35">
      <c r="A1734">
        <v>316840</v>
      </c>
      <c r="B1734">
        <v>3168408</v>
      </c>
      <c r="C1734" t="s">
        <v>184</v>
      </c>
      <c r="D1734">
        <v>2017</v>
      </c>
      <c r="E1734" s="7">
        <v>5967.53</v>
      </c>
      <c r="F1734" s="8">
        <v>8221.2998627264333</v>
      </c>
      <c r="G1734" s="7">
        <v>9423.69</v>
      </c>
      <c r="H1734" s="7">
        <v>12982.75286831294</v>
      </c>
    </row>
    <row r="1735" spans="1:8" x14ac:dyDescent="0.35">
      <c r="A1735">
        <v>316840</v>
      </c>
      <c r="B1735">
        <v>3168408</v>
      </c>
      <c r="C1735" t="s">
        <v>184</v>
      </c>
      <c r="D1735">
        <v>2018</v>
      </c>
      <c r="E1735" s="7">
        <v>6113.1</v>
      </c>
      <c r="F1735" s="8">
        <v>8117.7892128588555</v>
      </c>
      <c r="G1735" s="7">
        <v>10605.45</v>
      </c>
      <c r="H1735" s="7">
        <v>14083.333531396655</v>
      </c>
    </row>
    <row r="1736" spans="1:8" x14ac:dyDescent="0.35">
      <c r="A1736">
        <v>316840</v>
      </c>
      <c r="B1736">
        <v>3168408</v>
      </c>
      <c r="C1736" t="s">
        <v>184</v>
      </c>
      <c r="D1736">
        <v>2019</v>
      </c>
      <c r="E1736" s="7">
        <v>6078.3</v>
      </c>
      <c r="F1736" s="8">
        <v>7738.3519648512765</v>
      </c>
      <c r="G1736" s="7">
        <v>16134.98</v>
      </c>
      <c r="H1736" s="7">
        <v>20541.628306513321</v>
      </c>
    </row>
    <row r="1737" spans="1:8" x14ac:dyDescent="0.35">
      <c r="A1737">
        <v>316840</v>
      </c>
      <c r="B1737">
        <v>3168408</v>
      </c>
      <c r="C1737" t="s">
        <v>184</v>
      </c>
      <c r="D1737">
        <v>2020</v>
      </c>
      <c r="E1737" s="7">
        <v>8396.2999999999993</v>
      </c>
      <c r="F1737" s="8">
        <v>10227.405167617106</v>
      </c>
      <c r="G1737" s="7">
        <v>11231.98</v>
      </c>
      <c r="H1737" s="7">
        <v>13681.509577575263</v>
      </c>
    </row>
    <row r="1738" spans="1:8" x14ac:dyDescent="0.35">
      <c r="A1738">
        <v>316840</v>
      </c>
      <c r="B1738">
        <v>3168408</v>
      </c>
      <c r="C1738" t="s">
        <v>184</v>
      </c>
      <c r="D1738">
        <v>2021</v>
      </c>
      <c r="E1738" s="7">
        <v>8180.66</v>
      </c>
      <c r="F1738" s="8">
        <v>9053.8328112561358</v>
      </c>
      <c r="G1738" s="7">
        <v>13742.81</v>
      </c>
      <c r="H1738" s="7">
        <v>15209.665807968149</v>
      </c>
    </row>
    <row r="1739" spans="1:8" x14ac:dyDescent="0.35">
      <c r="A1739">
        <v>316840</v>
      </c>
      <c r="B1739">
        <v>3168408</v>
      </c>
      <c r="C1739" t="s">
        <v>184</v>
      </c>
      <c r="D1739">
        <v>2022</v>
      </c>
      <c r="E1739" s="7">
        <v>13076.33</v>
      </c>
      <c r="F1739" s="8">
        <v>13680.612054991514</v>
      </c>
      <c r="G1739" s="7">
        <v>27063.7</v>
      </c>
      <c r="H1739" s="7">
        <v>28314.367773452032</v>
      </c>
    </row>
    <row r="1740" spans="1:8" x14ac:dyDescent="0.35">
      <c r="A1740">
        <v>316840</v>
      </c>
      <c r="B1740">
        <v>3168408</v>
      </c>
      <c r="C1740" t="s">
        <v>184</v>
      </c>
      <c r="D1740">
        <v>2023</v>
      </c>
      <c r="E1740" s="7">
        <v>17314.13</v>
      </c>
      <c r="F1740" s="8">
        <v>17314.13</v>
      </c>
      <c r="G1740" s="7">
        <v>40460.620000000003</v>
      </c>
      <c r="H1740" s="7">
        <v>40460.621872509961</v>
      </c>
    </row>
    <row r="1741" spans="1:8" x14ac:dyDescent="0.35">
      <c r="A1741">
        <v>316840</v>
      </c>
      <c r="B1741">
        <v>3168408</v>
      </c>
      <c r="C1741" t="s">
        <v>184</v>
      </c>
      <c r="D1741">
        <v>2024</v>
      </c>
      <c r="E1741" s="7">
        <v>14792.99</v>
      </c>
      <c r="F1741" s="8">
        <v>14111.247852587847</v>
      </c>
      <c r="G1741" s="7">
        <v>39588.31</v>
      </c>
      <c r="H1741" s="7">
        <v>37763.860583822992</v>
      </c>
    </row>
    <row r="1742" spans="1:8" x14ac:dyDescent="0.35">
      <c r="A1742">
        <v>316860</v>
      </c>
      <c r="B1742">
        <v>3168606</v>
      </c>
      <c r="C1742" t="s">
        <v>185</v>
      </c>
      <c r="D1742">
        <v>2015</v>
      </c>
      <c r="E1742" s="7">
        <v>6153.78</v>
      </c>
      <c r="F1742" s="8">
        <v>9276.5716544444113</v>
      </c>
      <c r="G1742" s="7">
        <v>5952.57</v>
      </c>
      <c r="H1742" s="7">
        <v>8973.2551912547024</v>
      </c>
    </row>
    <row r="1743" spans="1:8" x14ac:dyDescent="0.35">
      <c r="A1743">
        <v>316860</v>
      </c>
      <c r="B1743">
        <v>3168606</v>
      </c>
      <c r="C1743" t="s">
        <v>185</v>
      </c>
      <c r="D1743">
        <v>2016</v>
      </c>
      <c r="E1743" s="7">
        <v>6174.69</v>
      </c>
      <c r="F1743" s="8">
        <v>8757.4266675670588</v>
      </c>
      <c r="G1743" s="7">
        <v>7042.5</v>
      </c>
      <c r="H1743" s="7">
        <v>9988.2190959422333</v>
      </c>
    </row>
    <row r="1744" spans="1:8" x14ac:dyDescent="0.35">
      <c r="A1744">
        <v>316860</v>
      </c>
      <c r="B1744">
        <v>3168606</v>
      </c>
      <c r="C1744" t="s">
        <v>185</v>
      </c>
      <c r="D1744">
        <v>2017</v>
      </c>
      <c r="E1744" s="7">
        <v>6129.87</v>
      </c>
      <c r="F1744" s="8">
        <v>8444.9511589436297</v>
      </c>
      <c r="G1744" s="7">
        <v>6605</v>
      </c>
      <c r="H1744" s="7">
        <v>9099.5311694097163</v>
      </c>
    </row>
    <row r="1745" spans="1:8" x14ac:dyDescent="0.35">
      <c r="A1745">
        <v>316860</v>
      </c>
      <c r="B1745">
        <v>3168606</v>
      </c>
      <c r="C1745" t="s">
        <v>185</v>
      </c>
      <c r="D1745">
        <v>2018</v>
      </c>
      <c r="E1745" s="7">
        <v>5355.2</v>
      </c>
      <c r="F1745" s="8">
        <v>7111.3485453700641</v>
      </c>
      <c r="G1745" s="7">
        <v>6371.41</v>
      </c>
      <c r="H1745" s="7">
        <v>8460.8027001032569</v>
      </c>
    </row>
    <row r="1746" spans="1:8" x14ac:dyDescent="0.35">
      <c r="A1746">
        <v>316860</v>
      </c>
      <c r="B1746">
        <v>3168606</v>
      </c>
      <c r="C1746" t="s">
        <v>185</v>
      </c>
      <c r="D1746">
        <v>2019</v>
      </c>
      <c r="E1746" s="7">
        <v>7204.51</v>
      </c>
      <c r="F1746" s="8">
        <v>9172.1425586579589</v>
      </c>
      <c r="G1746" s="7">
        <v>6729.55</v>
      </c>
      <c r="H1746" s="7">
        <v>8567.4649302050802</v>
      </c>
    </row>
    <row r="1747" spans="1:8" x14ac:dyDescent="0.35">
      <c r="A1747">
        <v>316860</v>
      </c>
      <c r="B1747">
        <v>3168606</v>
      </c>
      <c r="C1747" t="s">
        <v>185</v>
      </c>
      <c r="D1747">
        <v>2020</v>
      </c>
      <c r="E1747" s="7">
        <v>7538.11</v>
      </c>
      <c r="F1747" s="8">
        <v>9182.0569974948703</v>
      </c>
      <c r="G1747" s="7">
        <v>5766.03</v>
      </c>
      <c r="H1747" s="7">
        <v>7023.517459253927</v>
      </c>
    </row>
    <row r="1748" spans="1:8" x14ac:dyDescent="0.35">
      <c r="A1748">
        <v>316860</v>
      </c>
      <c r="B1748">
        <v>3168606</v>
      </c>
      <c r="C1748" t="s">
        <v>185</v>
      </c>
      <c r="D1748">
        <v>2021</v>
      </c>
      <c r="E1748" s="7">
        <v>8183.87</v>
      </c>
      <c r="F1748" s="8">
        <v>9057.385434555983</v>
      </c>
      <c r="G1748" s="7">
        <v>8767.58</v>
      </c>
      <c r="H1748" s="7">
        <v>9703.3986849457106</v>
      </c>
    </row>
    <row r="1749" spans="1:8" x14ac:dyDescent="0.35">
      <c r="A1749">
        <v>316860</v>
      </c>
      <c r="B1749">
        <v>3168606</v>
      </c>
      <c r="C1749" t="s">
        <v>185</v>
      </c>
      <c r="D1749">
        <v>2022</v>
      </c>
      <c r="E1749" s="7">
        <v>10157.49</v>
      </c>
      <c r="F1749" s="8">
        <v>10626.886912647184</v>
      </c>
      <c r="G1749" s="7">
        <v>11879.32</v>
      </c>
      <c r="H1749" s="7">
        <v>12428.289161041836</v>
      </c>
    </row>
    <row r="1750" spans="1:8" x14ac:dyDescent="0.35">
      <c r="A1750">
        <v>316860</v>
      </c>
      <c r="B1750">
        <v>3168606</v>
      </c>
      <c r="C1750" t="s">
        <v>185</v>
      </c>
      <c r="D1750">
        <v>2023</v>
      </c>
      <c r="E1750" s="7">
        <v>10874.82</v>
      </c>
      <c r="F1750" s="8">
        <v>10874.82</v>
      </c>
      <c r="G1750" s="7">
        <v>11027.9</v>
      </c>
      <c r="H1750" s="7">
        <v>11027.895689551237</v>
      </c>
    </row>
    <row r="1751" spans="1:8" x14ac:dyDescent="0.35">
      <c r="A1751">
        <v>316860</v>
      </c>
      <c r="B1751">
        <v>3168606</v>
      </c>
      <c r="C1751" t="s">
        <v>185</v>
      </c>
      <c r="D1751">
        <v>2024</v>
      </c>
      <c r="E1751" s="7">
        <v>12768.34</v>
      </c>
      <c r="F1751" s="8">
        <v>12179.904833715937</v>
      </c>
      <c r="G1751" s="7">
        <v>12953.52</v>
      </c>
      <c r="H1751" s="7">
        <v>12356.547125494171</v>
      </c>
    </row>
    <row r="1752" spans="1:8" x14ac:dyDescent="0.35">
      <c r="A1752">
        <v>316950</v>
      </c>
      <c r="B1752">
        <v>3169505</v>
      </c>
      <c r="C1752" t="s">
        <v>186</v>
      </c>
      <c r="D1752">
        <v>2015</v>
      </c>
      <c r="E1752" s="7">
        <v>5310.12</v>
      </c>
      <c r="F1752" s="8">
        <v>8004.7887109546264</v>
      </c>
      <c r="G1752" s="7">
        <v>5240.21</v>
      </c>
      <c r="H1752" s="7">
        <v>7899.4006699229421</v>
      </c>
    </row>
    <row r="1753" spans="1:8" x14ac:dyDescent="0.35">
      <c r="A1753">
        <v>316950</v>
      </c>
      <c r="B1753">
        <v>3169505</v>
      </c>
      <c r="C1753" t="s">
        <v>186</v>
      </c>
      <c r="D1753">
        <v>2016</v>
      </c>
      <c r="E1753" s="7">
        <v>6242.16</v>
      </c>
      <c r="F1753" s="8">
        <v>8853.1178807714059</v>
      </c>
      <c r="G1753" s="7">
        <v>7606</v>
      </c>
      <c r="H1753" s="7">
        <v>10787.419381852653</v>
      </c>
    </row>
    <row r="1754" spans="1:8" x14ac:dyDescent="0.35">
      <c r="A1754">
        <v>316950</v>
      </c>
      <c r="B1754">
        <v>3169505</v>
      </c>
      <c r="C1754" t="s">
        <v>186</v>
      </c>
      <c r="D1754">
        <v>2017</v>
      </c>
      <c r="E1754" s="7">
        <v>5210.58</v>
      </c>
      <c r="F1754" s="8">
        <v>7178.4709316459403</v>
      </c>
      <c r="G1754" s="7">
        <v>6490.33</v>
      </c>
      <c r="H1754" s="7">
        <v>8941.5507516021498</v>
      </c>
    </row>
    <row r="1755" spans="1:8" x14ac:dyDescent="0.35">
      <c r="A1755">
        <v>316950</v>
      </c>
      <c r="B1755">
        <v>3169505</v>
      </c>
      <c r="C1755" t="s">
        <v>186</v>
      </c>
      <c r="D1755">
        <v>2018</v>
      </c>
      <c r="E1755" s="7">
        <v>5777.06</v>
      </c>
      <c r="F1755" s="8">
        <v>7671.5504981168933</v>
      </c>
      <c r="G1755" s="7">
        <v>6055.18</v>
      </c>
      <c r="H1755" s="7">
        <v>8040.8723409940103</v>
      </c>
    </row>
    <row r="1756" spans="1:8" x14ac:dyDescent="0.35">
      <c r="A1756">
        <v>316950</v>
      </c>
      <c r="B1756">
        <v>3169505</v>
      </c>
      <c r="C1756" t="s">
        <v>186</v>
      </c>
      <c r="D1756">
        <v>2019</v>
      </c>
      <c r="E1756" s="7">
        <v>6619.09</v>
      </c>
      <c r="F1756" s="8">
        <v>8426.8377847469583</v>
      </c>
      <c r="G1756" s="7">
        <v>9899.11</v>
      </c>
      <c r="H1756" s="7">
        <v>12602.662966482983</v>
      </c>
    </row>
    <row r="1757" spans="1:8" x14ac:dyDescent="0.35">
      <c r="A1757">
        <v>316950</v>
      </c>
      <c r="B1757">
        <v>3169505</v>
      </c>
      <c r="C1757" t="s">
        <v>186</v>
      </c>
      <c r="D1757">
        <v>2020</v>
      </c>
      <c r="E1757" s="7">
        <v>8885.36</v>
      </c>
      <c r="F1757" s="8">
        <v>10823.121706006019</v>
      </c>
      <c r="G1757" s="7">
        <v>10593.25</v>
      </c>
      <c r="H1757" s="7">
        <v>12903.474410039136</v>
      </c>
    </row>
    <row r="1758" spans="1:8" x14ac:dyDescent="0.35">
      <c r="A1758">
        <v>316950</v>
      </c>
      <c r="B1758">
        <v>3169505</v>
      </c>
      <c r="C1758" t="s">
        <v>186</v>
      </c>
      <c r="D1758">
        <v>2021</v>
      </c>
      <c r="E1758" s="7">
        <v>8892.82</v>
      </c>
      <c r="F1758" s="8">
        <v>9842.0060851563067</v>
      </c>
      <c r="G1758" s="7">
        <v>14367.53</v>
      </c>
      <c r="H1758" s="7">
        <v>15901.062422652429</v>
      </c>
    </row>
    <row r="1759" spans="1:8" x14ac:dyDescent="0.35">
      <c r="A1759">
        <v>316950</v>
      </c>
      <c r="B1759">
        <v>3169505</v>
      </c>
      <c r="C1759" t="s">
        <v>186</v>
      </c>
      <c r="D1759">
        <v>2022</v>
      </c>
      <c r="E1759" s="7">
        <v>13048.12</v>
      </c>
      <c r="F1759" s="8">
        <v>13651.098417291081</v>
      </c>
      <c r="G1759" s="7">
        <v>23234.44</v>
      </c>
      <c r="H1759" s="7">
        <v>24308.143668530829</v>
      </c>
    </row>
    <row r="1760" spans="1:8" x14ac:dyDescent="0.35">
      <c r="A1760">
        <v>316950</v>
      </c>
      <c r="B1760">
        <v>3169505</v>
      </c>
      <c r="C1760" t="s">
        <v>186</v>
      </c>
      <c r="D1760">
        <v>2023</v>
      </c>
      <c r="E1760" s="7">
        <v>10942.44</v>
      </c>
      <c r="F1760" s="8">
        <v>10942.44</v>
      </c>
      <c r="G1760" s="7">
        <v>18019.060000000001</v>
      </c>
      <c r="H1760" s="7">
        <v>18019.0597459577</v>
      </c>
    </row>
    <row r="1761" spans="1:8" x14ac:dyDescent="0.35">
      <c r="A1761">
        <v>316950</v>
      </c>
      <c r="B1761">
        <v>3169505</v>
      </c>
      <c r="C1761" t="s">
        <v>186</v>
      </c>
      <c r="D1761">
        <v>2024</v>
      </c>
      <c r="E1761" s="7">
        <v>19238.509999999998</v>
      </c>
      <c r="F1761" s="8">
        <v>18351.893898697275</v>
      </c>
      <c r="G1761" s="7">
        <v>18596.03</v>
      </c>
      <c r="H1761" s="7">
        <v>17739.021413096685</v>
      </c>
    </row>
    <row r="1762" spans="1:8" x14ac:dyDescent="0.35">
      <c r="A1762">
        <v>316970</v>
      </c>
      <c r="B1762">
        <v>3169703</v>
      </c>
      <c r="C1762" t="s">
        <v>187</v>
      </c>
      <c r="D1762">
        <v>2015</v>
      </c>
      <c r="E1762" s="7">
        <v>9474.14</v>
      </c>
      <c r="F1762" s="8">
        <v>14281.878548508068</v>
      </c>
      <c r="G1762" s="7">
        <v>8893.43</v>
      </c>
      <c r="H1762" s="7">
        <v>13406.477186923586</v>
      </c>
    </row>
    <row r="1763" spans="1:8" x14ac:dyDescent="0.35">
      <c r="A1763">
        <v>316970</v>
      </c>
      <c r="B1763">
        <v>3169703</v>
      </c>
      <c r="C1763" t="s">
        <v>187</v>
      </c>
      <c r="D1763">
        <v>2016</v>
      </c>
      <c r="E1763" s="7">
        <v>9820.3700000000008</v>
      </c>
      <c r="F1763" s="8">
        <v>13928.014219883999</v>
      </c>
      <c r="G1763" s="7">
        <v>11090.9</v>
      </c>
      <c r="H1763" s="7">
        <v>15729.972870922502</v>
      </c>
    </row>
    <row r="1764" spans="1:8" x14ac:dyDescent="0.35">
      <c r="A1764">
        <v>316970</v>
      </c>
      <c r="B1764">
        <v>3169703</v>
      </c>
      <c r="C1764" t="s">
        <v>187</v>
      </c>
      <c r="D1764">
        <v>2017</v>
      </c>
      <c r="E1764" s="7">
        <v>9793.39</v>
      </c>
      <c r="F1764" s="8">
        <v>13492.080620059962</v>
      </c>
      <c r="G1764" s="7">
        <v>10565.36</v>
      </c>
      <c r="H1764" s="7">
        <v>14555.602061831498</v>
      </c>
    </row>
    <row r="1765" spans="1:8" x14ac:dyDescent="0.35">
      <c r="A1765">
        <v>316970</v>
      </c>
      <c r="B1765">
        <v>3169703</v>
      </c>
      <c r="C1765" t="s">
        <v>187</v>
      </c>
      <c r="D1765">
        <v>2018</v>
      </c>
      <c r="E1765" s="7">
        <v>12802.95</v>
      </c>
      <c r="F1765" s="8">
        <v>17001.463971270106</v>
      </c>
      <c r="G1765" s="7">
        <v>11759.64</v>
      </c>
      <c r="H1765" s="7">
        <v>15616.017560653541</v>
      </c>
    </row>
    <row r="1766" spans="1:8" x14ac:dyDescent="0.35">
      <c r="A1766">
        <v>316970</v>
      </c>
      <c r="B1766">
        <v>3169703</v>
      </c>
      <c r="C1766" t="s">
        <v>187</v>
      </c>
      <c r="D1766">
        <v>2019</v>
      </c>
      <c r="E1766" s="7">
        <v>11855.26</v>
      </c>
      <c r="F1766" s="8">
        <v>15093.064592866876</v>
      </c>
      <c r="G1766" s="7">
        <v>14229.72</v>
      </c>
      <c r="H1766" s="7">
        <v>18116.018652965504</v>
      </c>
    </row>
    <row r="1767" spans="1:8" x14ac:dyDescent="0.35">
      <c r="A1767">
        <v>316970</v>
      </c>
      <c r="B1767">
        <v>3169703</v>
      </c>
      <c r="C1767" t="s">
        <v>187</v>
      </c>
      <c r="D1767">
        <v>2020</v>
      </c>
      <c r="E1767" s="7">
        <v>12047.37</v>
      </c>
      <c r="F1767" s="8">
        <v>14674.717934589677</v>
      </c>
      <c r="G1767" s="7">
        <v>13101.76</v>
      </c>
      <c r="H1767" s="7">
        <v>15959.056243744459</v>
      </c>
    </row>
    <row r="1768" spans="1:8" x14ac:dyDescent="0.35">
      <c r="A1768">
        <v>316970</v>
      </c>
      <c r="B1768">
        <v>3169703</v>
      </c>
      <c r="C1768" t="s">
        <v>187</v>
      </c>
      <c r="D1768">
        <v>2021</v>
      </c>
      <c r="E1768" s="7">
        <v>14075.39</v>
      </c>
      <c r="F1768" s="8">
        <v>15577.744071166202</v>
      </c>
      <c r="G1768" s="7">
        <v>12042.8</v>
      </c>
      <c r="H1768" s="7">
        <v>13328.200235671367</v>
      </c>
    </row>
    <row r="1769" spans="1:8" x14ac:dyDescent="0.35">
      <c r="A1769">
        <v>316970</v>
      </c>
      <c r="B1769">
        <v>3169703</v>
      </c>
      <c r="C1769" t="s">
        <v>187</v>
      </c>
      <c r="D1769">
        <v>2022</v>
      </c>
      <c r="E1769" s="7">
        <v>18209.400000000001</v>
      </c>
      <c r="F1769" s="8">
        <v>19050.890972785368</v>
      </c>
      <c r="G1769" s="7">
        <v>19819.54</v>
      </c>
      <c r="H1769" s="7">
        <v>20735.435644586596</v>
      </c>
    </row>
    <row r="1770" spans="1:8" x14ac:dyDescent="0.35">
      <c r="A1770">
        <v>316970</v>
      </c>
      <c r="B1770">
        <v>3169703</v>
      </c>
      <c r="C1770" t="s">
        <v>187</v>
      </c>
      <c r="D1770">
        <v>2023</v>
      </c>
      <c r="E1770" s="7">
        <v>18048.23</v>
      </c>
      <c r="F1770" s="8">
        <v>18048.23</v>
      </c>
      <c r="G1770" s="7">
        <v>21787.26</v>
      </c>
      <c r="H1770" s="7">
        <v>21787.256637314011</v>
      </c>
    </row>
    <row r="1771" spans="1:8" x14ac:dyDescent="0.35">
      <c r="A1771">
        <v>316970</v>
      </c>
      <c r="B1771">
        <v>3169703</v>
      </c>
      <c r="C1771" t="s">
        <v>187</v>
      </c>
      <c r="D1771">
        <v>2024</v>
      </c>
      <c r="E1771" s="7">
        <v>19222.82</v>
      </c>
      <c r="F1771" s="8">
        <v>18336.926979987325</v>
      </c>
      <c r="G1771" s="7">
        <v>25161.919999999998</v>
      </c>
      <c r="H1771" s="7">
        <v>24002.32515041942</v>
      </c>
    </row>
    <row r="1772" spans="1:8" x14ac:dyDescent="0.35">
      <c r="A1772">
        <v>317005</v>
      </c>
      <c r="B1772">
        <v>3170057</v>
      </c>
      <c r="C1772" t="s">
        <v>188</v>
      </c>
      <c r="D1772">
        <v>2015</v>
      </c>
      <c r="E1772" s="7">
        <v>10155.290000000001</v>
      </c>
      <c r="F1772" s="8">
        <v>15308.684313814079</v>
      </c>
      <c r="G1772" s="7">
        <v>9323.64</v>
      </c>
      <c r="H1772" s="7">
        <v>14055.010007177665</v>
      </c>
    </row>
    <row r="1773" spans="1:8" x14ac:dyDescent="0.35">
      <c r="A1773">
        <v>317005</v>
      </c>
      <c r="B1773">
        <v>3170057</v>
      </c>
      <c r="C1773" t="s">
        <v>188</v>
      </c>
      <c r="D1773">
        <v>2016</v>
      </c>
      <c r="E1773" s="7">
        <v>8463.94</v>
      </c>
      <c r="F1773" s="8">
        <v>12004.219461817118</v>
      </c>
      <c r="G1773" s="7">
        <v>10052.02</v>
      </c>
      <c r="H1773" s="7">
        <v>14256.555076282903</v>
      </c>
    </row>
    <row r="1774" spans="1:8" x14ac:dyDescent="0.35">
      <c r="A1774">
        <v>317005</v>
      </c>
      <c r="B1774">
        <v>3170057</v>
      </c>
      <c r="C1774" t="s">
        <v>188</v>
      </c>
      <c r="D1774">
        <v>2017</v>
      </c>
      <c r="E1774" s="7">
        <v>5565.62</v>
      </c>
      <c r="F1774" s="8">
        <v>7667.5996504395443</v>
      </c>
      <c r="G1774" s="7">
        <v>9157.35</v>
      </c>
      <c r="H1774" s="7">
        <v>12615.831051788697</v>
      </c>
    </row>
    <row r="1775" spans="1:8" x14ac:dyDescent="0.35">
      <c r="A1775">
        <v>317005</v>
      </c>
      <c r="B1775">
        <v>3170057</v>
      </c>
      <c r="C1775" t="s">
        <v>188</v>
      </c>
      <c r="D1775">
        <v>2018</v>
      </c>
      <c r="E1775" s="7">
        <v>6828.23</v>
      </c>
      <c r="F1775" s="8">
        <v>9067.4341720107986</v>
      </c>
      <c r="G1775" s="7">
        <v>10485</v>
      </c>
      <c r="H1775" s="7">
        <v>13923.381821020059</v>
      </c>
    </row>
    <row r="1776" spans="1:8" x14ac:dyDescent="0.35">
      <c r="A1776">
        <v>317005</v>
      </c>
      <c r="B1776">
        <v>3170057</v>
      </c>
      <c r="C1776" t="s">
        <v>188</v>
      </c>
      <c r="D1776">
        <v>2019</v>
      </c>
      <c r="E1776" s="7">
        <v>6815.42</v>
      </c>
      <c r="F1776" s="8">
        <v>8676.7877117428689</v>
      </c>
      <c r="G1776" s="7">
        <v>12227.31</v>
      </c>
      <c r="H1776" s="7">
        <v>15566.722562578256</v>
      </c>
    </row>
    <row r="1777" spans="1:8" x14ac:dyDescent="0.35">
      <c r="A1777">
        <v>317005</v>
      </c>
      <c r="B1777">
        <v>3170057</v>
      </c>
      <c r="C1777" t="s">
        <v>188</v>
      </c>
      <c r="D1777">
        <v>2020</v>
      </c>
      <c r="E1777" s="7">
        <v>8576.7900000000009</v>
      </c>
      <c r="F1777" s="8">
        <v>10447.25728803958</v>
      </c>
      <c r="G1777" s="7">
        <v>11244.91</v>
      </c>
      <c r="H1777" s="7">
        <v>13697.255545170963</v>
      </c>
    </row>
    <row r="1778" spans="1:8" x14ac:dyDescent="0.35">
      <c r="A1778">
        <v>317005</v>
      </c>
      <c r="B1778">
        <v>3170057</v>
      </c>
      <c r="C1778" t="s">
        <v>188</v>
      </c>
      <c r="D1778">
        <v>2021</v>
      </c>
      <c r="E1778" s="7">
        <v>9530.3799999999992</v>
      </c>
      <c r="F1778" s="8">
        <v>10547.616836262507</v>
      </c>
      <c r="G1778" s="7">
        <v>11001.03</v>
      </c>
      <c r="H1778" s="7">
        <v>12175.234330818439</v>
      </c>
    </row>
    <row r="1779" spans="1:8" x14ac:dyDescent="0.35">
      <c r="A1779">
        <v>317005</v>
      </c>
      <c r="B1779">
        <v>3170057</v>
      </c>
      <c r="C1779" t="s">
        <v>188</v>
      </c>
      <c r="D1779">
        <v>2022</v>
      </c>
      <c r="E1779" s="7">
        <v>14473.68</v>
      </c>
      <c r="F1779" s="8">
        <v>15142.536253527525</v>
      </c>
      <c r="G1779" s="7">
        <v>19462.11</v>
      </c>
      <c r="H1779" s="7">
        <v>20361.487944922534</v>
      </c>
    </row>
    <row r="1780" spans="1:8" x14ac:dyDescent="0.35">
      <c r="A1780">
        <v>317005</v>
      </c>
      <c r="B1780">
        <v>3170057</v>
      </c>
      <c r="C1780" t="s">
        <v>188</v>
      </c>
      <c r="D1780">
        <v>2023</v>
      </c>
      <c r="E1780" s="7">
        <v>15813.8</v>
      </c>
      <c r="F1780" s="8">
        <v>15813.8</v>
      </c>
      <c r="G1780" s="7">
        <v>22576.080000000002</v>
      </c>
      <c r="H1780" s="7">
        <v>22576.077989917034</v>
      </c>
    </row>
    <row r="1781" spans="1:8" x14ac:dyDescent="0.35">
      <c r="A1781">
        <v>317005</v>
      </c>
      <c r="B1781">
        <v>3170057</v>
      </c>
      <c r="C1781" t="s">
        <v>188</v>
      </c>
      <c r="D1781">
        <v>2024</v>
      </c>
      <c r="E1781" s="7">
        <v>17255.45</v>
      </c>
      <c r="F1781" s="8">
        <v>16460.224184423634</v>
      </c>
      <c r="G1781" s="7">
        <v>22407.47</v>
      </c>
      <c r="H1781" s="7">
        <v>21374.81172046185</v>
      </c>
    </row>
    <row r="1782" spans="1:8" x14ac:dyDescent="0.35">
      <c r="A1782">
        <v>317030</v>
      </c>
      <c r="B1782">
        <v>3170305</v>
      </c>
      <c r="C1782" t="s">
        <v>189</v>
      </c>
      <c r="D1782">
        <v>2015</v>
      </c>
      <c r="E1782" s="7">
        <v>4829.33</v>
      </c>
      <c r="F1782" s="8">
        <v>7280.0174507307756</v>
      </c>
      <c r="G1782" s="7">
        <v>5290.96</v>
      </c>
      <c r="H1782" s="7">
        <v>7975.8985695173396</v>
      </c>
    </row>
    <row r="1783" spans="1:8" x14ac:dyDescent="0.35">
      <c r="A1783">
        <v>317030</v>
      </c>
      <c r="B1783">
        <v>3170305</v>
      </c>
      <c r="C1783" t="s">
        <v>189</v>
      </c>
      <c r="D1783">
        <v>2016</v>
      </c>
      <c r="E1783" s="7">
        <v>6330.97</v>
      </c>
      <c r="F1783" s="8">
        <v>8979.0751454027686</v>
      </c>
      <c r="G1783" s="7">
        <v>6258.28</v>
      </c>
      <c r="H1783" s="7">
        <v>8875.9849717965189</v>
      </c>
    </row>
    <row r="1784" spans="1:8" x14ac:dyDescent="0.35">
      <c r="A1784">
        <v>317030</v>
      </c>
      <c r="B1784">
        <v>3170305</v>
      </c>
      <c r="C1784" t="s">
        <v>189</v>
      </c>
      <c r="D1784">
        <v>2017</v>
      </c>
      <c r="E1784" s="7">
        <v>7665.06</v>
      </c>
      <c r="F1784" s="8">
        <v>10559.93966109762</v>
      </c>
      <c r="G1784" s="7">
        <v>8957.08</v>
      </c>
      <c r="H1784" s="7">
        <v>12339.921444611104</v>
      </c>
    </row>
    <row r="1785" spans="1:8" x14ac:dyDescent="0.35">
      <c r="A1785">
        <v>317030</v>
      </c>
      <c r="B1785">
        <v>3170305</v>
      </c>
      <c r="C1785" t="s">
        <v>189</v>
      </c>
      <c r="D1785">
        <v>2018</v>
      </c>
      <c r="E1785" s="7">
        <v>8215.68</v>
      </c>
      <c r="F1785" s="8">
        <v>10909.875264644819</v>
      </c>
      <c r="G1785" s="7">
        <v>8435.01</v>
      </c>
      <c r="H1785" s="7">
        <v>11201.134112297868</v>
      </c>
    </row>
    <row r="1786" spans="1:8" x14ac:dyDescent="0.35">
      <c r="A1786">
        <v>317030</v>
      </c>
      <c r="B1786">
        <v>3170305</v>
      </c>
      <c r="C1786" t="s">
        <v>189</v>
      </c>
      <c r="D1786">
        <v>2019</v>
      </c>
      <c r="E1786" s="7">
        <v>8117.53</v>
      </c>
      <c r="F1786" s="8">
        <v>10334.518570198768</v>
      </c>
      <c r="G1786" s="7">
        <v>8809.68</v>
      </c>
      <c r="H1786" s="7">
        <v>11215.702065610218</v>
      </c>
    </row>
    <row r="1787" spans="1:8" x14ac:dyDescent="0.35">
      <c r="A1787">
        <v>317030</v>
      </c>
      <c r="B1787">
        <v>3170305</v>
      </c>
      <c r="C1787" t="s">
        <v>189</v>
      </c>
      <c r="D1787">
        <v>2020</v>
      </c>
      <c r="E1787" s="7">
        <v>9620.41</v>
      </c>
      <c r="F1787" s="8">
        <v>11718.474917355892</v>
      </c>
      <c r="G1787" s="7">
        <v>7469.49</v>
      </c>
      <c r="H1787" s="7">
        <v>9098.4690401035859</v>
      </c>
    </row>
    <row r="1788" spans="1:8" x14ac:dyDescent="0.35">
      <c r="A1788">
        <v>317030</v>
      </c>
      <c r="B1788">
        <v>3170305</v>
      </c>
      <c r="C1788" t="s">
        <v>189</v>
      </c>
      <c r="D1788">
        <v>2021</v>
      </c>
      <c r="E1788" s="7">
        <v>8861.17</v>
      </c>
      <c r="F1788" s="8">
        <v>9806.9778834615463</v>
      </c>
      <c r="G1788" s="7">
        <v>8559.32</v>
      </c>
      <c r="H1788" s="7">
        <v>9472.9125688201584</v>
      </c>
    </row>
    <row r="1789" spans="1:8" x14ac:dyDescent="0.35">
      <c r="A1789">
        <v>317030</v>
      </c>
      <c r="B1789">
        <v>3170305</v>
      </c>
      <c r="C1789" t="s">
        <v>189</v>
      </c>
      <c r="D1789">
        <v>2022</v>
      </c>
      <c r="E1789" s="7">
        <v>13460.24</v>
      </c>
      <c r="F1789" s="8">
        <v>14082.263265540023</v>
      </c>
      <c r="G1789" s="7">
        <v>15218.36</v>
      </c>
      <c r="H1789" s="7">
        <v>15921.628122236241</v>
      </c>
    </row>
    <row r="1790" spans="1:8" x14ac:dyDescent="0.35">
      <c r="A1790">
        <v>317030</v>
      </c>
      <c r="B1790">
        <v>3170305</v>
      </c>
      <c r="C1790" t="s">
        <v>189</v>
      </c>
      <c r="D1790">
        <v>2023</v>
      </c>
      <c r="E1790" s="7">
        <v>15754.78</v>
      </c>
      <c r="F1790" s="8">
        <v>15754.78</v>
      </c>
      <c r="G1790" s="7">
        <v>17412.78</v>
      </c>
      <c r="H1790" s="7">
        <v>17412.782301099302</v>
      </c>
    </row>
    <row r="1791" spans="1:8" x14ac:dyDescent="0.35">
      <c r="A1791">
        <v>317030</v>
      </c>
      <c r="B1791">
        <v>3170305</v>
      </c>
      <c r="C1791" t="s">
        <v>189</v>
      </c>
      <c r="D1791">
        <v>2024</v>
      </c>
      <c r="E1791" s="7">
        <v>19156.93</v>
      </c>
      <c r="F1791" s="8">
        <v>18274.073552721642</v>
      </c>
      <c r="G1791" s="7">
        <v>22008.82</v>
      </c>
      <c r="H1791" s="7">
        <v>20994.535362218397</v>
      </c>
    </row>
    <row r="1792" spans="1:8" x14ac:dyDescent="0.35">
      <c r="A1792">
        <v>317047</v>
      </c>
      <c r="B1792">
        <v>3170479</v>
      </c>
      <c r="C1792" t="s">
        <v>190</v>
      </c>
      <c r="D1792">
        <v>2015</v>
      </c>
      <c r="E1792" s="7">
        <v>4264.84</v>
      </c>
      <c r="F1792" s="8">
        <v>6429.0718639179022</v>
      </c>
      <c r="G1792" s="7">
        <v>4224.01</v>
      </c>
      <c r="H1792" s="7">
        <v>6367.5201518494432</v>
      </c>
    </row>
    <row r="1793" spans="1:8" x14ac:dyDescent="0.35">
      <c r="A1793">
        <v>317047</v>
      </c>
      <c r="B1793">
        <v>3170479</v>
      </c>
      <c r="C1793" t="s">
        <v>190</v>
      </c>
      <c r="D1793">
        <v>2016</v>
      </c>
      <c r="E1793" s="7">
        <v>5261.22</v>
      </c>
      <c r="F1793" s="8">
        <v>7461.8723096928206</v>
      </c>
      <c r="G1793" s="7">
        <v>6031.63</v>
      </c>
      <c r="H1793" s="7">
        <v>8554.5256599780532</v>
      </c>
    </row>
    <row r="1794" spans="1:8" x14ac:dyDescent="0.35">
      <c r="A1794">
        <v>317047</v>
      </c>
      <c r="B1794">
        <v>3170479</v>
      </c>
      <c r="C1794" t="s">
        <v>190</v>
      </c>
      <c r="D1794">
        <v>2017</v>
      </c>
      <c r="E1794" s="7">
        <v>5125.2299999999996</v>
      </c>
      <c r="F1794" s="8">
        <v>7060.8866139661459</v>
      </c>
      <c r="G1794" s="7">
        <v>5596.29</v>
      </c>
      <c r="H1794" s="7">
        <v>7709.8590314892181</v>
      </c>
    </row>
    <row r="1795" spans="1:8" x14ac:dyDescent="0.35">
      <c r="A1795">
        <v>317047</v>
      </c>
      <c r="B1795">
        <v>3170479</v>
      </c>
      <c r="C1795" t="s">
        <v>190</v>
      </c>
      <c r="D1795">
        <v>2018</v>
      </c>
      <c r="E1795" s="7">
        <v>5552.17</v>
      </c>
      <c r="F1795" s="8">
        <v>7372.911572517798</v>
      </c>
      <c r="G1795" s="7">
        <v>6070.38</v>
      </c>
      <c r="H1795" s="7">
        <v>8061.0600932497937</v>
      </c>
    </row>
    <row r="1796" spans="1:8" x14ac:dyDescent="0.35">
      <c r="A1796">
        <v>317047</v>
      </c>
      <c r="B1796">
        <v>3170479</v>
      </c>
      <c r="C1796" t="s">
        <v>190</v>
      </c>
      <c r="D1796">
        <v>2019</v>
      </c>
      <c r="E1796" s="7">
        <v>6133.14</v>
      </c>
      <c r="F1796" s="8">
        <v>7808.1693844838128</v>
      </c>
      <c r="G1796" s="7">
        <v>7017.91</v>
      </c>
      <c r="H1796" s="7">
        <v>8934.5806881873996</v>
      </c>
    </row>
    <row r="1797" spans="1:8" x14ac:dyDescent="0.35">
      <c r="A1797">
        <v>317047</v>
      </c>
      <c r="B1797">
        <v>3170479</v>
      </c>
      <c r="C1797" t="s">
        <v>190</v>
      </c>
      <c r="D1797">
        <v>2020</v>
      </c>
      <c r="E1797" s="7">
        <v>7234.74</v>
      </c>
      <c r="F1797" s="8">
        <v>8812.5266203406482</v>
      </c>
      <c r="G1797" s="7">
        <v>7980.16</v>
      </c>
      <c r="H1797" s="7">
        <v>9720.5122302441723</v>
      </c>
    </row>
    <row r="1798" spans="1:8" x14ac:dyDescent="0.35">
      <c r="A1798">
        <v>317047</v>
      </c>
      <c r="B1798">
        <v>3170479</v>
      </c>
      <c r="C1798" t="s">
        <v>190</v>
      </c>
      <c r="D1798">
        <v>2021</v>
      </c>
      <c r="E1798" s="7">
        <v>9708.34</v>
      </c>
      <c r="F1798" s="8">
        <v>10744.571615839113</v>
      </c>
      <c r="G1798" s="7">
        <v>7660.74</v>
      </c>
      <c r="H1798" s="7">
        <v>8478.4215530238434</v>
      </c>
    </row>
    <row r="1799" spans="1:8" x14ac:dyDescent="0.35">
      <c r="A1799">
        <v>317047</v>
      </c>
      <c r="B1799">
        <v>3170479</v>
      </c>
      <c r="C1799" t="s">
        <v>190</v>
      </c>
      <c r="D1799">
        <v>2022</v>
      </c>
      <c r="E1799" s="7">
        <v>13404.49</v>
      </c>
      <c r="F1799" s="8">
        <v>14023.93695211219</v>
      </c>
      <c r="G1799" s="7">
        <v>14134.03</v>
      </c>
      <c r="H1799" s="7">
        <v>14787.18540484099</v>
      </c>
    </row>
    <row r="1800" spans="1:8" x14ac:dyDescent="0.35">
      <c r="A1800">
        <v>317047</v>
      </c>
      <c r="B1800">
        <v>3170479</v>
      </c>
      <c r="C1800" t="s">
        <v>190</v>
      </c>
      <c r="D1800">
        <v>2023</v>
      </c>
      <c r="E1800" s="7">
        <v>14055.53</v>
      </c>
      <c r="F1800" s="8">
        <v>14055.53</v>
      </c>
      <c r="G1800" s="7">
        <v>16212.12</v>
      </c>
      <c r="H1800" s="7">
        <v>16212.124088931301</v>
      </c>
    </row>
    <row r="1801" spans="1:8" x14ac:dyDescent="0.35">
      <c r="A1801">
        <v>317047</v>
      </c>
      <c r="B1801">
        <v>3170479</v>
      </c>
      <c r="C1801" t="s">
        <v>190</v>
      </c>
      <c r="D1801">
        <v>2024</v>
      </c>
      <c r="E1801" s="7">
        <v>15400.07</v>
      </c>
      <c r="F1801" s="8">
        <v>14690.350275177805</v>
      </c>
      <c r="G1801" s="7">
        <v>17716.509999999998</v>
      </c>
      <c r="H1801" s="7">
        <v>16900.034434563928</v>
      </c>
    </row>
    <row r="1802" spans="1:8" x14ac:dyDescent="0.35">
      <c r="A1802">
        <v>317052</v>
      </c>
      <c r="B1802">
        <v>3170529</v>
      </c>
      <c r="C1802" t="s">
        <v>191</v>
      </c>
      <c r="D1802">
        <v>2015</v>
      </c>
      <c r="E1802" s="7">
        <v>4695.82</v>
      </c>
      <c r="F1802" s="8">
        <v>7078.7565864189419</v>
      </c>
      <c r="G1802" s="7">
        <v>5813.42</v>
      </c>
      <c r="H1802" s="7">
        <v>8763.4924659476837</v>
      </c>
    </row>
    <row r="1803" spans="1:8" x14ac:dyDescent="0.35">
      <c r="A1803">
        <v>317052</v>
      </c>
      <c r="B1803">
        <v>3170529</v>
      </c>
      <c r="C1803" t="s">
        <v>191</v>
      </c>
      <c r="D1803">
        <v>2016</v>
      </c>
      <c r="E1803" s="7">
        <v>4750.97</v>
      </c>
      <c r="F1803" s="8">
        <v>6738.1959863266129</v>
      </c>
      <c r="G1803" s="7">
        <v>5171.55</v>
      </c>
      <c r="H1803" s="7">
        <v>7334.6893634291882</v>
      </c>
    </row>
    <row r="1804" spans="1:8" x14ac:dyDescent="0.35">
      <c r="A1804">
        <v>317052</v>
      </c>
      <c r="B1804">
        <v>3170529</v>
      </c>
      <c r="C1804" t="s">
        <v>191</v>
      </c>
      <c r="D1804">
        <v>2017</v>
      </c>
      <c r="E1804" s="7">
        <v>5810.51</v>
      </c>
      <c r="F1804" s="8">
        <v>8004.9777823271224</v>
      </c>
      <c r="G1804" s="7">
        <v>6355.88</v>
      </c>
      <c r="H1804" s="7">
        <v>8756.3256314488608</v>
      </c>
    </row>
    <row r="1805" spans="1:8" x14ac:dyDescent="0.35">
      <c r="A1805">
        <v>317052</v>
      </c>
      <c r="B1805">
        <v>3170529</v>
      </c>
      <c r="C1805" t="s">
        <v>191</v>
      </c>
      <c r="D1805">
        <v>2018</v>
      </c>
      <c r="E1805" s="7">
        <v>4940.1099999999997</v>
      </c>
      <c r="F1805" s="8">
        <v>6560.136701237695</v>
      </c>
      <c r="G1805" s="7">
        <v>5943.64</v>
      </c>
      <c r="H1805" s="7">
        <v>7892.7557899621288</v>
      </c>
    </row>
    <row r="1806" spans="1:8" x14ac:dyDescent="0.35">
      <c r="A1806">
        <v>317052</v>
      </c>
      <c r="B1806">
        <v>3170529</v>
      </c>
      <c r="C1806" t="s">
        <v>191</v>
      </c>
      <c r="D1806">
        <v>2019</v>
      </c>
      <c r="E1806" s="7">
        <v>5851.83</v>
      </c>
      <c r="F1806" s="8">
        <v>7450.0304655044411</v>
      </c>
      <c r="G1806" s="7">
        <v>6803.66</v>
      </c>
      <c r="H1806" s="7">
        <v>8661.8175498091859</v>
      </c>
    </row>
    <row r="1807" spans="1:8" x14ac:dyDescent="0.35">
      <c r="A1807">
        <v>317052</v>
      </c>
      <c r="B1807">
        <v>3170529</v>
      </c>
      <c r="C1807" t="s">
        <v>191</v>
      </c>
      <c r="D1807">
        <v>2020</v>
      </c>
      <c r="E1807" s="7">
        <v>6774.98</v>
      </c>
      <c r="F1807" s="8">
        <v>8252.4999657590288</v>
      </c>
      <c r="G1807" s="7">
        <v>6435.18</v>
      </c>
      <c r="H1807" s="7">
        <v>7838.5922649972035</v>
      </c>
    </row>
    <row r="1808" spans="1:8" x14ac:dyDescent="0.35">
      <c r="A1808">
        <v>317052</v>
      </c>
      <c r="B1808">
        <v>3170529</v>
      </c>
      <c r="C1808" t="s">
        <v>191</v>
      </c>
      <c r="D1808">
        <v>2021</v>
      </c>
      <c r="E1808" s="7">
        <v>10124.709999999999</v>
      </c>
      <c r="F1808" s="8">
        <v>11205.383380124966</v>
      </c>
      <c r="G1808" s="7">
        <v>11124.97</v>
      </c>
      <c r="H1808" s="7">
        <v>12312.4072665719</v>
      </c>
    </row>
    <row r="1809" spans="1:8" x14ac:dyDescent="0.35">
      <c r="A1809">
        <v>317052</v>
      </c>
      <c r="B1809">
        <v>3170529</v>
      </c>
      <c r="C1809" t="s">
        <v>191</v>
      </c>
      <c r="D1809">
        <v>2022</v>
      </c>
      <c r="E1809" s="7">
        <v>11717.44</v>
      </c>
      <c r="F1809" s="8">
        <v>12258.925166131459</v>
      </c>
      <c r="G1809" s="7">
        <v>14806.07</v>
      </c>
      <c r="H1809" s="7">
        <v>15490.290982453093</v>
      </c>
    </row>
    <row r="1810" spans="1:8" x14ac:dyDescent="0.35">
      <c r="A1810">
        <v>317052</v>
      </c>
      <c r="B1810">
        <v>3170529</v>
      </c>
      <c r="C1810" t="s">
        <v>191</v>
      </c>
      <c r="D1810">
        <v>2023</v>
      </c>
      <c r="E1810" s="7">
        <v>13305.65</v>
      </c>
      <c r="F1810" s="8">
        <v>13305.65</v>
      </c>
      <c r="G1810" s="7">
        <v>18841.82</v>
      </c>
      <c r="H1810" s="7">
        <v>18841.816887356421</v>
      </c>
    </row>
    <row r="1811" spans="1:8" x14ac:dyDescent="0.35">
      <c r="A1811">
        <v>317052</v>
      </c>
      <c r="B1811">
        <v>3170529</v>
      </c>
      <c r="C1811" t="s">
        <v>191</v>
      </c>
      <c r="D1811">
        <v>2024</v>
      </c>
      <c r="E1811" s="7">
        <v>14252.46</v>
      </c>
      <c r="F1811" s="8">
        <v>13595.628440842194</v>
      </c>
      <c r="G1811" s="7">
        <v>17308.580000000002</v>
      </c>
      <c r="H1811" s="7">
        <v>16510.90840608763</v>
      </c>
    </row>
    <row r="1812" spans="1:8" x14ac:dyDescent="0.35">
      <c r="A1812">
        <v>317065</v>
      </c>
      <c r="B1812">
        <v>3170651</v>
      </c>
      <c r="C1812" t="s">
        <v>192</v>
      </c>
      <c r="D1812">
        <v>2015</v>
      </c>
      <c r="E1812" s="7">
        <v>7317.34</v>
      </c>
      <c r="F1812" s="8">
        <v>11030.590763714705</v>
      </c>
      <c r="G1812" s="7">
        <v>7972.89</v>
      </c>
      <c r="H1812" s="7">
        <v>12018.808617069253</v>
      </c>
    </row>
    <row r="1813" spans="1:8" x14ac:dyDescent="0.35">
      <c r="A1813">
        <v>317065</v>
      </c>
      <c r="B1813">
        <v>3170651</v>
      </c>
      <c r="C1813" t="s">
        <v>192</v>
      </c>
      <c r="D1813">
        <v>2016</v>
      </c>
      <c r="E1813" s="7">
        <v>7372.02</v>
      </c>
      <c r="F1813" s="8">
        <v>10455.573403982664</v>
      </c>
      <c r="G1813" s="7">
        <v>9815.6299999999992</v>
      </c>
      <c r="H1813" s="7">
        <v>13921.291584344435</v>
      </c>
    </row>
    <row r="1814" spans="1:8" x14ac:dyDescent="0.35">
      <c r="A1814">
        <v>317065</v>
      </c>
      <c r="B1814">
        <v>3170651</v>
      </c>
      <c r="C1814" t="s">
        <v>192</v>
      </c>
      <c r="D1814">
        <v>2017</v>
      </c>
      <c r="E1814" s="7">
        <v>8551.2800000000007</v>
      </c>
      <c r="F1814" s="8">
        <v>11780.860270519846</v>
      </c>
      <c r="G1814" s="7">
        <v>10641.39</v>
      </c>
      <c r="H1814" s="7">
        <v>14660.344582164904</v>
      </c>
    </row>
    <row r="1815" spans="1:8" x14ac:dyDescent="0.35">
      <c r="A1815">
        <v>317065</v>
      </c>
      <c r="B1815">
        <v>3170651</v>
      </c>
      <c r="C1815" t="s">
        <v>192</v>
      </c>
      <c r="D1815">
        <v>2018</v>
      </c>
      <c r="E1815" s="7">
        <v>8563.98</v>
      </c>
      <c r="F1815" s="8">
        <v>11372.394441958904</v>
      </c>
      <c r="G1815" s="7">
        <v>10937.65</v>
      </c>
      <c r="H1815" s="7">
        <v>14524.472023735296</v>
      </c>
    </row>
    <row r="1816" spans="1:8" x14ac:dyDescent="0.35">
      <c r="A1816">
        <v>317065</v>
      </c>
      <c r="B1816">
        <v>3170651</v>
      </c>
      <c r="C1816" t="s">
        <v>192</v>
      </c>
      <c r="D1816">
        <v>2019</v>
      </c>
      <c r="E1816" s="7">
        <v>11941.64</v>
      </c>
      <c r="F1816" s="8">
        <v>15203.035940566702</v>
      </c>
      <c r="G1816" s="7">
        <v>12070.21</v>
      </c>
      <c r="H1816" s="7">
        <v>15366.720852490747</v>
      </c>
    </row>
    <row r="1817" spans="1:8" x14ac:dyDescent="0.35">
      <c r="A1817">
        <v>317065</v>
      </c>
      <c r="B1817">
        <v>3170651</v>
      </c>
      <c r="C1817" t="s">
        <v>192</v>
      </c>
      <c r="D1817">
        <v>2020</v>
      </c>
      <c r="E1817" s="7">
        <v>12422.42</v>
      </c>
      <c r="F1817" s="8">
        <v>15131.560628170753</v>
      </c>
      <c r="G1817" s="7">
        <v>11700.23</v>
      </c>
      <c r="H1817" s="7">
        <v>14251.876124338249</v>
      </c>
    </row>
    <row r="1818" spans="1:8" x14ac:dyDescent="0.35">
      <c r="A1818">
        <v>317065</v>
      </c>
      <c r="B1818">
        <v>3170651</v>
      </c>
      <c r="C1818" t="s">
        <v>192</v>
      </c>
      <c r="D1818">
        <v>2021</v>
      </c>
      <c r="E1818" s="7">
        <v>13477.81</v>
      </c>
      <c r="F1818" s="8">
        <v>14916.380634554676</v>
      </c>
      <c r="G1818" s="7">
        <v>12587.12</v>
      </c>
      <c r="H1818" s="7">
        <v>13930.625541028136</v>
      </c>
    </row>
    <row r="1819" spans="1:8" x14ac:dyDescent="0.35">
      <c r="A1819">
        <v>317065</v>
      </c>
      <c r="B1819">
        <v>3170651</v>
      </c>
      <c r="C1819" t="s">
        <v>192</v>
      </c>
      <c r="D1819">
        <v>2022</v>
      </c>
      <c r="E1819" s="7">
        <v>17766.21</v>
      </c>
      <c r="F1819" s="8">
        <v>18587.220320801844</v>
      </c>
      <c r="G1819" s="7">
        <v>25773.95</v>
      </c>
      <c r="H1819" s="7">
        <v>26965.016023053704</v>
      </c>
    </row>
    <row r="1820" spans="1:8" x14ac:dyDescent="0.35">
      <c r="A1820">
        <v>317065</v>
      </c>
      <c r="B1820">
        <v>3170651</v>
      </c>
      <c r="C1820" t="s">
        <v>192</v>
      </c>
      <c r="D1820">
        <v>2023</v>
      </c>
      <c r="E1820" s="7">
        <v>17000</v>
      </c>
      <c r="F1820" s="8">
        <v>17000</v>
      </c>
      <c r="G1820" s="7">
        <v>25501.9</v>
      </c>
      <c r="H1820" s="7">
        <v>25501.896160736502</v>
      </c>
    </row>
    <row r="1821" spans="1:8" x14ac:dyDescent="0.35">
      <c r="A1821">
        <v>317065</v>
      </c>
      <c r="B1821">
        <v>3170651</v>
      </c>
      <c r="C1821" t="s">
        <v>192</v>
      </c>
      <c r="D1821">
        <v>2024</v>
      </c>
      <c r="E1821" s="7">
        <v>12999.48</v>
      </c>
      <c r="F1821" s="8">
        <v>12400.392634265192</v>
      </c>
      <c r="G1821" s="7">
        <v>17604.66</v>
      </c>
      <c r="H1821" s="7">
        <v>16793.341443644553</v>
      </c>
    </row>
    <row r="1822" spans="1:8" x14ac:dyDescent="0.35">
      <c r="A1822">
        <v>317080</v>
      </c>
      <c r="B1822">
        <v>3170800</v>
      </c>
      <c r="C1822" t="s">
        <v>193</v>
      </c>
      <c r="D1822">
        <v>2015</v>
      </c>
      <c r="E1822" s="7">
        <v>5902.74</v>
      </c>
      <c r="F1822" s="8">
        <v>8898.1391222232851</v>
      </c>
      <c r="G1822" s="7">
        <v>6816.73</v>
      </c>
      <c r="H1822" s="7">
        <v>10275.939985992416</v>
      </c>
    </row>
    <row r="1823" spans="1:8" x14ac:dyDescent="0.35">
      <c r="A1823">
        <v>317080</v>
      </c>
      <c r="B1823">
        <v>3170800</v>
      </c>
      <c r="C1823" t="s">
        <v>193</v>
      </c>
      <c r="D1823">
        <v>2016</v>
      </c>
      <c r="E1823" s="7">
        <v>6233.72</v>
      </c>
      <c r="F1823" s="8">
        <v>8841.1476148836828</v>
      </c>
      <c r="G1823" s="7">
        <v>8681.98</v>
      </c>
      <c r="H1823" s="7">
        <v>12313.457725087657</v>
      </c>
    </row>
    <row r="1824" spans="1:8" x14ac:dyDescent="0.35">
      <c r="A1824">
        <v>317080</v>
      </c>
      <c r="B1824">
        <v>3170800</v>
      </c>
      <c r="C1824" t="s">
        <v>193</v>
      </c>
      <c r="D1824">
        <v>2017</v>
      </c>
      <c r="E1824" s="7">
        <v>7242.52</v>
      </c>
      <c r="F1824" s="8">
        <v>9977.8180724342328</v>
      </c>
      <c r="G1824" s="7">
        <v>9552.01</v>
      </c>
      <c r="H1824" s="7">
        <v>13159.541132320941</v>
      </c>
    </row>
    <row r="1825" spans="1:8" x14ac:dyDescent="0.35">
      <c r="A1825">
        <v>317080</v>
      </c>
      <c r="B1825">
        <v>3170800</v>
      </c>
      <c r="C1825" t="s">
        <v>193</v>
      </c>
      <c r="D1825">
        <v>2018</v>
      </c>
      <c r="E1825" s="7">
        <v>7241.3</v>
      </c>
      <c r="F1825" s="8">
        <v>9615.9635908254131</v>
      </c>
      <c r="G1825" s="7">
        <v>9316.65</v>
      </c>
      <c r="H1825" s="7">
        <v>12371.885188553273</v>
      </c>
    </row>
    <row r="1826" spans="1:8" x14ac:dyDescent="0.35">
      <c r="A1826">
        <v>317080</v>
      </c>
      <c r="B1826">
        <v>3170800</v>
      </c>
      <c r="C1826" t="s">
        <v>193</v>
      </c>
      <c r="D1826">
        <v>2019</v>
      </c>
      <c r="E1826" s="7">
        <v>7581.35</v>
      </c>
      <c r="F1826" s="8">
        <v>9651.901793054838</v>
      </c>
      <c r="G1826" s="7">
        <v>9152.0400000000009</v>
      </c>
      <c r="H1826" s="7">
        <v>11651.570895082756</v>
      </c>
    </row>
    <row r="1827" spans="1:8" x14ac:dyDescent="0.35">
      <c r="A1827">
        <v>317080</v>
      </c>
      <c r="B1827">
        <v>3170800</v>
      </c>
      <c r="C1827" t="s">
        <v>193</v>
      </c>
      <c r="D1827">
        <v>2020</v>
      </c>
      <c r="E1827" s="7">
        <v>8153.5</v>
      </c>
      <c r="F1827" s="8">
        <v>9931.6541850774829</v>
      </c>
      <c r="G1827" s="7">
        <v>9082.42</v>
      </c>
      <c r="H1827" s="7">
        <v>11063.160892916361</v>
      </c>
    </row>
    <row r="1828" spans="1:8" x14ac:dyDescent="0.35">
      <c r="A1828">
        <v>317080</v>
      </c>
      <c r="B1828">
        <v>3170800</v>
      </c>
      <c r="C1828" t="s">
        <v>193</v>
      </c>
      <c r="D1828">
        <v>2021</v>
      </c>
      <c r="E1828" s="7">
        <v>10887.61</v>
      </c>
      <c r="F1828" s="8">
        <v>12049.712450359802</v>
      </c>
      <c r="G1828" s="7">
        <v>10334.25</v>
      </c>
      <c r="H1828" s="7">
        <v>11437.28605214163</v>
      </c>
    </row>
    <row r="1829" spans="1:8" x14ac:dyDescent="0.35">
      <c r="A1829">
        <v>317080</v>
      </c>
      <c r="B1829">
        <v>3170800</v>
      </c>
      <c r="C1829" t="s">
        <v>193</v>
      </c>
      <c r="D1829">
        <v>2022</v>
      </c>
      <c r="E1829" s="7">
        <v>15210.3</v>
      </c>
      <c r="F1829" s="8">
        <v>15913.196863342957</v>
      </c>
      <c r="G1829" s="7">
        <v>15112.67</v>
      </c>
      <c r="H1829" s="7">
        <v>15811.059734999035</v>
      </c>
    </row>
    <row r="1830" spans="1:8" x14ac:dyDescent="0.35">
      <c r="A1830">
        <v>317080</v>
      </c>
      <c r="B1830">
        <v>3170800</v>
      </c>
      <c r="C1830" t="s">
        <v>193</v>
      </c>
      <c r="D1830">
        <v>2023</v>
      </c>
      <c r="E1830" s="7">
        <v>11874.75</v>
      </c>
      <c r="F1830" s="8">
        <v>11874.75</v>
      </c>
      <c r="G1830" s="7">
        <v>14980.16</v>
      </c>
      <c r="H1830" s="7">
        <v>14980.164509352684</v>
      </c>
    </row>
    <row r="1831" spans="1:8" x14ac:dyDescent="0.35">
      <c r="A1831">
        <v>317080</v>
      </c>
      <c r="B1831">
        <v>3170800</v>
      </c>
      <c r="C1831" t="s">
        <v>193</v>
      </c>
      <c r="D1831">
        <v>2024</v>
      </c>
      <c r="E1831" s="7">
        <v>12330.97</v>
      </c>
      <c r="F1831" s="8">
        <v>11762.691243137808</v>
      </c>
      <c r="G1831" s="7">
        <v>14265.86</v>
      </c>
      <c r="H1831" s="7">
        <v>13608.406744725562</v>
      </c>
    </row>
    <row r="1832" spans="1:8" x14ac:dyDescent="0.35">
      <c r="A1832">
        <v>317107</v>
      </c>
      <c r="B1832">
        <v>3171071</v>
      </c>
      <c r="C1832" t="s">
        <v>194</v>
      </c>
      <c r="D1832">
        <v>2015</v>
      </c>
      <c r="E1832" s="7">
        <v>6982.95</v>
      </c>
      <c r="F1832" s="8">
        <v>10526.511515589216</v>
      </c>
      <c r="G1832" s="7">
        <v>5548.97</v>
      </c>
      <c r="H1832" s="7">
        <v>8364.8436418039928</v>
      </c>
    </row>
    <row r="1833" spans="1:8" x14ac:dyDescent="0.35">
      <c r="A1833">
        <v>317107</v>
      </c>
      <c r="B1833">
        <v>3171071</v>
      </c>
      <c r="C1833" t="s">
        <v>194</v>
      </c>
      <c r="D1833">
        <v>2016</v>
      </c>
      <c r="E1833" s="7">
        <v>6624.05</v>
      </c>
      <c r="F1833" s="8">
        <v>9394.7440466319076</v>
      </c>
      <c r="G1833" s="7">
        <v>5863.71</v>
      </c>
      <c r="H1833" s="7">
        <v>8316.3657004410998</v>
      </c>
    </row>
    <row r="1834" spans="1:8" x14ac:dyDescent="0.35">
      <c r="A1834">
        <v>317107</v>
      </c>
      <c r="B1834">
        <v>3171071</v>
      </c>
      <c r="C1834" t="s">
        <v>194</v>
      </c>
      <c r="D1834">
        <v>2017</v>
      </c>
      <c r="E1834" s="7">
        <v>8822.82</v>
      </c>
      <c r="F1834" s="8">
        <v>12154.95336510416</v>
      </c>
      <c r="G1834" s="7">
        <v>8942.85</v>
      </c>
      <c r="H1834" s="7">
        <v>12320.313002341949</v>
      </c>
    </row>
    <row r="1835" spans="1:8" x14ac:dyDescent="0.35">
      <c r="A1835">
        <v>317107</v>
      </c>
      <c r="B1835">
        <v>3171071</v>
      </c>
      <c r="C1835" t="s">
        <v>194</v>
      </c>
      <c r="D1835">
        <v>2018</v>
      </c>
      <c r="E1835" s="7">
        <v>8034.28</v>
      </c>
      <c r="F1835" s="8">
        <v>10668.988159377017</v>
      </c>
      <c r="G1835" s="7">
        <v>9648.41</v>
      </c>
      <c r="H1835" s="7">
        <v>12812.439976972668</v>
      </c>
    </row>
    <row r="1836" spans="1:8" x14ac:dyDescent="0.35">
      <c r="A1836">
        <v>317107</v>
      </c>
      <c r="B1836">
        <v>3171071</v>
      </c>
      <c r="C1836" t="s">
        <v>194</v>
      </c>
      <c r="D1836">
        <v>2019</v>
      </c>
      <c r="E1836" s="7">
        <v>9249.3799999999992</v>
      </c>
      <c r="F1836" s="8">
        <v>11775.489511319956</v>
      </c>
      <c r="G1836" s="7">
        <v>9904.5</v>
      </c>
      <c r="H1836" s="7">
        <v>12609.534806574369</v>
      </c>
    </row>
    <row r="1837" spans="1:8" x14ac:dyDescent="0.35">
      <c r="A1837">
        <v>317107</v>
      </c>
      <c r="B1837">
        <v>3171071</v>
      </c>
      <c r="C1837" t="s">
        <v>194</v>
      </c>
      <c r="D1837">
        <v>2020</v>
      </c>
      <c r="E1837" s="7">
        <v>10416.370000000001</v>
      </c>
      <c r="F1837" s="8">
        <v>12688.021672142706</v>
      </c>
      <c r="G1837" s="7">
        <v>10327.65</v>
      </c>
      <c r="H1837" s="7">
        <v>12579.957099709349</v>
      </c>
    </row>
    <row r="1838" spans="1:8" x14ac:dyDescent="0.35">
      <c r="A1838">
        <v>317107</v>
      </c>
      <c r="B1838">
        <v>3171071</v>
      </c>
      <c r="C1838" t="s">
        <v>194</v>
      </c>
      <c r="D1838">
        <v>2021</v>
      </c>
      <c r="E1838" s="7">
        <v>14524.05</v>
      </c>
      <c r="F1838" s="8">
        <v>16074.292348334324</v>
      </c>
      <c r="G1838" s="7">
        <v>15114.65</v>
      </c>
      <c r="H1838" s="7">
        <v>16727.931480729363</v>
      </c>
    </row>
    <row r="1839" spans="1:8" x14ac:dyDescent="0.35">
      <c r="A1839">
        <v>317107</v>
      </c>
      <c r="B1839">
        <v>3171071</v>
      </c>
      <c r="C1839" t="s">
        <v>194</v>
      </c>
      <c r="D1839">
        <v>2022</v>
      </c>
      <c r="E1839" s="7">
        <v>16231.52</v>
      </c>
      <c r="F1839" s="8">
        <v>16981.609379912854</v>
      </c>
      <c r="G1839" s="7">
        <v>18649.169999999998</v>
      </c>
      <c r="H1839" s="7">
        <v>19510.986967208639</v>
      </c>
    </row>
    <row r="1840" spans="1:8" x14ac:dyDescent="0.35">
      <c r="A1840">
        <v>317107</v>
      </c>
      <c r="B1840">
        <v>3171071</v>
      </c>
      <c r="C1840" t="s">
        <v>194</v>
      </c>
      <c r="D1840">
        <v>2023</v>
      </c>
      <c r="E1840" s="7">
        <v>17000</v>
      </c>
      <c r="F1840" s="8">
        <v>17000</v>
      </c>
      <c r="G1840" s="7">
        <v>20102.61</v>
      </c>
      <c r="H1840" s="7">
        <v>20102.607073200248</v>
      </c>
    </row>
    <row r="1841" spans="1:8" x14ac:dyDescent="0.35">
      <c r="A1841">
        <v>317107</v>
      </c>
      <c r="B1841">
        <v>3171071</v>
      </c>
      <c r="C1841" t="s">
        <v>194</v>
      </c>
      <c r="D1841">
        <v>2024</v>
      </c>
      <c r="E1841" s="7">
        <v>12998.44</v>
      </c>
      <c r="F1841" s="8">
        <v>12399.400563171608</v>
      </c>
      <c r="G1841" s="7">
        <v>28578.48</v>
      </c>
      <c r="H1841" s="7">
        <v>27261.431341852323</v>
      </c>
    </row>
    <row r="1842" spans="1:8" x14ac:dyDescent="0.35">
      <c r="A1842">
        <v>317150</v>
      </c>
      <c r="B1842">
        <v>3171501</v>
      </c>
      <c r="C1842" t="s">
        <v>112</v>
      </c>
      <c r="D1842">
        <v>2015</v>
      </c>
      <c r="E1842" s="7">
        <v>5291.08</v>
      </c>
      <c r="F1842" s="8">
        <v>7976.0866897090473</v>
      </c>
      <c r="G1842" s="7">
        <v>3548.49</v>
      </c>
      <c r="H1842" s="7">
        <v>5349.2030949556247</v>
      </c>
    </row>
    <row r="1843" spans="1:8" x14ac:dyDescent="0.35">
      <c r="A1843">
        <v>317150</v>
      </c>
      <c r="B1843">
        <v>3171501</v>
      </c>
      <c r="C1843" t="s">
        <v>112</v>
      </c>
      <c r="D1843">
        <v>2016</v>
      </c>
      <c r="E1843" s="7">
        <v>6183.38</v>
      </c>
      <c r="F1843" s="8">
        <v>8769.7515029419774</v>
      </c>
      <c r="G1843" s="7">
        <v>5211.45</v>
      </c>
      <c r="H1843" s="7">
        <v>7391.2877341137482</v>
      </c>
    </row>
    <row r="1844" spans="1:8" x14ac:dyDescent="0.35">
      <c r="A1844">
        <v>317150</v>
      </c>
      <c r="B1844">
        <v>3171501</v>
      </c>
      <c r="C1844" t="s">
        <v>112</v>
      </c>
      <c r="D1844">
        <v>2017</v>
      </c>
      <c r="E1844" s="7">
        <v>5320.12</v>
      </c>
      <c r="F1844" s="8">
        <v>7329.3811385427725</v>
      </c>
      <c r="G1844" s="7">
        <v>5697.06</v>
      </c>
      <c r="H1844" s="7">
        <v>7848.6797376204795</v>
      </c>
    </row>
    <row r="1845" spans="1:8" x14ac:dyDescent="0.35">
      <c r="A1845">
        <v>317150</v>
      </c>
      <c r="B1845">
        <v>3171501</v>
      </c>
      <c r="C1845" t="s">
        <v>112</v>
      </c>
      <c r="D1845">
        <v>2018</v>
      </c>
      <c r="E1845" s="7">
        <v>4852.8500000000004</v>
      </c>
      <c r="F1845" s="8">
        <v>6444.2612392439351</v>
      </c>
      <c r="G1845" s="7">
        <v>4951.58</v>
      </c>
      <c r="H1845" s="7">
        <v>6575.3704530571094</v>
      </c>
    </row>
    <row r="1846" spans="1:8" x14ac:dyDescent="0.35">
      <c r="A1846">
        <v>317150</v>
      </c>
      <c r="B1846">
        <v>3171501</v>
      </c>
      <c r="C1846" t="s">
        <v>112</v>
      </c>
      <c r="D1846">
        <v>2019</v>
      </c>
      <c r="E1846" s="7">
        <v>7228.55</v>
      </c>
      <c r="F1846" s="8">
        <v>9202.7481525304265</v>
      </c>
      <c r="G1846" s="7">
        <v>7386.11</v>
      </c>
      <c r="H1846" s="7">
        <v>9403.3440391110889</v>
      </c>
    </row>
    <row r="1847" spans="1:8" x14ac:dyDescent="0.35">
      <c r="A1847">
        <v>317150</v>
      </c>
      <c r="B1847">
        <v>3171501</v>
      </c>
      <c r="C1847" t="s">
        <v>112</v>
      </c>
      <c r="D1847">
        <v>2020</v>
      </c>
      <c r="E1847" s="7">
        <v>7482.92</v>
      </c>
      <c r="F1847" s="8">
        <v>9114.8308989513716</v>
      </c>
      <c r="G1847" s="7">
        <v>7045.59</v>
      </c>
      <c r="H1847" s="7">
        <v>8582.1294782034674</v>
      </c>
    </row>
    <row r="1848" spans="1:8" x14ac:dyDescent="0.35">
      <c r="A1848">
        <v>317150</v>
      </c>
      <c r="B1848">
        <v>3171501</v>
      </c>
      <c r="C1848" t="s">
        <v>112</v>
      </c>
      <c r="D1848">
        <v>2021</v>
      </c>
      <c r="E1848" s="7">
        <v>13197.13</v>
      </c>
      <c r="F1848" s="8">
        <v>14605.741909382945</v>
      </c>
      <c r="G1848" s="7">
        <v>9276.09</v>
      </c>
      <c r="H1848" s="7">
        <v>10266.183946336061</v>
      </c>
    </row>
    <row r="1849" spans="1:8" x14ac:dyDescent="0.35">
      <c r="A1849">
        <v>317150</v>
      </c>
      <c r="B1849">
        <v>3171501</v>
      </c>
      <c r="C1849" t="s">
        <v>112</v>
      </c>
      <c r="D1849">
        <v>2022</v>
      </c>
      <c r="E1849" s="7">
        <v>13012.56</v>
      </c>
      <c r="F1849" s="8">
        <v>13613.895122125274</v>
      </c>
      <c r="G1849" s="7">
        <v>16136.71</v>
      </c>
      <c r="H1849" s="7">
        <v>16882.417414401072</v>
      </c>
    </row>
    <row r="1850" spans="1:8" x14ac:dyDescent="0.35">
      <c r="A1850">
        <v>317150</v>
      </c>
      <c r="B1850">
        <v>3171501</v>
      </c>
      <c r="C1850" t="s">
        <v>112</v>
      </c>
      <c r="D1850">
        <v>2023</v>
      </c>
      <c r="E1850" s="7">
        <v>14364.33</v>
      </c>
      <c r="F1850" s="8">
        <v>14364.33</v>
      </c>
      <c r="G1850" s="7">
        <v>10378.379999999999</v>
      </c>
      <c r="H1850" s="7">
        <v>10378.37754549395</v>
      </c>
    </row>
    <row r="1851" spans="1:8" x14ac:dyDescent="0.35">
      <c r="A1851">
        <v>317150</v>
      </c>
      <c r="B1851">
        <v>3171501</v>
      </c>
      <c r="C1851" t="s">
        <v>112</v>
      </c>
      <c r="D1851">
        <v>2024</v>
      </c>
      <c r="E1851" s="7">
        <v>16453.73</v>
      </c>
      <c r="F1851" s="8">
        <v>15695.451841011198</v>
      </c>
      <c r="G1851" s="7">
        <v>15400.13</v>
      </c>
      <c r="H1851" s="7">
        <v>14690.406618805546</v>
      </c>
    </row>
    <row r="1852" spans="1:8" x14ac:dyDescent="0.35">
      <c r="A1852">
        <v>317160</v>
      </c>
      <c r="B1852">
        <v>3171600</v>
      </c>
      <c r="C1852" t="s">
        <v>195</v>
      </c>
      <c r="D1852">
        <v>2015</v>
      </c>
      <c r="E1852" s="7">
        <v>6426.75</v>
      </c>
      <c r="F1852" s="8">
        <v>9688.0627647073234</v>
      </c>
      <c r="G1852" s="7">
        <v>6586.58</v>
      </c>
      <c r="H1852" s="7">
        <v>9929.0019281702207</v>
      </c>
    </row>
    <row r="1853" spans="1:8" x14ac:dyDescent="0.35">
      <c r="A1853">
        <v>317160</v>
      </c>
      <c r="B1853">
        <v>3171600</v>
      </c>
      <c r="C1853" t="s">
        <v>195</v>
      </c>
      <c r="D1853">
        <v>2016</v>
      </c>
      <c r="E1853" s="7">
        <v>7216.62</v>
      </c>
      <c r="F1853" s="8">
        <v>10235.173010741881</v>
      </c>
      <c r="G1853" s="7">
        <v>9535.11</v>
      </c>
      <c r="H1853" s="7">
        <v>13523.431864419408</v>
      </c>
    </row>
    <row r="1854" spans="1:8" x14ac:dyDescent="0.35">
      <c r="A1854">
        <v>317160</v>
      </c>
      <c r="B1854">
        <v>3171600</v>
      </c>
      <c r="C1854" t="s">
        <v>195</v>
      </c>
      <c r="D1854">
        <v>2017</v>
      </c>
      <c r="E1854" s="7">
        <v>7519.87</v>
      </c>
      <c r="F1854" s="8">
        <v>10359.915442188079</v>
      </c>
      <c r="G1854" s="7">
        <v>9529.25</v>
      </c>
      <c r="H1854" s="7">
        <v>13128.180942312774</v>
      </c>
    </row>
    <row r="1855" spans="1:8" x14ac:dyDescent="0.35">
      <c r="A1855">
        <v>317160</v>
      </c>
      <c r="B1855">
        <v>3171600</v>
      </c>
      <c r="C1855" t="s">
        <v>195</v>
      </c>
      <c r="D1855">
        <v>2018</v>
      </c>
      <c r="E1855" s="7">
        <v>6982.05</v>
      </c>
      <c r="F1855" s="8">
        <v>9271.6968761579501</v>
      </c>
      <c r="G1855" s="7">
        <v>9932.2099999999991</v>
      </c>
      <c r="H1855" s="7">
        <v>13189.308218754999</v>
      </c>
    </row>
    <row r="1856" spans="1:8" x14ac:dyDescent="0.35">
      <c r="A1856">
        <v>317160</v>
      </c>
      <c r="B1856">
        <v>3171600</v>
      </c>
      <c r="C1856" t="s">
        <v>195</v>
      </c>
      <c r="D1856">
        <v>2019</v>
      </c>
      <c r="E1856" s="7">
        <v>8620.67</v>
      </c>
      <c r="F1856" s="8">
        <v>10975.071752436446</v>
      </c>
      <c r="G1856" s="7">
        <v>10385.82</v>
      </c>
      <c r="H1856" s="7">
        <v>13222.310310310942</v>
      </c>
    </row>
    <row r="1857" spans="1:8" x14ac:dyDescent="0.35">
      <c r="A1857">
        <v>317160</v>
      </c>
      <c r="B1857">
        <v>3171600</v>
      </c>
      <c r="C1857" t="s">
        <v>195</v>
      </c>
      <c r="D1857">
        <v>2020</v>
      </c>
      <c r="E1857" s="7">
        <v>9619.61</v>
      </c>
      <c r="F1857" s="8">
        <v>11717.500449538629</v>
      </c>
      <c r="G1857" s="7">
        <v>12059.04</v>
      </c>
      <c r="H1857" s="7">
        <v>14688.931864497063</v>
      </c>
    </row>
    <row r="1858" spans="1:8" x14ac:dyDescent="0.35">
      <c r="A1858">
        <v>317160</v>
      </c>
      <c r="B1858">
        <v>3171600</v>
      </c>
      <c r="C1858" t="s">
        <v>195</v>
      </c>
      <c r="D1858">
        <v>2021</v>
      </c>
      <c r="E1858" s="7">
        <v>14797.66</v>
      </c>
      <c r="F1858" s="8">
        <v>16377.106448356548</v>
      </c>
      <c r="G1858" s="7">
        <v>13047.47</v>
      </c>
      <c r="H1858" s="7">
        <v>14440.112210513167</v>
      </c>
    </row>
    <row r="1859" spans="1:8" x14ac:dyDescent="0.35">
      <c r="A1859">
        <v>317160</v>
      </c>
      <c r="B1859">
        <v>3171600</v>
      </c>
      <c r="C1859" t="s">
        <v>195</v>
      </c>
      <c r="D1859">
        <v>2022</v>
      </c>
      <c r="E1859" s="7">
        <v>13568.98</v>
      </c>
      <c r="F1859" s="8">
        <v>14196.02834755155</v>
      </c>
      <c r="G1859" s="7">
        <v>18016.009999999998</v>
      </c>
      <c r="H1859" s="7">
        <v>18848.565888944544</v>
      </c>
    </row>
    <row r="1860" spans="1:8" x14ac:dyDescent="0.35">
      <c r="A1860">
        <v>317160</v>
      </c>
      <c r="B1860">
        <v>3171600</v>
      </c>
      <c r="C1860" t="s">
        <v>195</v>
      </c>
      <c r="D1860">
        <v>2023</v>
      </c>
      <c r="E1860" s="7">
        <v>14969.26</v>
      </c>
      <c r="F1860" s="8">
        <v>14969.26</v>
      </c>
      <c r="G1860" s="7">
        <v>11408.04</v>
      </c>
      <c r="H1860" s="7">
        <v>11408.040086129407</v>
      </c>
    </row>
    <row r="1861" spans="1:8" x14ac:dyDescent="0.35">
      <c r="A1861">
        <v>317160</v>
      </c>
      <c r="B1861">
        <v>3171600</v>
      </c>
      <c r="C1861" t="s">
        <v>195</v>
      </c>
      <c r="D1861">
        <v>2024</v>
      </c>
      <c r="E1861" s="7">
        <v>13748.89</v>
      </c>
      <c r="F1861" s="8">
        <v>13115.265709499332</v>
      </c>
      <c r="G1861" s="7">
        <v>22333.61</v>
      </c>
      <c r="H1861" s="7">
        <v>21304.353241318484</v>
      </c>
    </row>
    <row r="1862" spans="1:8" x14ac:dyDescent="0.35">
      <c r="A1862">
        <v>317180</v>
      </c>
      <c r="B1862">
        <v>3171808</v>
      </c>
      <c r="C1862" t="s">
        <v>196</v>
      </c>
      <c r="D1862">
        <v>2015</v>
      </c>
      <c r="E1862" s="7">
        <v>5157.25</v>
      </c>
      <c r="F1862" s="8">
        <v>7774.3434384855236</v>
      </c>
      <c r="G1862" s="7">
        <v>5974.45</v>
      </c>
      <c r="H1862" s="7">
        <v>9006.2463477997153</v>
      </c>
    </row>
    <row r="1863" spans="1:8" x14ac:dyDescent="0.35">
      <c r="A1863">
        <v>317180</v>
      </c>
      <c r="B1863">
        <v>3171808</v>
      </c>
      <c r="C1863" t="s">
        <v>196</v>
      </c>
      <c r="D1863">
        <v>2016</v>
      </c>
      <c r="E1863" s="7">
        <v>6375.37</v>
      </c>
      <c r="F1863" s="8">
        <v>9042.0466863287056</v>
      </c>
      <c r="G1863" s="7">
        <v>6784.53</v>
      </c>
      <c r="H1863" s="7">
        <v>9622.3558472552631</v>
      </c>
    </row>
    <row r="1864" spans="1:8" x14ac:dyDescent="0.35">
      <c r="A1864">
        <v>317180</v>
      </c>
      <c r="B1864">
        <v>3171808</v>
      </c>
      <c r="C1864" t="s">
        <v>196</v>
      </c>
      <c r="D1864">
        <v>2017</v>
      </c>
      <c r="E1864" s="7">
        <v>6528.14</v>
      </c>
      <c r="F1864" s="8">
        <v>8993.6366446182838</v>
      </c>
      <c r="G1864" s="7">
        <v>6927.56</v>
      </c>
      <c r="H1864" s="7">
        <v>9543.8996792534017</v>
      </c>
    </row>
    <row r="1865" spans="1:8" x14ac:dyDescent="0.35">
      <c r="A1865">
        <v>317180</v>
      </c>
      <c r="B1865">
        <v>3171808</v>
      </c>
      <c r="C1865" t="s">
        <v>196</v>
      </c>
      <c r="D1865">
        <v>2018</v>
      </c>
      <c r="E1865" s="7">
        <v>6218.73</v>
      </c>
      <c r="F1865" s="8">
        <v>8258.0588100442892</v>
      </c>
      <c r="G1865" s="7">
        <v>6081.05</v>
      </c>
      <c r="H1865" s="7">
        <v>8075.2305168926241</v>
      </c>
    </row>
    <row r="1866" spans="1:8" x14ac:dyDescent="0.35">
      <c r="A1866">
        <v>317180</v>
      </c>
      <c r="B1866">
        <v>3171808</v>
      </c>
      <c r="C1866" t="s">
        <v>196</v>
      </c>
      <c r="D1866">
        <v>2019</v>
      </c>
      <c r="E1866" s="7">
        <v>6221.86</v>
      </c>
      <c r="F1866" s="8">
        <v>7921.1198124524217</v>
      </c>
      <c r="G1866" s="7">
        <v>7305.19</v>
      </c>
      <c r="H1866" s="7">
        <v>9300.3174249634685</v>
      </c>
    </row>
    <row r="1867" spans="1:8" x14ac:dyDescent="0.35">
      <c r="A1867">
        <v>317180</v>
      </c>
      <c r="B1867">
        <v>3171808</v>
      </c>
      <c r="C1867" t="s">
        <v>196</v>
      </c>
      <c r="D1867">
        <v>2020</v>
      </c>
      <c r="E1867" s="7">
        <v>6841.35</v>
      </c>
      <c r="F1867" s="8">
        <v>8333.3442520487952</v>
      </c>
      <c r="G1867" s="7">
        <v>5694.12</v>
      </c>
      <c r="H1867" s="7">
        <v>6935.9242299626221</v>
      </c>
    </row>
    <row r="1868" spans="1:8" x14ac:dyDescent="0.35">
      <c r="A1868">
        <v>317180</v>
      </c>
      <c r="B1868">
        <v>3171808</v>
      </c>
      <c r="C1868" t="s">
        <v>196</v>
      </c>
      <c r="D1868">
        <v>2021</v>
      </c>
      <c r="E1868" s="7">
        <v>9582.56</v>
      </c>
      <c r="F1868" s="8">
        <v>10605.366332769067</v>
      </c>
      <c r="G1868" s="7">
        <v>8784.75</v>
      </c>
      <c r="H1868" s="7">
        <v>9722.4060233365162</v>
      </c>
    </row>
    <row r="1869" spans="1:8" x14ac:dyDescent="0.35">
      <c r="A1869">
        <v>317180</v>
      </c>
      <c r="B1869">
        <v>3171808</v>
      </c>
      <c r="C1869" t="s">
        <v>196</v>
      </c>
      <c r="D1869">
        <v>2022</v>
      </c>
      <c r="E1869" s="7">
        <v>13104.53</v>
      </c>
      <c r="F1869" s="8">
        <v>13710.115230572948</v>
      </c>
      <c r="G1869" s="7">
        <v>15893.36</v>
      </c>
      <c r="H1869" s="7">
        <v>16627.819138414154</v>
      </c>
    </row>
    <row r="1870" spans="1:8" x14ac:dyDescent="0.35">
      <c r="A1870">
        <v>317180</v>
      </c>
      <c r="B1870">
        <v>3171808</v>
      </c>
      <c r="C1870" t="s">
        <v>196</v>
      </c>
      <c r="D1870">
        <v>2023</v>
      </c>
      <c r="E1870" s="7">
        <v>12039.74</v>
      </c>
      <c r="F1870" s="8">
        <v>12039.74</v>
      </c>
      <c r="G1870" s="7">
        <v>19027.7</v>
      </c>
      <c r="H1870" s="7">
        <v>19027.698451738408</v>
      </c>
    </row>
    <row r="1871" spans="1:8" x14ac:dyDescent="0.35">
      <c r="A1871">
        <v>317180</v>
      </c>
      <c r="B1871">
        <v>3171808</v>
      </c>
      <c r="C1871" t="s">
        <v>196</v>
      </c>
      <c r="D1871">
        <v>2024</v>
      </c>
      <c r="E1871" s="7">
        <v>17797.25</v>
      </c>
      <c r="F1871" s="8">
        <v>16977.055067600875</v>
      </c>
      <c r="G1871" s="7">
        <v>17086.759999999998</v>
      </c>
      <c r="H1871" s="7">
        <v>16299.308517001684</v>
      </c>
    </row>
    <row r="1872" spans="1:8" x14ac:dyDescent="0.35">
      <c r="A1872">
        <v>317190</v>
      </c>
      <c r="B1872">
        <v>3171907</v>
      </c>
      <c r="C1872" t="s">
        <v>197</v>
      </c>
      <c r="D1872">
        <v>2015</v>
      </c>
      <c r="E1872" s="7">
        <v>6226.13</v>
      </c>
      <c r="F1872" s="8">
        <v>9385.6363202594166</v>
      </c>
      <c r="G1872" s="7">
        <v>7427.39</v>
      </c>
      <c r="H1872" s="7">
        <v>11196.487936297226</v>
      </c>
    </row>
    <row r="1873" spans="1:8" x14ac:dyDescent="0.35">
      <c r="A1873">
        <v>317190</v>
      </c>
      <c r="B1873">
        <v>3171907</v>
      </c>
      <c r="C1873" t="s">
        <v>197</v>
      </c>
      <c r="D1873">
        <v>2016</v>
      </c>
      <c r="E1873" s="7">
        <v>5744.96</v>
      </c>
      <c r="F1873" s="8">
        <v>8147.9500846368082</v>
      </c>
      <c r="G1873" s="7">
        <v>7754.24</v>
      </c>
      <c r="H1873" s="7">
        <v>10997.67223433664</v>
      </c>
    </row>
    <row r="1874" spans="1:8" x14ac:dyDescent="0.35">
      <c r="A1874">
        <v>317190</v>
      </c>
      <c r="B1874">
        <v>3171907</v>
      </c>
      <c r="C1874" t="s">
        <v>197</v>
      </c>
      <c r="D1874">
        <v>2017</v>
      </c>
      <c r="E1874" s="7">
        <v>6078.69</v>
      </c>
      <c r="F1874" s="8">
        <v>8374.4418985001394</v>
      </c>
      <c r="G1874" s="7">
        <v>8591.5300000000007</v>
      </c>
      <c r="H1874" s="7">
        <v>11836.307245767603</v>
      </c>
    </row>
    <row r="1875" spans="1:8" x14ac:dyDescent="0.35">
      <c r="A1875">
        <v>317190</v>
      </c>
      <c r="B1875">
        <v>3171907</v>
      </c>
      <c r="C1875" t="s">
        <v>197</v>
      </c>
      <c r="D1875">
        <v>2018</v>
      </c>
      <c r="E1875" s="7">
        <v>6237.66</v>
      </c>
      <c r="F1875" s="8">
        <v>8283.1965878983101</v>
      </c>
      <c r="G1875" s="7">
        <v>8208.14</v>
      </c>
      <c r="H1875" s="7">
        <v>10899.857056071418</v>
      </c>
    </row>
    <row r="1876" spans="1:8" x14ac:dyDescent="0.35">
      <c r="A1876">
        <v>317190</v>
      </c>
      <c r="B1876">
        <v>3171907</v>
      </c>
      <c r="C1876" t="s">
        <v>197</v>
      </c>
      <c r="D1876">
        <v>2019</v>
      </c>
      <c r="E1876" s="7">
        <v>7546.49</v>
      </c>
      <c r="F1876" s="8">
        <v>9607.5211357173066</v>
      </c>
      <c r="G1876" s="7">
        <v>11005.21</v>
      </c>
      <c r="H1876" s="7">
        <v>14010.855828429696</v>
      </c>
    </row>
    <row r="1877" spans="1:8" x14ac:dyDescent="0.35">
      <c r="A1877">
        <v>317190</v>
      </c>
      <c r="B1877">
        <v>3171907</v>
      </c>
      <c r="C1877" t="s">
        <v>197</v>
      </c>
      <c r="D1877">
        <v>2020</v>
      </c>
      <c r="E1877" s="7">
        <v>8624.01</v>
      </c>
      <c r="F1877" s="8">
        <v>10504.775250953588</v>
      </c>
      <c r="G1877" s="7">
        <v>10283.15</v>
      </c>
      <c r="H1877" s="7">
        <v>12525.753895000591</v>
      </c>
    </row>
    <row r="1878" spans="1:8" x14ac:dyDescent="0.35">
      <c r="A1878">
        <v>317190</v>
      </c>
      <c r="B1878">
        <v>3171907</v>
      </c>
      <c r="C1878" t="s">
        <v>197</v>
      </c>
      <c r="D1878">
        <v>2021</v>
      </c>
      <c r="E1878" s="7">
        <v>11572.54</v>
      </c>
      <c r="F1878" s="8">
        <v>12807.749296703945</v>
      </c>
      <c r="G1878" s="7">
        <v>13971.45</v>
      </c>
      <c r="H1878" s="7">
        <v>15462.715197361476</v>
      </c>
    </row>
    <row r="1879" spans="1:8" x14ac:dyDescent="0.35">
      <c r="A1879">
        <v>317190</v>
      </c>
      <c r="B1879">
        <v>3171907</v>
      </c>
      <c r="C1879" t="s">
        <v>197</v>
      </c>
      <c r="D1879">
        <v>2022</v>
      </c>
      <c r="E1879" s="7">
        <v>11012.05</v>
      </c>
      <c r="F1879" s="8">
        <v>11520.937753954611</v>
      </c>
      <c r="G1879" s="7">
        <v>19762.27</v>
      </c>
      <c r="H1879" s="7">
        <v>20675.522969446865</v>
      </c>
    </row>
    <row r="1880" spans="1:8" x14ac:dyDescent="0.35">
      <c r="A1880">
        <v>317190</v>
      </c>
      <c r="B1880">
        <v>3171907</v>
      </c>
      <c r="C1880" t="s">
        <v>197</v>
      </c>
      <c r="D1880">
        <v>2023</v>
      </c>
      <c r="E1880" s="7">
        <v>7296.51</v>
      </c>
      <c r="F1880" s="8">
        <v>7296.51</v>
      </c>
      <c r="G1880" s="7">
        <v>15946.92</v>
      </c>
      <c r="H1880" s="7">
        <v>15946.923347351631</v>
      </c>
    </row>
    <row r="1881" spans="1:8" x14ac:dyDescent="0.35">
      <c r="A1881">
        <v>317190</v>
      </c>
      <c r="B1881">
        <v>3171907</v>
      </c>
      <c r="C1881" t="s">
        <v>197</v>
      </c>
      <c r="D1881">
        <v>2024</v>
      </c>
      <c r="E1881" s="7">
        <v>17609.32</v>
      </c>
      <c r="F1881" s="8">
        <v>16797.785913161046</v>
      </c>
      <c r="G1881" s="7">
        <v>21131.5</v>
      </c>
      <c r="H1881" s="7">
        <v>20157.646456534087</v>
      </c>
    </row>
  </sheetData>
  <autoFilter ref="A1:H1881" xr:uid="{44186BC0-34A8-401C-AD62-D62B3455B613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CFBF-3D89-4611-BCC4-FCCE2BA5BCC2}">
  <dimension ref="A1:E189"/>
  <sheetViews>
    <sheetView workbookViewId="0">
      <selection activeCell="E1" sqref="E1"/>
    </sheetView>
  </sheetViews>
  <sheetFormatPr defaultRowHeight="14.5" x14ac:dyDescent="0.35"/>
  <cols>
    <col min="1" max="1" width="13.453125" bestFit="1" customWidth="1"/>
    <col min="2" max="2" width="25.453125" bestFit="1" customWidth="1"/>
    <col min="3" max="5" width="13" bestFit="1" customWidth="1"/>
  </cols>
  <sheetData>
    <row r="1" spans="1:5" x14ac:dyDescent="0.35">
      <c r="A1" t="s">
        <v>203</v>
      </c>
      <c r="B1" t="s">
        <v>204</v>
      </c>
      <c r="C1" t="s">
        <v>206</v>
      </c>
      <c r="D1" t="s">
        <v>207</v>
      </c>
      <c r="E1" t="s">
        <v>205</v>
      </c>
    </row>
    <row r="2" spans="1:5" x14ac:dyDescent="0.35">
      <c r="A2">
        <v>3137007</v>
      </c>
      <c r="B2" t="s">
        <v>100</v>
      </c>
      <c r="C2">
        <v>3.9220000000000002</v>
      </c>
      <c r="D2">
        <v>3.98</v>
      </c>
      <c r="E2">
        <v>4.6677999999999997</v>
      </c>
    </row>
    <row r="3" spans="1:5" x14ac:dyDescent="0.35">
      <c r="A3">
        <v>3136959</v>
      </c>
      <c r="B3" t="s">
        <v>99</v>
      </c>
      <c r="C3">
        <v>4.0868000000000002</v>
      </c>
      <c r="D3">
        <v>4.0199999999999996</v>
      </c>
      <c r="E3">
        <v>4.3757000000000001</v>
      </c>
    </row>
    <row r="4" spans="1:5" x14ac:dyDescent="0.35">
      <c r="A4">
        <v>3136801</v>
      </c>
      <c r="B4" t="s">
        <v>98</v>
      </c>
      <c r="C4">
        <v>4.6390000000000002</v>
      </c>
      <c r="D4">
        <v>4.6399999999999997</v>
      </c>
      <c r="E4">
        <v>4.6036999999999999</v>
      </c>
    </row>
    <row r="5" spans="1:5" x14ac:dyDescent="0.35">
      <c r="A5">
        <v>3136553</v>
      </c>
      <c r="B5" t="s">
        <v>97</v>
      </c>
      <c r="C5">
        <v>4.6672000000000002</v>
      </c>
      <c r="D5">
        <v>4.5199999999999996</v>
      </c>
      <c r="E5">
        <v>4.8764000000000003</v>
      </c>
    </row>
    <row r="6" spans="1:5" x14ac:dyDescent="0.35">
      <c r="A6">
        <v>3136405</v>
      </c>
      <c r="B6" t="s">
        <v>96</v>
      </c>
      <c r="C6">
        <v>4.5982000000000003</v>
      </c>
      <c r="D6">
        <v>4.8499999999999996</v>
      </c>
      <c r="E6">
        <v>4.6604000000000001</v>
      </c>
    </row>
    <row r="7" spans="1:5" x14ac:dyDescent="0.35">
      <c r="A7">
        <v>3136009</v>
      </c>
      <c r="B7" t="s">
        <v>95</v>
      </c>
      <c r="C7">
        <v>4.2054999999999998</v>
      </c>
      <c r="D7">
        <v>4.3600000000000003</v>
      </c>
      <c r="E7">
        <v>4.4576000000000002</v>
      </c>
    </row>
    <row r="8" spans="1:5" x14ac:dyDescent="0.35">
      <c r="A8">
        <v>3135803</v>
      </c>
      <c r="B8" t="s">
        <v>94</v>
      </c>
      <c r="C8">
        <v>4.1398999999999999</v>
      </c>
      <c r="D8">
        <v>4.1500000000000004</v>
      </c>
      <c r="E8">
        <v>4.3474000000000004</v>
      </c>
    </row>
    <row r="9" spans="1:5" x14ac:dyDescent="0.35">
      <c r="A9">
        <v>3135357</v>
      </c>
      <c r="B9" t="s">
        <v>92</v>
      </c>
      <c r="C9">
        <v>4.4538000000000002</v>
      </c>
      <c r="D9">
        <v>4.3</v>
      </c>
      <c r="E9">
        <v>4.5505000000000004</v>
      </c>
    </row>
    <row r="10" spans="1:5" x14ac:dyDescent="0.35">
      <c r="A10">
        <v>3135209</v>
      </c>
      <c r="B10" t="s">
        <v>91</v>
      </c>
      <c r="C10">
        <v>4.1958000000000002</v>
      </c>
      <c r="D10">
        <v>4.47</v>
      </c>
      <c r="E10">
        <v>4.1741000000000001</v>
      </c>
    </row>
    <row r="11" spans="1:5" x14ac:dyDescent="0.35">
      <c r="A11">
        <v>3135100</v>
      </c>
      <c r="B11" t="s">
        <v>90</v>
      </c>
      <c r="C11">
        <v>4.3944999999999999</v>
      </c>
      <c r="D11">
        <v>4.5599999999999996</v>
      </c>
      <c r="E11">
        <v>4.6463000000000001</v>
      </c>
    </row>
    <row r="12" spans="1:5" x14ac:dyDescent="0.35">
      <c r="A12">
        <v>3135050</v>
      </c>
      <c r="B12" t="s">
        <v>89</v>
      </c>
      <c r="C12">
        <v>4.3167999999999997</v>
      </c>
      <c r="D12">
        <v>4.5599999999999996</v>
      </c>
      <c r="E12">
        <v>4.6303000000000001</v>
      </c>
    </row>
    <row r="13" spans="1:5" x14ac:dyDescent="0.35">
      <c r="A13">
        <v>3134707</v>
      </c>
      <c r="B13" t="s">
        <v>88</v>
      </c>
      <c r="C13">
        <v>4.4631999999999996</v>
      </c>
      <c r="D13">
        <v>4.4400000000000004</v>
      </c>
      <c r="E13">
        <v>4.5792000000000002</v>
      </c>
    </row>
    <row r="14" spans="1:5" x14ac:dyDescent="0.35">
      <c r="A14">
        <v>3134103</v>
      </c>
      <c r="B14" t="s">
        <v>87</v>
      </c>
      <c r="C14">
        <v>4.7919</v>
      </c>
      <c r="D14">
        <v>4.91</v>
      </c>
      <c r="E14">
        <v>5.1982999999999997</v>
      </c>
    </row>
    <row r="15" spans="1:5" x14ac:dyDescent="0.35">
      <c r="A15">
        <v>3134004</v>
      </c>
      <c r="B15" t="s">
        <v>86</v>
      </c>
      <c r="C15">
        <v>4.2539999999999996</v>
      </c>
      <c r="D15">
        <v>4.4000000000000004</v>
      </c>
      <c r="E15">
        <v>4.5403000000000002</v>
      </c>
    </row>
    <row r="16" spans="1:5" x14ac:dyDescent="0.35">
      <c r="A16">
        <v>3133204</v>
      </c>
      <c r="B16" t="s">
        <v>84</v>
      </c>
      <c r="C16">
        <v>4.9303999999999997</v>
      </c>
      <c r="D16">
        <v>5.18</v>
      </c>
      <c r="E16">
        <v>5.2332999999999998</v>
      </c>
    </row>
    <row r="17" spans="1:5" x14ac:dyDescent="0.35">
      <c r="A17">
        <v>3132701</v>
      </c>
      <c r="B17" t="s">
        <v>83</v>
      </c>
      <c r="C17">
        <v>4.2050999999999998</v>
      </c>
      <c r="D17">
        <v>4.17</v>
      </c>
      <c r="E17">
        <v>4.3768000000000002</v>
      </c>
    </row>
    <row r="18" spans="1:5" x14ac:dyDescent="0.35">
      <c r="A18">
        <v>3132503</v>
      </c>
      <c r="B18" t="s">
        <v>82</v>
      </c>
      <c r="C18">
        <v>4.7728000000000002</v>
      </c>
      <c r="D18">
        <v>4.6500000000000004</v>
      </c>
      <c r="E18">
        <v>4.8700999999999999</v>
      </c>
    </row>
    <row r="19" spans="1:5" x14ac:dyDescent="0.35">
      <c r="A19">
        <v>3131802</v>
      </c>
      <c r="B19" t="s">
        <v>79</v>
      </c>
      <c r="C19">
        <v>4.8621999999999996</v>
      </c>
      <c r="D19">
        <v>5.19</v>
      </c>
      <c r="E19">
        <v>4.9745999999999997</v>
      </c>
    </row>
    <row r="20" spans="1:5" x14ac:dyDescent="0.35">
      <c r="A20">
        <v>3131109</v>
      </c>
      <c r="B20" t="s">
        <v>77</v>
      </c>
      <c r="C20">
        <v>4.4189999999999996</v>
      </c>
      <c r="D20">
        <v>4.7300000000000004</v>
      </c>
      <c r="E20">
        <v>4.4511000000000003</v>
      </c>
    </row>
    <row r="21" spans="1:5" x14ac:dyDescent="0.35">
      <c r="A21">
        <v>3130903</v>
      </c>
      <c r="B21" t="s">
        <v>76</v>
      </c>
      <c r="C21">
        <v>4.8086000000000002</v>
      </c>
      <c r="D21">
        <v>5.05</v>
      </c>
      <c r="E21">
        <v>5.0731999999999999</v>
      </c>
    </row>
    <row r="22" spans="1:5" x14ac:dyDescent="0.35">
      <c r="A22">
        <v>3130655</v>
      </c>
      <c r="B22" t="s">
        <v>75</v>
      </c>
      <c r="C22">
        <v>4.4344000000000001</v>
      </c>
      <c r="D22">
        <v>4.59</v>
      </c>
      <c r="E22">
        <v>4.5145999999999997</v>
      </c>
    </row>
    <row r="23" spans="1:5" x14ac:dyDescent="0.35">
      <c r="A23">
        <v>3130556</v>
      </c>
      <c r="B23" t="s">
        <v>74</v>
      </c>
      <c r="C23">
        <v>4.8701999999999996</v>
      </c>
      <c r="D23">
        <v>4.84</v>
      </c>
      <c r="E23">
        <v>5.0861999999999998</v>
      </c>
    </row>
    <row r="24" spans="1:5" x14ac:dyDescent="0.35">
      <c r="A24">
        <v>3130051</v>
      </c>
      <c r="B24" t="s">
        <v>73</v>
      </c>
      <c r="C24">
        <v>4.4025999999999996</v>
      </c>
      <c r="D24">
        <v>4.49</v>
      </c>
      <c r="E24">
        <v>4.3769</v>
      </c>
    </row>
    <row r="25" spans="1:5" x14ac:dyDescent="0.35">
      <c r="A25">
        <v>3129657</v>
      </c>
      <c r="B25" t="s">
        <v>72</v>
      </c>
      <c r="C25">
        <v>3.9508999999999999</v>
      </c>
      <c r="D25">
        <v>4.1500000000000004</v>
      </c>
      <c r="E25">
        <v>3.9666000000000001</v>
      </c>
    </row>
    <row r="26" spans="1:5" x14ac:dyDescent="0.35">
      <c r="A26">
        <v>3128006</v>
      </c>
      <c r="B26" t="s">
        <v>70</v>
      </c>
      <c r="C26">
        <v>5.0446999999999997</v>
      </c>
      <c r="D26">
        <v>5.0599999999999996</v>
      </c>
      <c r="E26">
        <v>5.0027999999999997</v>
      </c>
    </row>
    <row r="27" spans="1:5" x14ac:dyDescent="0.35">
      <c r="A27">
        <v>3127701</v>
      </c>
      <c r="B27" t="s">
        <v>69</v>
      </c>
      <c r="C27">
        <v>4.7606000000000002</v>
      </c>
      <c r="D27">
        <v>4.83</v>
      </c>
      <c r="E27">
        <v>4.9179000000000004</v>
      </c>
    </row>
    <row r="28" spans="1:5" x14ac:dyDescent="0.35">
      <c r="A28">
        <v>3127602</v>
      </c>
      <c r="B28" t="s">
        <v>68</v>
      </c>
      <c r="C28">
        <v>4.7633000000000001</v>
      </c>
      <c r="D28">
        <v>5.07</v>
      </c>
      <c r="E28">
        <v>4.9667000000000003</v>
      </c>
    </row>
    <row r="29" spans="1:5" x14ac:dyDescent="0.35">
      <c r="A29">
        <v>3127503</v>
      </c>
      <c r="B29" t="s">
        <v>67</v>
      </c>
      <c r="C29">
        <v>4.7591000000000001</v>
      </c>
      <c r="D29">
        <v>4.8899999999999997</v>
      </c>
      <c r="E29">
        <v>5.1527000000000003</v>
      </c>
    </row>
    <row r="30" spans="1:5" x14ac:dyDescent="0.35">
      <c r="A30">
        <v>3127354</v>
      </c>
      <c r="B30" t="s">
        <v>66</v>
      </c>
      <c r="C30">
        <v>4.8752000000000004</v>
      </c>
      <c r="D30">
        <v>4.76</v>
      </c>
      <c r="E30">
        <v>4.8498000000000001</v>
      </c>
    </row>
    <row r="31" spans="1:5" x14ac:dyDescent="0.35">
      <c r="A31">
        <v>3127073</v>
      </c>
      <c r="B31" t="s">
        <v>65</v>
      </c>
      <c r="C31">
        <v>4.0804</v>
      </c>
      <c r="D31">
        <v>3.87</v>
      </c>
      <c r="E31">
        <v>4.0867000000000004</v>
      </c>
    </row>
    <row r="32" spans="1:5" x14ac:dyDescent="0.35">
      <c r="A32">
        <v>3126901</v>
      </c>
      <c r="B32" t="s">
        <v>64</v>
      </c>
      <c r="C32">
        <v>4.9589999999999996</v>
      </c>
      <c r="D32">
        <v>5.05</v>
      </c>
      <c r="E32">
        <v>5.2266000000000004</v>
      </c>
    </row>
    <row r="33" spans="1:5" x14ac:dyDescent="0.35">
      <c r="A33">
        <v>3126703</v>
      </c>
      <c r="B33" t="s">
        <v>63</v>
      </c>
      <c r="C33">
        <v>4.1631999999999998</v>
      </c>
      <c r="D33">
        <v>4.17</v>
      </c>
      <c r="E33">
        <v>4.5263999999999998</v>
      </c>
    </row>
    <row r="34" spans="1:5" x14ac:dyDescent="0.35">
      <c r="A34">
        <v>3126604</v>
      </c>
      <c r="B34" t="s">
        <v>62</v>
      </c>
      <c r="C34">
        <v>4.4907000000000004</v>
      </c>
      <c r="D34">
        <v>4.59</v>
      </c>
      <c r="E34">
        <v>4.9196</v>
      </c>
    </row>
    <row r="35" spans="1:5" x14ac:dyDescent="0.35">
      <c r="A35">
        <v>3125705</v>
      </c>
      <c r="B35" t="s">
        <v>61</v>
      </c>
      <c r="C35">
        <v>4.7596999999999996</v>
      </c>
      <c r="D35">
        <v>4.8</v>
      </c>
      <c r="E35">
        <v>4.8895999999999997</v>
      </c>
    </row>
    <row r="36" spans="1:5" x14ac:dyDescent="0.35">
      <c r="A36">
        <v>3125507</v>
      </c>
      <c r="B36" t="s">
        <v>169</v>
      </c>
      <c r="C36">
        <v>5.1502999999999997</v>
      </c>
      <c r="D36">
        <v>4.88</v>
      </c>
      <c r="E36">
        <v>5.1725000000000003</v>
      </c>
    </row>
    <row r="37" spans="1:5" x14ac:dyDescent="0.35">
      <c r="A37">
        <v>3125408</v>
      </c>
      <c r="B37" t="s">
        <v>60</v>
      </c>
      <c r="C37">
        <v>4.4413</v>
      </c>
      <c r="D37">
        <v>4.6500000000000004</v>
      </c>
      <c r="E37">
        <v>4.6967999999999996</v>
      </c>
    </row>
    <row r="38" spans="1:5" x14ac:dyDescent="0.35">
      <c r="A38">
        <v>3124302</v>
      </c>
      <c r="B38" t="s">
        <v>59</v>
      </c>
      <c r="C38">
        <v>4.7465000000000002</v>
      </c>
      <c r="D38">
        <v>4.6100000000000003</v>
      </c>
      <c r="E38">
        <v>4.8182999999999998</v>
      </c>
    </row>
    <row r="39" spans="1:5" x14ac:dyDescent="0.35">
      <c r="A39">
        <v>3123809</v>
      </c>
      <c r="B39" t="s">
        <v>58</v>
      </c>
      <c r="C39">
        <v>4.6018999999999997</v>
      </c>
      <c r="D39">
        <v>4.76</v>
      </c>
      <c r="E39">
        <v>4.8730000000000002</v>
      </c>
    </row>
    <row r="40" spans="1:5" x14ac:dyDescent="0.35">
      <c r="A40">
        <v>3123106</v>
      </c>
      <c r="B40" t="s">
        <v>56</v>
      </c>
      <c r="C40">
        <v>4.6943000000000001</v>
      </c>
      <c r="D40">
        <v>4.79</v>
      </c>
      <c r="E40">
        <v>4.8364000000000003</v>
      </c>
    </row>
    <row r="41" spans="1:5" x14ac:dyDescent="0.35">
      <c r="A41">
        <v>3122454</v>
      </c>
      <c r="B41" t="s">
        <v>54</v>
      </c>
      <c r="C41">
        <v>4.6159999999999997</v>
      </c>
      <c r="D41">
        <v>4.63</v>
      </c>
      <c r="E41">
        <v>4.7358000000000002</v>
      </c>
    </row>
    <row r="42" spans="1:5" x14ac:dyDescent="0.35">
      <c r="A42">
        <v>3122207</v>
      </c>
      <c r="B42" t="s">
        <v>53</v>
      </c>
      <c r="C42">
        <v>4.7108999999999996</v>
      </c>
      <c r="D42">
        <v>4.8899999999999997</v>
      </c>
      <c r="E42">
        <v>4.9599000000000002</v>
      </c>
    </row>
    <row r="43" spans="1:5" x14ac:dyDescent="0.35">
      <c r="A43">
        <v>3122108</v>
      </c>
      <c r="B43" t="s">
        <v>52</v>
      </c>
      <c r="C43">
        <v>4.9541000000000004</v>
      </c>
      <c r="D43">
        <v>4.79</v>
      </c>
      <c r="E43">
        <v>4.8817000000000004</v>
      </c>
    </row>
    <row r="44" spans="1:5" x14ac:dyDescent="0.35">
      <c r="A44">
        <v>3120904</v>
      </c>
      <c r="B44" t="s">
        <v>49</v>
      </c>
      <c r="C44">
        <v>4.9077999999999999</v>
      </c>
      <c r="D44">
        <v>4.95</v>
      </c>
      <c r="E44">
        <v>4.9954000000000001</v>
      </c>
    </row>
    <row r="45" spans="1:5" x14ac:dyDescent="0.35">
      <c r="A45">
        <v>3120870</v>
      </c>
      <c r="B45" t="s">
        <v>48</v>
      </c>
      <c r="C45">
        <v>4.5770999999999997</v>
      </c>
      <c r="D45">
        <v>4.5999999999999996</v>
      </c>
      <c r="E45">
        <v>4.8349000000000002</v>
      </c>
    </row>
    <row r="46" spans="1:5" x14ac:dyDescent="0.35">
      <c r="A46">
        <v>3120151</v>
      </c>
      <c r="B46" t="s">
        <v>47</v>
      </c>
      <c r="C46">
        <v>4.2079000000000004</v>
      </c>
      <c r="D46">
        <v>4.25</v>
      </c>
      <c r="E46">
        <v>4.3894000000000002</v>
      </c>
    </row>
    <row r="47" spans="1:5" x14ac:dyDescent="0.35">
      <c r="A47">
        <v>3119104</v>
      </c>
      <c r="B47" t="s">
        <v>44</v>
      </c>
      <c r="C47">
        <v>4.7352999999999996</v>
      </c>
      <c r="D47">
        <v>4.91</v>
      </c>
      <c r="E47">
        <v>4.9394999999999998</v>
      </c>
    </row>
    <row r="48" spans="1:5" x14ac:dyDescent="0.35">
      <c r="A48">
        <v>3118403</v>
      </c>
      <c r="B48" t="s">
        <v>43</v>
      </c>
      <c r="C48">
        <v>4.641</v>
      </c>
      <c r="D48">
        <v>4.88</v>
      </c>
      <c r="E48">
        <v>4.8221999999999996</v>
      </c>
    </row>
    <row r="49" spans="1:5" x14ac:dyDescent="0.35">
      <c r="A49">
        <v>3116803</v>
      </c>
      <c r="B49" t="s">
        <v>41</v>
      </c>
      <c r="C49">
        <v>4.4015000000000004</v>
      </c>
      <c r="D49">
        <v>4.76</v>
      </c>
      <c r="E49">
        <v>4.3296999999999999</v>
      </c>
    </row>
    <row r="50" spans="1:5" x14ac:dyDescent="0.35">
      <c r="A50">
        <v>3117009</v>
      </c>
      <c r="B50" t="s">
        <v>42</v>
      </c>
      <c r="C50">
        <v>4.3129999999999997</v>
      </c>
      <c r="D50">
        <v>4.24</v>
      </c>
      <c r="E50">
        <v>4.5571999999999999</v>
      </c>
    </row>
    <row r="51" spans="1:5" x14ac:dyDescent="0.35">
      <c r="A51">
        <v>3116506</v>
      </c>
      <c r="B51" t="s">
        <v>40</v>
      </c>
      <c r="C51">
        <v>4.6418999999999997</v>
      </c>
      <c r="D51">
        <v>4.7</v>
      </c>
      <c r="E51">
        <v>4.6721000000000004</v>
      </c>
    </row>
    <row r="52" spans="1:5" x14ac:dyDescent="0.35">
      <c r="A52">
        <v>3116159</v>
      </c>
      <c r="B52" t="s">
        <v>39</v>
      </c>
      <c r="C52">
        <v>4.5126999999999997</v>
      </c>
      <c r="D52">
        <v>4.63</v>
      </c>
      <c r="E52">
        <v>4.6618000000000004</v>
      </c>
    </row>
    <row r="53" spans="1:5" x14ac:dyDescent="0.35">
      <c r="A53">
        <v>3116100</v>
      </c>
      <c r="B53" t="s">
        <v>38</v>
      </c>
      <c r="C53">
        <v>4.7419000000000002</v>
      </c>
      <c r="D53">
        <v>4.49</v>
      </c>
      <c r="E53">
        <v>4.8258000000000001</v>
      </c>
    </row>
    <row r="54" spans="1:5" x14ac:dyDescent="0.35">
      <c r="A54">
        <v>3115474</v>
      </c>
      <c r="B54" t="s">
        <v>37</v>
      </c>
      <c r="C54">
        <v>4.1477000000000004</v>
      </c>
      <c r="D54">
        <v>4.33</v>
      </c>
      <c r="E54">
        <v>4.5324</v>
      </c>
    </row>
    <row r="55" spans="1:5" x14ac:dyDescent="0.35">
      <c r="A55">
        <v>3115458</v>
      </c>
      <c r="B55" t="s">
        <v>36</v>
      </c>
      <c r="C55">
        <v>4.0069999999999997</v>
      </c>
      <c r="D55">
        <v>4.21</v>
      </c>
      <c r="E55">
        <v>4.4592999999999998</v>
      </c>
    </row>
    <row r="56" spans="1:5" x14ac:dyDescent="0.35">
      <c r="A56">
        <v>3119203</v>
      </c>
      <c r="B56" t="s">
        <v>45</v>
      </c>
      <c r="C56">
        <v>4.7118000000000002</v>
      </c>
      <c r="D56">
        <v>4.8</v>
      </c>
      <c r="E56">
        <v>4.9420000000000002</v>
      </c>
    </row>
    <row r="57" spans="1:5" x14ac:dyDescent="0.35">
      <c r="A57">
        <v>3119500</v>
      </c>
      <c r="B57" t="s">
        <v>46</v>
      </c>
      <c r="C57">
        <v>4.3146000000000004</v>
      </c>
      <c r="D57">
        <v>4.41</v>
      </c>
      <c r="E57">
        <v>4.5350999999999999</v>
      </c>
    </row>
    <row r="58" spans="1:5" x14ac:dyDescent="0.35">
      <c r="A58">
        <v>3113800</v>
      </c>
      <c r="B58" t="s">
        <v>35</v>
      </c>
      <c r="C58">
        <v>5.0419999999999998</v>
      </c>
      <c r="D58">
        <v>4.92</v>
      </c>
      <c r="E58">
        <v>4.9988999999999999</v>
      </c>
    </row>
    <row r="59" spans="1:5" x14ac:dyDescent="0.35">
      <c r="A59">
        <v>3113701</v>
      </c>
      <c r="B59" t="s">
        <v>34</v>
      </c>
      <c r="C59">
        <v>4.5269000000000004</v>
      </c>
      <c r="D59">
        <v>4.72</v>
      </c>
      <c r="E59">
        <v>4.7549999999999999</v>
      </c>
    </row>
    <row r="60" spans="1:5" x14ac:dyDescent="0.35">
      <c r="A60">
        <v>3113503</v>
      </c>
      <c r="B60" t="s">
        <v>33</v>
      </c>
      <c r="C60">
        <v>4.8823999999999996</v>
      </c>
      <c r="D60">
        <v>5.0999999999999996</v>
      </c>
      <c r="E60">
        <v>5.0118</v>
      </c>
    </row>
    <row r="61" spans="1:5" x14ac:dyDescent="0.35">
      <c r="A61">
        <v>3113008</v>
      </c>
      <c r="B61" t="s">
        <v>32</v>
      </c>
      <c r="C61">
        <v>4.0425000000000004</v>
      </c>
      <c r="D61">
        <v>4.12</v>
      </c>
      <c r="E61">
        <v>4.1426999999999996</v>
      </c>
    </row>
    <row r="62" spans="1:5" x14ac:dyDescent="0.35">
      <c r="A62">
        <v>3112703</v>
      </c>
      <c r="B62" t="s">
        <v>31</v>
      </c>
      <c r="C62">
        <v>4.1810999999999998</v>
      </c>
      <c r="D62">
        <v>4.25</v>
      </c>
      <c r="E62">
        <v>4.5099</v>
      </c>
    </row>
    <row r="63" spans="1:5" x14ac:dyDescent="0.35">
      <c r="A63">
        <v>3121001</v>
      </c>
      <c r="B63" t="s">
        <v>50</v>
      </c>
      <c r="C63">
        <v>4.93</v>
      </c>
      <c r="D63">
        <v>4.76</v>
      </c>
      <c r="E63">
        <v>5.0354000000000001</v>
      </c>
    </row>
    <row r="64" spans="1:5" x14ac:dyDescent="0.35">
      <c r="A64">
        <v>3112307</v>
      </c>
      <c r="B64" t="s">
        <v>30</v>
      </c>
      <c r="C64">
        <v>4.4916999999999998</v>
      </c>
      <c r="D64">
        <v>4.34</v>
      </c>
      <c r="E64">
        <v>4.6863000000000001</v>
      </c>
    </row>
    <row r="65" spans="1:5" x14ac:dyDescent="0.35">
      <c r="A65">
        <v>3121605</v>
      </c>
      <c r="B65" t="s">
        <v>51</v>
      </c>
      <c r="C65">
        <v>4.8540000000000001</v>
      </c>
      <c r="D65">
        <v>4.5599999999999996</v>
      </c>
      <c r="E65">
        <v>4.9835000000000003</v>
      </c>
    </row>
    <row r="66" spans="1:5" x14ac:dyDescent="0.35">
      <c r="A66">
        <v>3112059</v>
      </c>
      <c r="B66" t="s">
        <v>29</v>
      </c>
      <c r="C66">
        <v>4.4333999999999998</v>
      </c>
      <c r="D66">
        <v>4.5599999999999996</v>
      </c>
      <c r="E66">
        <v>4.8068</v>
      </c>
    </row>
    <row r="67" spans="1:5" x14ac:dyDescent="0.35">
      <c r="A67">
        <v>3111150</v>
      </c>
      <c r="B67" t="s">
        <v>28</v>
      </c>
      <c r="C67">
        <v>4.5246000000000004</v>
      </c>
      <c r="D67">
        <v>4.28</v>
      </c>
      <c r="E67">
        <v>4.5525000000000002</v>
      </c>
    </row>
    <row r="68" spans="1:5" x14ac:dyDescent="0.35">
      <c r="A68">
        <v>3122470</v>
      </c>
      <c r="B68" t="s">
        <v>55</v>
      </c>
      <c r="C68">
        <v>4.6947000000000001</v>
      </c>
      <c r="D68">
        <v>4.7699999999999996</v>
      </c>
      <c r="E68">
        <v>5.0773000000000001</v>
      </c>
    </row>
    <row r="69" spans="1:5" x14ac:dyDescent="0.35">
      <c r="A69">
        <v>3110806</v>
      </c>
      <c r="B69" t="s">
        <v>27</v>
      </c>
      <c r="C69">
        <v>4.5260999999999996</v>
      </c>
      <c r="D69">
        <v>4.75</v>
      </c>
      <c r="E69">
        <v>4.7801999999999998</v>
      </c>
    </row>
    <row r="70" spans="1:5" x14ac:dyDescent="0.35">
      <c r="A70">
        <v>3123700</v>
      </c>
      <c r="B70" t="s">
        <v>57</v>
      </c>
      <c r="C70">
        <v>4.8895999999999997</v>
      </c>
      <c r="D70">
        <v>4.9800000000000004</v>
      </c>
      <c r="E70">
        <v>4.9763000000000002</v>
      </c>
    </row>
    <row r="71" spans="1:5" x14ac:dyDescent="0.35">
      <c r="A71">
        <v>3109402</v>
      </c>
      <c r="B71" t="s">
        <v>25</v>
      </c>
      <c r="C71">
        <v>4.5205000000000002</v>
      </c>
      <c r="D71">
        <v>4.7699999999999996</v>
      </c>
      <c r="E71">
        <v>4.7622</v>
      </c>
    </row>
    <row r="72" spans="1:5" x14ac:dyDescent="0.35">
      <c r="A72">
        <v>3109204</v>
      </c>
      <c r="B72" t="s">
        <v>24</v>
      </c>
      <c r="C72">
        <v>4.6540999999999997</v>
      </c>
      <c r="D72">
        <v>4.68</v>
      </c>
      <c r="E72">
        <v>4.8799000000000001</v>
      </c>
    </row>
    <row r="73" spans="1:5" x14ac:dyDescent="0.35">
      <c r="A73">
        <v>3108602</v>
      </c>
      <c r="B73" t="s">
        <v>23</v>
      </c>
      <c r="C73">
        <v>4.0561999999999996</v>
      </c>
      <c r="D73">
        <v>4.3899999999999997</v>
      </c>
      <c r="E73">
        <v>4.1658999999999997</v>
      </c>
    </row>
    <row r="74" spans="1:5" x14ac:dyDescent="0.35">
      <c r="A74">
        <v>3108206</v>
      </c>
      <c r="B74" t="s">
        <v>22</v>
      </c>
      <c r="C74">
        <v>4.7794999999999996</v>
      </c>
      <c r="D74">
        <v>4.87</v>
      </c>
      <c r="E74">
        <v>5.0462999999999996</v>
      </c>
    </row>
    <row r="75" spans="1:5" x14ac:dyDescent="0.35">
      <c r="A75">
        <v>3107307</v>
      </c>
      <c r="B75" t="s">
        <v>21</v>
      </c>
      <c r="C75">
        <v>4.2910000000000004</v>
      </c>
      <c r="D75">
        <v>4.58</v>
      </c>
      <c r="E75">
        <v>4.4866999999999999</v>
      </c>
    </row>
    <row r="76" spans="1:5" x14ac:dyDescent="0.35">
      <c r="A76">
        <v>3128253</v>
      </c>
      <c r="B76" t="s">
        <v>71</v>
      </c>
      <c r="C76">
        <v>4.5095000000000001</v>
      </c>
      <c r="D76">
        <v>4.5999999999999996</v>
      </c>
      <c r="E76">
        <v>4.7526999999999999</v>
      </c>
    </row>
    <row r="77" spans="1:5" x14ac:dyDescent="0.35">
      <c r="A77">
        <v>3106655</v>
      </c>
      <c r="B77" t="s">
        <v>20</v>
      </c>
      <c r="C77">
        <v>4.5271999999999997</v>
      </c>
      <c r="D77">
        <v>4.74</v>
      </c>
      <c r="E77">
        <v>4.6616</v>
      </c>
    </row>
    <row r="78" spans="1:5" x14ac:dyDescent="0.35">
      <c r="A78">
        <v>3131208</v>
      </c>
      <c r="B78" t="s">
        <v>78</v>
      </c>
      <c r="C78">
        <v>4.7354000000000003</v>
      </c>
      <c r="D78">
        <v>4.82</v>
      </c>
      <c r="E78">
        <v>4.9423000000000004</v>
      </c>
    </row>
    <row r="79" spans="1:5" x14ac:dyDescent="0.35">
      <c r="A79">
        <v>3132107</v>
      </c>
      <c r="B79" t="s">
        <v>80</v>
      </c>
      <c r="C79">
        <v>4.5149999999999997</v>
      </c>
      <c r="D79">
        <v>4.76</v>
      </c>
      <c r="E79">
        <v>4.7343000000000002</v>
      </c>
    </row>
    <row r="80" spans="1:5" x14ac:dyDescent="0.35">
      <c r="A80">
        <v>3132305</v>
      </c>
      <c r="B80" t="s">
        <v>81</v>
      </c>
      <c r="C80">
        <v>4.1521999999999997</v>
      </c>
      <c r="D80">
        <v>4.41</v>
      </c>
      <c r="E80">
        <v>4.4263000000000003</v>
      </c>
    </row>
    <row r="81" spans="1:5" x14ac:dyDescent="0.35">
      <c r="A81">
        <v>3105202</v>
      </c>
      <c r="B81" t="s">
        <v>19</v>
      </c>
      <c r="C81">
        <v>4.3372999999999999</v>
      </c>
      <c r="D81">
        <v>4.4400000000000004</v>
      </c>
      <c r="E81">
        <v>4.6773999999999996</v>
      </c>
    </row>
    <row r="82" spans="1:5" x14ac:dyDescent="0.35">
      <c r="A82">
        <v>3104700</v>
      </c>
      <c r="B82" t="s">
        <v>18</v>
      </c>
      <c r="C82">
        <v>4.3909000000000002</v>
      </c>
      <c r="D82">
        <v>4.57</v>
      </c>
      <c r="E82">
        <v>4.6939000000000002</v>
      </c>
    </row>
    <row r="83" spans="1:5" x14ac:dyDescent="0.35">
      <c r="A83">
        <v>3104502</v>
      </c>
      <c r="B83" t="s">
        <v>17</v>
      </c>
      <c r="C83">
        <v>4.5608000000000004</v>
      </c>
      <c r="D83">
        <v>4.76</v>
      </c>
      <c r="E83">
        <v>4.9103000000000003</v>
      </c>
    </row>
    <row r="84" spans="1:5" x14ac:dyDescent="0.35">
      <c r="A84">
        <v>3104452</v>
      </c>
      <c r="B84" t="s">
        <v>16</v>
      </c>
      <c r="C84">
        <v>4.4424000000000001</v>
      </c>
      <c r="D84">
        <v>4.0199999999999996</v>
      </c>
      <c r="E84">
        <v>4.1466000000000003</v>
      </c>
    </row>
    <row r="85" spans="1:5" x14ac:dyDescent="0.35">
      <c r="A85">
        <v>3133303</v>
      </c>
      <c r="B85" t="s">
        <v>85</v>
      </c>
      <c r="C85">
        <v>4.3624000000000001</v>
      </c>
      <c r="D85">
        <v>4.5599999999999996</v>
      </c>
      <c r="E85">
        <v>4.4958999999999998</v>
      </c>
    </row>
    <row r="86" spans="1:5" x14ac:dyDescent="0.35">
      <c r="A86">
        <v>3103405</v>
      </c>
      <c r="B86" t="s">
        <v>15</v>
      </c>
      <c r="C86">
        <v>4.3253000000000004</v>
      </c>
      <c r="D86">
        <v>4.1900000000000004</v>
      </c>
      <c r="E86">
        <v>4.4748000000000001</v>
      </c>
    </row>
    <row r="87" spans="1:5" x14ac:dyDescent="0.35">
      <c r="A87">
        <v>3102852</v>
      </c>
      <c r="B87" t="s">
        <v>14</v>
      </c>
      <c r="C87">
        <v>4.1776</v>
      </c>
      <c r="D87">
        <v>4.38</v>
      </c>
      <c r="E87">
        <v>4.6795999999999998</v>
      </c>
    </row>
    <row r="88" spans="1:5" x14ac:dyDescent="0.35">
      <c r="A88">
        <v>3102704</v>
      </c>
      <c r="B88" t="s">
        <v>26</v>
      </c>
      <c r="C88">
        <v>4.3581000000000003</v>
      </c>
      <c r="D88">
        <v>4.3899999999999997</v>
      </c>
      <c r="E88">
        <v>4.5129000000000001</v>
      </c>
    </row>
    <row r="89" spans="1:5" x14ac:dyDescent="0.35">
      <c r="A89">
        <v>3135605</v>
      </c>
      <c r="B89" t="s">
        <v>93</v>
      </c>
      <c r="C89">
        <v>4.3160999999999996</v>
      </c>
      <c r="D89">
        <v>4.58</v>
      </c>
      <c r="E89">
        <v>4.7206000000000001</v>
      </c>
    </row>
    <row r="90" spans="1:5" x14ac:dyDescent="0.35">
      <c r="A90">
        <v>3101805</v>
      </c>
      <c r="B90" t="s">
        <v>13</v>
      </c>
      <c r="C90">
        <v>4.9311999999999996</v>
      </c>
      <c r="D90">
        <v>5.13</v>
      </c>
      <c r="E90">
        <v>5.0178000000000003</v>
      </c>
    </row>
    <row r="91" spans="1:5" x14ac:dyDescent="0.35">
      <c r="A91">
        <v>3101706</v>
      </c>
      <c r="B91" t="s">
        <v>12</v>
      </c>
      <c r="C91">
        <v>4.4442000000000004</v>
      </c>
      <c r="D91">
        <v>4.58</v>
      </c>
      <c r="E91">
        <v>4.6336000000000004</v>
      </c>
    </row>
    <row r="92" spans="1:5" x14ac:dyDescent="0.35">
      <c r="A92">
        <v>3101102</v>
      </c>
      <c r="B92" t="s">
        <v>11</v>
      </c>
      <c r="C92">
        <v>4.7633999999999999</v>
      </c>
      <c r="D92">
        <v>4.9800000000000004</v>
      </c>
      <c r="E92">
        <v>5.0564</v>
      </c>
    </row>
    <row r="93" spans="1:5" x14ac:dyDescent="0.35">
      <c r="A93">
        <v>3101003</v>
      </c>
      <c r="B93" t="s">
        <v>10</v>
      </c>
      <c r="C93">
        <v>4.6337999999999999</v>
      </c>
      <c r="D93">
        <v>4.5199999999999996</v>
      </c>
      <c r="E93">
        <v>4.7225999999999999</v>
      </c>
    </row>
    <row r="94" spans="1:5" x14ac:dyDescent="0.35">
      <c r="A94">
        <v>3145455</v>
      </c>
      <c r="B94" t="s">
        <v>136</v>
      </c>
      <c r="C94">
        <v>4.7152000000000003</v>
      </c>
      <c r="D94">
        <v>4.7300000000000004</v>
      </c>
      <c r="E94">
        <v>4.7638999999999996</v>
      </c>
    </row>
    <row r="95" spans="1:5" x14ac:dyDescent="0.35">
      <c r="A95">
        <v>3169505</v>
      </c>
      <c r="B95" t="s">
        <v>186</v>
      </c>
      <c r="C95">
        <v>4.6943999999999999</v>
      </c>
      <c r="D95">
        <v>4.88</v>
      </c>
      <c r="E95">
        <v>4.8766999999999996</v>
      </c>
    </row>
    <row r="96" spans="1:5" x14ac:dyDescent="0.35">
      <c r="A96">
        <v>3137304</v>
      </c>
      <c r="B96" t="s">
        <v>101</v>
      </c>
      <c r="C96">
        <v>4.5278</v>
      </c>
      <c r="D96">
        <v>4.41</v>
      </c>
      <c r="E96">
        <v>4.6592000000000002</v>
      </c>
    </row>
    <row r="97" spans="1:5" x14ac:dyDescent="0.35">
      <c r="A97">
        <v>3145372</v>
      </c>
      <c r="B97" t="s">
        <v>135</v>
      </c>
      <c r="C97">
        <v>4.4024000000000001</v>
      </c>
      <c r="D97">
        <v>4.47</v>
      </c>
      <c r="E97">
        <v>4.6805000000000003</v>
      </c>
    </row>
    <row r="98" spans="1:5" x14ac:dyDescent="0.35">
      <c r="A98">
        <v>3170651</v>
      </c>
      <c r="B98" t="s">
        <v>192</v>
      </c>
      <c r="C98">
        <v>4.4802999999999997</v>
      </c>
      <c r="D98">
        <v>4.6100000000000003</v>
      </c>
      <c r="E98">
        <v>5.1039000000000003</v>
      </c>
    </row>
    <row r="99" spans="1:5" x14ac:dyDescent="0.35">
      <c r="A99">
        <v>3146552</v>
      </c>
      <c r="B99" t="s">
        <v>138</v>
      </c>
      <c r="C99">
        <v>4.2359999999999998</v>
      </c>
      <c r="D99">
        <v>4.46</v>
      </c>
      <c r="E99">
        <v>4.2840999999999996</v>
      </c>
    </row>
    <row r="100" spans="1:5" x14ac:dyDescent="0.35">
      <c r="A100">
        <v>3143450</v>
      </c>
      <c r="B100" t="s">
        <v>124</v>
      </c>
      <c r="C100">
        <v>4.37</v>
      </c>
      <c r="D100">
        <v>4.67</v>
      </c>
      <c r="E100">
        <v>4.7946999999999997</v>
      </c>
    </row>
    <row r="101" spans="1:5" x14ac:dyDescent="0.35">
      <c r="A101">
        <v>3140100</v>
      </c>
      <c r="B101" t="s">
        <v>110</v>
      </c>
      <c r="C101">
        <v>4.3452000000000002</v>
      </c>
      <c r="D101">
        <v>4.6900000000000004</v>
      </c>
      <c r="E101">
        <v>4.8685</v>
      </c>
    </row>
    <row r="102" spans="1:5" x14ac:dyDescent="0.35">
      <c r="A102">
        <v>3170305</v>
      </c>
      <c r="B102" t="s">
        <v>189</v>
      </c>
      <c r="C102">
        <v>4.3320999999999996</v>
      </c>
      <c r="D102">
        <v>4.26</v>
      </c>
      <c r="E102">
        <v>4.6871999999999998</v>
      </c>
    </row>
    <row r="103" spans="1:5" x14ac:dyDescent="0.35">
      <c r="A103">
        <v>3156502</v>
      </c>
      <c r="B103" t="s">
        <v>153</v>
      </c>
      <c r="C103">
        <v>4.0465999999999998</v>
      </c>
      <c r="D103">
        <v>4.46</v>
      </c>
      <c r="E103">
        <v>4.5521000000000003</v>
      </c>
    </row>
    <row r="104" spans="1:5" x14ac:dyDescent="0.35">
      <c r="A104">
        <v>3171071</v>
      </c>
      <c r="B104" t="s">
        <v>194</v>
      </c>
      <c r="C104">
        <v>4.6148999999999996</v>
      </c>
      <c r="D104">
        <v>4.78</v>
      </c>
      <c r="E104">
        <v>4.7788000000000004</v>
      </c>
    </row>
    <row r="105" spans="1:5" x14ac:dyDescent="0.35">
      <c r="A105">
        <v>3144375</v>
      </c>
      <c r="B105" t="s">
        <v>130</v>
      </c>
      <c r="C105">
        <v>4.5403000000000002</v>
      </c>
      <c r="D105">
        <v>4.67</v>
      </c>
      <c r="E105">
        <v>4.7680999999999996</v>
      </c>
    </row>
    <row r="106" spans="1:5" x14ac:dyDescent="0.35">
      <c r="A106">
        <v>3168051</v>
      </c>
      <c r="B106" t="s">
        <v>183</v>
      </c>
      <c r="C106">
        <v>4.7954999999999997</v>
      </c>
      <c r="D106">
        <v>4.96</v>
      </c>
      <c r="E106">
        <v>4.8975</v>
      </c>
    </row>
    <row r="107" spans="1:5" x14ac:dyDescent="0.35">
      <c r="A107">
        <v>3168408</v>
      </c>
      <c r="B107" t="s">
        <v>184</v>
      </c>
      <c r="C107">
        <v>4.2888999999999999</v>
      </c>
      <c r="D107">
        <v>4.57</v>
      </c>
      <c r="E107">
        <v>4.7533000000000003</v>
      </c>
    </row>
    <row r="108" spans="1:5" x14ac:dyDescent="0.35">
      <c r="A108">
        <v>3138658</v>
      </c>
      <c r="B108" t="s">
        <v>104</v>
      </c>
      <c r="C108">
        <v>4.5303000000000004</v>
      </c>
      <c r="D108">
        <v>4.59</v>
      </c>
      <c r="E108">
        <v>4.7263999999999999</v>
      </c>
    </row>
    <row r="109" spans="1:5" x14ac:dyDescent="0.35">
      <c r="A109">
        <v>3152402</v>
      </c>
      <c r="B109" t="s">
        <v>148</v>
      </c>
      <c r="C109">
        <v>4.6035000000000004</v>
      </c>
      <c r="D109">
        <v>4.79</v>
      </c>
      <c r="E109">
        <v>4.6683000000000003</v>
      </c>
    </row>
    <row r="110" spans="1:5" x14ac:dyDescent="0.35">
      <c r="A110">
        <v>3155108</v>
      </c>
      <c r="B110" t="s">
        <v>151</v>
      </c>
      <c r="C110">
        <v>3.9441000000000002</v>
      </c>
      <c r="D110">
        <v>4.3</v>
      </c>
      <c r="E110">
        <v>4.5400999999999998</v>
      </c>
    </row>
    <row r="111" spans="1:5" x14ac:dyDescent="0.35">
      <c r="A111">
        <v>3146305</v>
      </c>
      <c r="B111" t="s">
        <v>137</v>
      </c>
      <c r="C111">
        <v>4.0743</v>
      </c>
      <c r="D111">
        <v>4.16</v>
      </c>
      <c r="E111">
        <v>4.4142999999999999</v>
      </c>
    </row>
    <row r="112" spans="1:5" x14ac:dyDescent="0.35">
      <c r="A112">
        <v>3138351</v>
      </c>
      <c r="B112" t="s">
        <v>103</v>
      </c>
      <c r="C112">
        <v>4.4839000000000002</v>
      </c>
      <c r="D112">
        <v>4.8600000000000003</v>
      </c>
      <c r="E112">
        <v>4.8780000000000001</v>
      </c>
    </row>
    <row r="113" spans="1:5" x14ac:dyDescent="0.35">
      <c r="A113">
        <v>3139250</v>
      </c>
      <c r="B113" t="s">
        <v>107</v>
      </c>
      <c r="C113">
        <v>4.7530999999999999</v>
      </c>
      <c r="D113">
        <v>4.71</v>
      </c>
      <c r="E113">
        <v>4.9695999999999998</v>
      </c>
    </row>
    <row r="114" spans="1:5" x14ac:dyDescent="0.35">
      <c r="A114">
        <v>3170800</v>
      </c>
      <c r="B114" t="s">
        <v>193</v>
      </c>
      <c r="C114">
        <v>4.6599000000000004</v>
      </c>
      <c r="D114">
        <v>4.7300000000000004</v>
      </c>
      <c r="E114">
        <v>4.7713000000000001</v>
      </c>
    </row>
    <row r="115" spans="1:5" x14ac:dyDescent="0.35">
      <c r="A115">
        <v>3146750</v>
      </c>
      <c r="B115" t="s">
        <v>139</v>
      </c>
      <c r="C115">
        <v>4.3011999999999997</v>
      </c>
      <c r="D115">
        <v>4.46</v>
      </c>
      <c r="E115">
        <v>4.4741999999999997</v>
      </c>
    </row>
    <row r="116" spans="1:5" x14ac:dyDescent="0.35">
      <c r="A116">
        <v>3157377</v>
      </c>
      <c r="B116" t="s">
        <v>159</v>
      </c>
      <c r="C116">
        <v>4.1936</v>
      </c>
      <c r="D116">
        <v>4.53</v>
      </c>
      <c r="E116">
        <v>4.5285000000000002</v>
      </c>
    </row>
    <row r="117" spans="1:5" x14ac:dyDescent="0.35">
      <c r="A117">
        <v>3144656</v>
      </c>
      <c r="B117" t="s">
        <v>131</v>
      </c>
      <c r="C117">
        <v>4.4961000000000002</v>
      </c>
      <c r="D117">
        <v>4.62</v>
      </c>
      <c r="E117">
        <v>4.7782999999999998</v>
      </c>
    </row>
    <row r="118" spans="1:5" x14ac:dyDescent="0.35">
      <c r="A118">
        <v>3150158</v>
      </c>
      <c r="B118" t="s">
        <v>144</v>
      </c>
      <c r="C118">
        <v>4.8075000000000001</v>
      </c>
      <c r="D118">
        <v>4.5999999999999996</v>
      </c>
      <c r="E118">
        <v>5.0419999999999998</v>
      </c>
    </row>
    <row r="119" spans="1:5" x14ac:dyDescent="0.35">
      <c r="A119">
        <v>3144003</v>
      </c>
      <c r="B119" t="s">
        <v>126</v>
      </c>
      <c r="C119">
        <v>4.7279</v>
      </c>
      <c r="D119">
        <v>4.6900000000000004</v>
      </c>
      <c r="E119">
        <v>4.7916999999999996</v>
      </c>
    </row>
    <row r="120" spans="1:5" x14ac:dyDescent="0.35">
      <c r="A120">
        <v>3168002</v>
      </c>
      <c r="B120" t="s">
        <v>182</v>
      </c>
      <c r="C120">
        <v>4.4782999999999999</v>
      </c>
      <c r="D120">
        <v>4.67</v>
      </c>
      <c r="E120">
        <v>4.8059000000000003</v>
      </c>
    </row>
    <row r="121" spans="1:5" x14ac:dyDescent="0.35">
      <c r="A121">
        <v>3143302</v>
      </c>
      <c r="B121" t="s">
        <v>123</v>
      </c>
      <c r="C121">
        <v>4.7305000000000001</v>
      </c>
      <c r="D121">
        <v>4.8499999999999996</v>
      </c>
      <c r="E121">
        <v>4.8930999999999996</v>
      </c>
    </row>
    <row r="122" spans="1:5" x14ac:dyDescent="0.35">
      <c r="A122">
        <v>3163508</v>
      </c>
      <c r="B122" t="s">
        <v>174</v>
      </c>
      <c r="C122">
        <v>4.1016000000000004</v>
      </c>
      <c r="D122">
        <v>4.43</v>
      </c>
      <c r="E122">
        <v>4.7629999999999999</v>
      </c>
    </row>
    <row r="123" spans="1:5" x14ac:dyDescent="0.35">
      <c r="A123">
        <v>3140605</v>
      </c>
      <c r="B123" t="s">
        <v>111</v>
      </c>
      <c r="C123">
        <v>4.5946999999999996</v>
      </c>
      <c r="D123">
        <v>4.8099999999999996</v>
      </c>
      <c r="E123">
        <v>4.7592999999999996</v>
      </c>
    </row>
    <row r="124" spans="1:5" x14ac:dyDescent="0.35">
      <c r="A124">
        <v>3168606</v>
      </c>
      <c r="B124" t="s">
        <v>185</v>
      </c>
      <c r="C124">
        <v>4.9569999999999999</v>
      </c>
      <c r="D124">
        <v>4.95</v>
      </c>
      <c r="E124">
        <v>5.0545999999999998</v>
      </c>
    </row>
    <row r="125" spans="1:5" x14ac:dyDescent="0.35">
      <c r="A125">
        <v>3165909</v>
      </c>
      <c r="B125" t="s">
        <v>178</v>
      </c>
      <c r="C125">
        <v>4.1943999999999999</v>
      </c>
      <c r="D125">
        <v>4.53</v>
      </c>
      <c r="E125">
        <v>4.5156999999999998</v>
      </c>
    </row>
    <row r="126" spans="1:5" x14ac:dyDescent="0.35">
      <c r="A126">
        <v>3148608</v>
      </c>
      <c r="B126" t="s">
        <v>141</v>
      </c>
      <c r="C126">
        <v>4.2522000000000002</v>
      </c>
      <c r="D126">
        <v>4.28</v>
      </c>
      <c r="E126">
        <v>4.1959999999999997</v>
      </c>
    </row>
    <row r="127" spans="1:5" x14ac:dyDescent="0.35">
      <c r="A127">
        <v>3144359</v>
      </c>
      <c r="B127" t="s">
        <v>129</v>
      </c>
      <c r="C127">
        <v>4.9957000000000003</v>
      </c>
      <c r="D127">
        <v>5.03</v>
      </c>
      <c r="E127">
        <v>4.9638999999999998</v>
      </c>
    </row>
    <row r="128" spans="1:5" x14ac:dyDescent="0.35">
      <c r="A128">
        <v>3152170</v>
      </c>
      <c r="B128" t="s">
        <v>147</v>
      </c>
      <c r="C128">
        <v>4.3108000000000004</v>
      </c>
      <c r="D128">
        <v>4.51</v>
      </c>
      <c r="E128">
        <v>4.4347000000000003</v>
      </c>
    </row>
    <row r="129" spans="1:5" x14ac:dyDescent="0.35">
      <c r="A129">
        <v>3170057</v>
      </c>
      <c r="B129" t="s">
        <v>188</v>
      </c>
      <c r="C129">
        <v>4.9386000000000001</v>
      </c>
      <c r="D129">
        <v>4.99</v>
      </c>
      <c r="E129">
        <v>5.1040000000000001</v>
      </c>
    </row>
    <row r="130" spans="1:5" x14ac:dyDescent="0.35">
      <c r="A130">
        <v>3150570</v>
      </c>
      <c r="B130" t="s">
        <v>145</v>
      </c>
      <c r="C130">
        <v>4.2725999999999997</v>
      </c>
      <c r="D130">
        <v>4.51</v>
      </c>
      <c r="E130">
        <v>4.5026000000000002</v>
      </c>
    </row>
    <row r="131" spans="1:5" x14ac:dyDescent="0.35">
      <c r="A131">
        <v>3141504</v>
      </c>
      <c r="B131" t="s">
        <v>116</v>
      </c>
      <c r="C131">
        <v>4.8018000000000001</v>
      </c>
      <c r="D131">
        <v>4.78</v>
      </c>
      <c r="E131">
        <v>4.9115000000000002</v>
      </c>
    </row>
    <row r="132" spans="1:5" x14ac:dyDescent="0.35">
      <c r="A132">
        <v>3145059</v>
      </c>
      <c r="B132" t="s">
        <v>133</v>
      </c>
      <c r="C132">
        <v>4.2558999999999996</v>
      </c>
      <c r="D132">
        <v>4.42</v>
      </c>
      <c r="E132">
        <v>4.5579999999999998</v>
      </c>
    </row>
    <row r="133" spans="1:5" x14ac:dyDescent="0.35">
      <c r="A133">
        <v>3147956</v>
      </c>
      <c r="B133" t="s">
        <v>140</v>
      </c>
      <c r="C133">
        <v>4.2393000000000001</v>
      </c>
      <c r="D133">
        <v>4.6100000000000003</v>
      </c>
      <c r="E133">
        <v>4.3220000000000001</v>
      </c>
    </row>
    <row r="134" spans="1:5" x14ac:dyDescent="0.35">
      <c r="A134">
        <v>3171808</v>
      </c>
      <c r="B134" t="s">
        <v>196</v>
      </c>
      <c r="C134">
        <v>4.8304</v>
      </c>
      <c r="D134">
        <v>4.79</v>
      </c>
      <c r="E134">
        <v>5.0420999999999996</v>
      </c>
    </row>
    <row r="135" spans="1:5" x14ac:dyDescent="0.35">
      <c r="A135">
        <v>3171600</v>
      </c>
      <c r="B135" t="s">
        <v>195</v>
      </c>
      <c r="C135">
        <v>4.6181999999999999</v>
      </c>
      <c r="D135">
        <v>4.4400000000000004</v>
      </c>
      <c r="E135">
        <v>4.8894000000000002</v>
      </c>
    </row>
    <row r="136" spans="1:5" x14ac:dyDescent="0.35">
      <c r="A136">
        <v>3157005</v>
      </c>
      <c r="B136" t="s">
        <v>156</v>
      </c>
      <c r="C136">
        <v>4.6803999999999997</v>
      </c>
      <c r="D136">
        <v>4.63</v>
      </c>
      <c r="E136">
        <v>4.7766000000000002</v>
      </c>
    </row>
    <row r="137" spans="1:5" x14ac:dyDescent="0.35">
      <c r="A137">
        <v>3156809</v>
      </c>
      <c r="B137" t="s">
        <v>155</v>
      </c>
      <c r="C137">
        <v>4.5151000000000003</v>
      </c>
      <c r="D137">
        <v>4.4800000000000004</v>
      </c>
      <c r="E137">
        <v>4.3798000000000004</v>
      </c>
    </row>
    <row r="138" spans="1:5" x14ac:dyDescent="0.35">
      <c r="A138">
        <v>3141801</v>
      </c>
      <c r="B138" t="s">
        <v>117</v>
      </c>
      <c r="C138">
        <v>4.2256999999999998</v>
      </c>
      <c r="D138">
        <v>4.47</v>
      </c>
      <c r="E138">
        <v>4.6609999999999996</v>
      </c>
    </row>
    <row r="139" spans="1:5" x14ac:dyDescent="0.35">
      <c r="A139">
        <v>3157500</v>
      </c>
      <c r="B139" t="s">
        <v>160</v>
      </c>
      <c r="C139">
        <v>4.6407999999999996</v>
      </c>
      <c r="D139">
        <v>5.09</v>
      </c>
      <c r="E139">
        <v>4.8880999999999997</v>
      </c>
    </row>
    <row r="140" spans="1:5" x14ac:dyDescent="0.35">
      <c r="A140">
        <v>3156601</v>
      </c>
      <c r="B140" t="s">
        <v>154</v>
      </c>
      <c r="C140">
        <v>4.1283000000000003</v>
      </c>
      <c r="D140">
        <v>4.46</v>
      </c>
      <c r="E140">
        <v>4.4504000000000001</v>
      </c>
    </row>
    <row r="141" spans="1:5" x14ac:dyDescent="0.35">
      <c r="A141">
        <v>3154309</v>
      </c>
      <c r="B141" t="s">
        <v>150</v>
      </c>
      <c r="C141">
        <v>4.7743000000000002</v>
      </c>
      <c r="D141">
        <v>4.8899999999999997</v>
      </c>
      <c r="E141">
        <v>4.8944000000000001</v>
      </c>
    </row>
    <row r="142" spans="1:5" x14ac:dyDescent="0.35">
      <c r="A142">
        <v>3142007</v>
      </c>
      <c r="B142" t="s">
        <v>118</v>
      </c>
      <c r="C142">
        <v>4.2319000000000004</v>
      </c>
      <c r="D142">
        <v>4.42</v>
      </c>
      <c r="E142">
        <v>4.4785000000000004</v>
      </c>
    </row>
    <row r="143" spans="1:5" x14ac:dyDescent="0.35">
      <c r="A143">
        <v>3155603</v>
      </c>
      <c r="B143" t="s">
        <v>152</v>
      </c>
      <c r="C143">
        <v>4.4592000000000001</v>
      </c>
      <c r="D143">
        <v>4.3600000000000003</v>
      </c>
      <c r="E143">
        <v>4.5567000000000002</v>
      </c>
    </row>
    <row r="144" spans="1:5" x14ac:dyDescent="0.35">
      <c r="A144">
        <v>3171501</v>
      </c>
      <c r="B144" t="s">
        <v>112</v>
      </c>
      <c r="C144">
        <v>4.6130000000000004</v>
      </c>
      <c r="D144">
        <v>4.63</v>
      </c>
      <c r="E144">
        <v>4.6520999999999999</v>
      </c>
    </row>
    <row r="145" spans="1:5" x14ac:dyDescent="0.35">
      <c r="A145">
        <v>3141405</v>
      </c>
      <c r="B145" t="s">
        <v>115</v>
      </c>
      <c r="C145">
        <v>4.4432</v>
      </c>
      <c r="D145">
        <v>4.4000000000000004</v>
      </c>
      <c r="E145">
        <v>4.7826000000000004</v>
      </c>
    </row>
    <row r="146" spans="1:5" x14ac:dyDescent="0.35">
      <c r="A146">
        <v>3157658</v>
      </c>
      <c r="B146" t="s">
        <v>161</v>
      </c>
      <c r="C146">
        <v>4.3131000000000004</v>
      </c>
      <c r="D146">
        <v>4.5599999999999996</v>
      </c>
      <c r="E146">
        <v>4.5871000000000004</v>
      </c>
    </row>
    <row r="147" spans="1:5" x14ac:dyDescent="0.35">
      <c r="A147">
        <v>3170529</v>
      </c>
      <c r="B147" t="s">
        <v>191</v>
      </c>
      <c r="C147">
        <v>4.3407</v>
      </c>
      <c r="D147">
        <v>4.5</v>
      </c>
      <c r="E147">
        <v>4.5997000000000003</v>
      </c>
    </row>
    <row r="148" spans="1:5" x14ac:dyDescent="0.35">
      <c r="A148">
        <v>3159506</v>
      </c>
      <c r="B148" t="s">
        <v>164</v>
      </c>
      <c r="C148">
        <v>4.6734999999999998</v>
      </c>
      <c r="D148">
        <v>4.62</v>
      </c>
      <c r="E148">
        <v>4.7111000000000001</v>
      </c>
    </row>
    <row r="149" spans="1:5" x14ac:dyDescent="0.35">
      <c r="A149">
        <v>3158201</v>
      </c>
      <c r="B149" t="s">
        <v>162</v>
      </c>
      <c r="C149">
        <v>4.4574999999999996</v>
      </c>
      <c r="D149">
        <v>4.47</v>
      </c>
      <c r="E149">
        <v>4.5324</v>
      </c>
    </row>
    <row r="150" spans="1:5" x14ac:dyDescent="0.35">
      <c r="A150">
        <v>3139607</v>
      </c>
      <c r="B150" t="s">
        <v>109</v>
      </c>
      <c r="C150">
        <v>4.8136000000000001</v>
      </c>
      <c r="D150">
        <v>4.78</v>
      </c>
      <c r="E150">
        <v>4.8532000000000002</v>
      </c>
    </row>
    <row r="151" spans="1:5" x14ac:dyDescent="0.35">
      <c r="A151">
        <v>3139201</v>
      </c>
      <c r="B151" t="s">
        <v>106</v>
      </c>
      <c r="C151">
        <v>4.0579999999999998</v>
      </c>
      <c r="D151">
        <v>4.2699999999999996</v>
      </c>
      <c r="E151">
        <v>4.5430000000000001</v>
      </c>
    </row>
    <row r="152" spans="1:5" x14ac:dyDescent="0.35">
      <c r="A152">
        <v>3142700</v>
      </c>
      <c r="B152" t="s">
        <v>121</v>
      </c>
      <c r="C152">
        <v>4.2747000000000002</v>
      </c>
      <c r="D152">
        <v>4.55</v>
      </c>
      <c r="E152">
        <v>4.4295</v>
      </c>
    </row>
    <row r="153" spans="1:5" x14ac:dyDescent="0.35">
      <c r="A153">
        <v>3159357</v>
      </c>
      <c r="B153" t="s">
        <v>163</v>
      </c>
      <c r="C153">
        <v>4.9192</v>
      </c>
      <c r="D153">
        <v>4.91</v>
      </c>
      <c r="E153">
        <v>4.9654999999999996</v>
      </c>
    </row>
    <row r="154" spans="1:5" x14ac:dyDescent="0.35">
      <c r="A154">
        <v>3142502</v>
      </c>
      <c r="B154" t="s">
        <v>120</v>
      </c>
      <c r="C154">
        <v>4.4004000000000003</v>
      </c>
      <c r="D154">
        <v>4.96</v>
      </c>
      <c r="E154">
        <v>4.6007999999999996</v>
      </c>
    </row>
    <row r="155" spans="1:5" x14ac:dyDescent="0.35">
      <c r="A155">
        <v>3145356</v>
      </c>
      <c r="B155" t="s">
        <v>134</v>
      </c>
      <c r="C155">
        <v>4.4789000000000003</v>
      </c>
      <c r="D155">
        <v>4.29</v>
      </c>
      <c r="E155">
        <v>4.4755000000000003</v>
      </c>
    </row>
    <row r="156" spans="1:5" x14ac:dyDescent="0.35">
      <c r="A156">
        <v>3160603</v>
      </c>
      <c r="B156" t="s">
        <v>166</v>
      </c>
      <c r="C156">
        <v>4.5357000000000003</v>
      </c>
      <c r="D156">
        <v>4.4000000000000004</v>
      </c>
      <c r="E156">
        <v>4.5286</v>
      </c>
    </row>
    <row r="157" spans="1:5" x14ac:dyDescent="0.35">
      <c r="A157">
        <v>3144672</v>
      </c>
      <c r="B157" t="s">
        <v>132</v>
      </c>
      <c r="C157">
        <v>4.4618000000000002</v>
      </c>
      <c r="D157">
        <v>4.91</v>
      </c>
      <c r="E157">
        <v>4.7995000000000001</v>
      </c>
    </row>
    <row r="158" spans="1:5" x14ac:dyDescent="0.35">
      <c r="A158">
        <v>3169703</v>
      </c>
      <c r="B158" t="s">
        <v>187</v>
      </c>
      <c r="C158">
        <v>4.5708000000000002</v>
      </c>
      <c r="D158">
        <v>4.74</v>
      </c>
      <c r="E158">
        <v>4.7249999999999996</v>
      </c>
    </row>
    <row r="159" spans="1:5" x14ac:dyDescent="0.35">
      <c r="A159">
        <v>3162252</v>
      </c>
      <c r="B159" t="s">
        <v>170</v>
      </c>
      <c r="C159">
        <v>4.4145000000000003</v>
      </c>
      <c r="D159">
        <v>4.4800000000000004</v>
      </c>
      <c r="E159">
        <v>4.5857000000000001</v>
      </c>
    </row>
    <row r="160" spans="1:5" x14ac:dyDescent="0.35">
      <c r="A160">
        <v>3166709</v>
      </c>
      <c r="B160" t="s">
        <v>180</v>
      </c>
      <c r="C160">
        <v>4.6917999999999997</v>
      </c>
      <c r="D160">
        <v>4.7300000000000004</v>
      </c>
      <c r="E160">
        <v>4.9004000000000003</v>
      </c>
    </row>
    <row r="161" spans="1:5" x14ac:dyDescent="0.35">
      <c r="A161">
        <v>3144201</v>
      </c>
      <c r="B161" t="s">
        <v>127</v>
      </c>
      <c r="C161">
        <v>4.3071999999999999</v>
      </c>
      <c r="D161">
        <v>4.71</v>
      </c>
      <c r="E161">
        <v>4.7789999999999999</v>
      </c>
    </row>
    <row r="162" spans="1:5" x14ac:dyDescent="0.35">
      <c r="A162">
        <v>3161601</v>
      </c>
      <c r="B162" t="s">
        <v>168</v>
      </c>
      <c r="C162">
        <v>4.6090999999999998</v>
      </c>
      <c r="D162">
        <v>4.8899999999999997</v>
      </c>
      <c r="E162">
        <v>4.9229000000000003</v>
      </c>
    </row>
    <row r="163" spans="1:5" x14ac:dyDescent="0.35">
      <c r="A163">
        <v>3164100</v>
      </c>
      <c r="B163" t="s">
        <v>175</v>
      </c>
      <c r="C163">
        <v>4.5030999999999999</v>
      </c>
      <c r="D163">
        <v>4.6900000000000004</v>
      </c>
      <c r="E163">
        <v>4.8658999999999999</v>
      </c>
    </row>
    <row r="164" spans="1:5" x14ac:dyDescent="0.35">
      <c r="A164">
        <v>3138104</v>
      </c>
      <c r="B164" t="s">
        <v>102</v>
      </c>
      <c r="C164">
        <v>4.5167999999999999</v>
      </c>
      <c r="D164">
        <v>4.71</v>
      </c>
      <c r="E164">
        <v>4.6478000000000002</v>
      </c>
    </row>
    <row r="165" spans="1:5" x14ac:dyDescent="0.35">
      <c r="A165">
        <v>3143609</v>
      </c>
      <c r="B165" t="s">
        <v>125</v>
      </c>
      <c r="C165">
        <v>4.5690999999999997</v>
      </c>
      <c r="D165">
        <v>4.7300000000000004</v>
      </c>
      <c r="E165">
        <v>4.7222999999999997</v>
      </c>
    </row>
    <row r="166" spans="1:5" x14ac:dyDescent="0.35">
      <c r="A166">
        <v>3151206</v>
      </c>
      <c r="B166" t="s">
        <v>146</v>
      </c>
      <c r="C166">
        <v>4.6955</v>
      </c>
      <c r="D166">
        <v>4.8099999999999996</v>
      </c>
      <c r="E166">
        <v>4.8411</v>
      </c>
    </row>
    <row r="167" spans="1:5" x14ac:dyDescent="0.35">
      <c r="A167">
        <v>3162807</v>
      </c>
      <c r="B167" t="s">
        <v>173</v>
      </c>
      <c r="C167">
        <v>4.8014000000000001</v>
      </c>
      <c r="D167">
        <v>4.82</v>
      </c>
      <c r="E167">
        <v>4.8170000000000002</v>
      </c>
    </row>
    <row r="168" spans="1:5" x14ac:dyDescent="0.35">
      <c r="A168">
        <v>3144300</v>
      </c>
      <c r="B168" t="s">
        <v>128</v>
      </c>
      <c r="C168">
        <v>4.5221</v>
      </c>
      <c r="D168">
        <v>4.49</v>
      </c>
      <c r="E168">
        <v>4.5968</v>
      </c>
    </row>
    <row r="169" spans="1:5" x14ac:dyDescent="0.35">
      <c r="A169">
        <v>3162575</v>
      </c>
      <c r="B169" t="s">
        <v>172</v>
      </c>
      <c r="C169">
        <v>4.798</v>
      </c>
      <c r="D169">
        <v>4.99</v>
      </c>
      <c r="E169">
        <v>4.9248000000000003</v>
      </c>
    </row>
    <row r="170" spans="1:5" x14ac:dyDescent="0.35">
      <c r="A170">
        <v>3148707</v>
      </c>
      <c r="B170" t="s">
        <v>142</v>
      </c>
      <c r="C170">
        <v>4.4903000000000004</v>
      </c>
      <c r="D170">
        <v>4.5199999999999996</v>
      </c>
      <c r="E170">
        <v>4.6563999999999997</v>
      </c>
    </row>
    <row r="171" spans="1:5" x14ac:dyDescent="0.35">
      <c r="A171">
        <v>3162401</v>
      </c>
      <c r="B171" t="s">
        <v>171</v>
      </c>
      <c r="C171">
        <v>4.1417000000000002</v>
      </c>
      <c r="D171">
        <v>4.03</v>
      </c>
      <c r="E171">
        <v>4.3883000000000001</v>
      </c>
    </row>
    <row r="172" spans="1:5" x14ac:dyDescent="0.35">
      <c r="A172">
        <v>3138906</v>
      </c>
      <c r="B172" t="s">
        <v>105</v>
      </c>
      <c r="C172">
        <v>4.7573999999999996</v>
      </c>
      <c r="D172">
        <v>4.87</v>
      </c>
      <c r="E172">
        <v>4.8357999999999999</v>
      </c>
    </row>
    <row r="173" spans="1:5" x14ac:dyDescent="0.35">
      <c r="A173">
        <v>3166105</v>
      </c>
      <c r="B173" t="s">
        <v>179</v>
      </c>
      <c r="C173">
        <v>4.2028999999999996</v>
      </c>
      <c r="D173">
        <v>4.71</v>
      </c>
      <c r="E173">
        <v>4.6292</v>
      </c>
    </row>
    <row r="174" spans="1:5" x14ac:dyDescent="0.35">
      <c r="A174">
        <v>3166956</v>
      </c>
      <c r="B174" t="s">
        <v>181</v>
      </c>
      <c r="C174">
        <v>4.2929000000000004</v>
      </c>
      <c r="D174">
        <v>4.43</v>
      </c>
      <c r="E174">
        <v>4.5835999999999997</v>
      </c>
    </row>
    <row r="175" spans="1:5" x14ac:dyDescent="0.35">
      <c r="A175">
        <v>3165503</v>
      </c>
      <c r="B175" t="s">
        <v>177</v>
      </c>
      <c r="C175">
        <v>4.5396000000000001</v>
      </c>
      <c r="D175">
        <v>4.5999999999999996</v>
      </c>
      <c r="E175">
        <v>4.6632999999999996</v>
      </c>
    </row>
    <row r="176" spans="1:5" x14ac:dyDescent="0.35">
      <c r="A176">
        <v>3140852</v>
      </c>
      <c r="B176" t="s">
        <v>113</v>
      </c>
      <c r="C176">
        <v>4.2847999999999997</v>
      </c>
      <c r="D176">
        <v>4.34</v>
      </c>
      <c r="E176">
        <v>4.4721000000000002</v>
      </c>
    </row>
    <row r="177" spans="1:5" x14ac:dyDescent="0.35">
      <c r="A177">
        <v>3149952</v>
      </c>
      <c r="B177" t="s">
        <v>143</v>
      </c>
      <c r="C177">
        <v>4.7687999999999997</v>
      </c>
      <c r="D177">
        <v>4.87</v>
      </c>
      <c r="E177">
        <v>5.1071999999999997</v>
      </c>
    </row>
    <row r="178" spans="1:5" x14ac:dyDescent="0.35">
      <c r="A178">
        <v>3164472</v>
      </c>
      <c r="B178" t="s">
        <v>176</v>
      </c>
      <c r="C178">
        <v>4.6753</v>
      </c>
      <c r="D178">
        <v>4.7699999999999996</v>
      </c>
      <c r="E178">
        <v>4.8669000000000002</v>
      </c>
    </row>
    <row r="179" spans="1:5" x14ac:dyDescent="0.35">
      <c r="A179">
        <v>3157104</v>
      </c>
      <c r="B179" t="s">
        <v>157</v>
      </c>
      <c r="C179">
        <v>4.3955000000000002</v>
      </c>
      <c r="D179">
        <v>4.4400000000000004</v>
      </c>
      <c r="E179">
        <v>4.7176999999999998</v>
      </c>
    </row>
    <row r="180" spans="1:5" x14ac:dyDescent="0.35">
      <c r="A180">
        <v>3139300</v>
      </c>
      <c r="B180" t="s">
        <v>108</v>
      </c>
      <c r="C180">
        <v>4.2380000000000004</v>
      </c>
      <c r="D180">
        <v>4.25</v>
      </c>
      <c r="E180">
        <v>4.4375999999999998</v>
      </c>
    </row>
    <row r="181" spans="1:5" x14ac:dyDescent="0.35">
      <c r="A181">
        <v>3160454</v>
      </c>
      <c r="B181" t="s">
        <v>165</v>
      </c>
      <c r="C181">
        <v>4.1932999999999998</v>
      </c>
      <c r="D181">
        <v>4.3499999999999996</v>
      </c>
      <c r="E181">
        <v>4.5438999999999998</v>
      </c>
    </row>
    <row r="182" spans="1:5" x14ac:dyDescent="0.35">
      <c r="A182">
        <v>3143153</v>
      </c>
      <c r="B182" t="s">
        <v>122</v>
      </c>
      <c r="C182">
        <v>4.2591000000000001</v>
      </c>
      <c r="D182">
        <v>4.26</v>
      </c>
      <c r="E182">
        <v>4.4858000000000002</v>
      </c>
    </row>
    <row r="183" spans="1:5" x14ac:dyDescent="0.35">
      <c r="A183">
        <v>3160959</v>
      </c>
      <c r="B183" t="s">
        <v>167</v>
      </c>
      <c r="C183">
        <v>4.7160000000000002</v>
      </c>
      <c r="D183">
        <v>4.8899999999999997</v>
      </c>
      <c r="E183">
        <v>5.0277000000000003</v>
      </c>
    </row>
    <row r="184" spans="1:5" x14ac:dyDescent="0.35">
      <c r="A184">
        <v>3142254</v>
      </c>
      <c r="B184" t="s">
        <v>119</v>
      </c>
      <c r="C184">
        <v>3.9668000000000001</v>
      </c>
      <c r="D184">
        <v>4.12</v>
      </c>
      <c r="E184">
        <v>4.5491000000000001</v>
      </c>
    </row>
    <row r="185" spans="1:5" x14ac:dyDescent="0.35">
      <c r="A185">
        <v>3157252</v>
      </c>
      <c r="B185" t="s">
        <v>158</v>
      </c>
      <c r="C185">
        <v>4.6176000000000004</v>
      </c>
      <c r="D185">
        <v>4.74</v>
      </c>
      <c r="E185">
        <v>4.7949999999999999</v>
      </c>
    </row>
    <row r="186" spans="1:5" x14ac:dyDescent="0.35">
      <c r="A186">
        <v>3141009</v>
      </c>
      <c r="B186" t="s">
        <v>114</v>
      </c>
      <c r="C186">
        <v>4.0907999999999998</v>
      </c>
      <c r="D186">
        <v>4.6500000000000004</v>
      </c>
      <c r="E186">
        <v>4.7454000000000001</v>
      </c>
    </row>
    <row r="187" spans="1:5" x14ac:dyDescent="0.35">
      <c r="A187">
        <v>3153301</v>
      </c>
      <c r="B187" t="s">
        <v>149</v>
      </c>
      <c r="C187">
        <v>4.6616999999999997</v>
      </c>
      <c r="D187">
        <v>4.68</v>
      </c>
      <c r="E187">
        <v>4.7110000000000003</v>
      </c>
    </row>
    <row r="188" spans="1:5" x14ac:dyDescent="0.35">
      <c r="A188">
        <v>3170479</v>
      </c>
      <c r="B188" t="s">
        <v>190</v>
      </c>
      <c r="C188">
        <v>4.8223000000000003</v>
      </c>
      <c r="D188">
        <v>4.8499999999999996</v>
      </c>
      <c r="E188">
        <v>4.976</v>
      </c>
    </row>
    <row r="189" spans="1:5" x14ac:dyDescent="0.35">
      <c r="A189">
        <v>3171907</v>
      </c>
      <c r="B189" t="s">
        <v>197</v>
      </c>
      <c r="C189">
        <v>4.5768000000000004</v>
      </c>
      <c r="D189">
        <v>4.5599999999999996</v>
      </c>
      <c r="E189">
        <v>4.7648999999999999</v>
      </c>
    </row>
  </sheetData>
  <autoFilter ref="A1:E189" xr:uid="{7507CFBF-3D89-4611-BCC4-FCCE2BA5BCC2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A07A-5B73-44E0-9B06-F17685B94C62}">
  <dimension ref="A1:K1881"/>
  <sheetViews>
    <sheetView topLeftCell="A1863" workbookViewId="0">
      <selection activeCell="A1881" sqref="A1881"/>
    </sheetView>
  </sheetViews>
  <sheetFormatPr defaultRowHeight="14.5" x14ac:dyDescent="0.35"/>
  <cols>
    <col min="2" max="2" width="10.7265625" bestFit="1" customWidth="1"/>
    <col min="3" max="3" width="25.453125" bestFit="1" customWidth="1"/>
    <col min="4" max="4" width="10.1796875" bestFit="1" customWidth="1"/>
    <col min="5" max="5" width="10.6328125" bestFit="1" customWidth="1"/>
    <col min="6" max="6" width="9.7265625" bestFit="1" customWidth="1"/>
    <col min="7" max="7" width="10.1796875" bestFit="1" customWidth="1"/>
    <col min="8" max="8" width="12.08984375" bestFit="1" customWidth="1"/>
    <col min="9" max="9" width="12.54296875" bestFit="1" customWidth="1"/>
    <col min="10" max="10" width="11.6328125" bestFit="1" customWidth="1"/>
    <col min="11" max="11" width="12.08984375" bestFit="1" customWidth="1"/>
  </cols>
  <sheetData>
    <row r="1" spans="1:11" x14ac:dyDescent="0.35">
      <c r="A1" s="6" t="s">
        <v>210</v>
      </c>
      <c r="B1" s="6" t="s">
        <v>208</v>
      </c>
      <c r="C1" s="6" t="s">
        <v>209</v>
      </c>
      <c r="D1" s="6" t="s">
        <v>215</v>
      </c>
      <c r="E1" s="6" t="s">
        <v>216</v>
      </c>
      <c r="F1" s="6" t="s">
        <v>217</v>
      </c>
      <c r="G1" s="6" t="s">
        <v>218</v>
      </c>
      <c r="H1" s="6" t="s">
        <v>219</v>
      </c>
      <c r="I1" s="6" t="s">
        <v>220</v>
      </c>
      <c r="J1" s="6" t="s">
        <v>221</v>
      </c>
      <c r="K1" s="6" t="s">
        <v>222</v>
      </c>
    </row>
    <row r="2" spans="1:11" x14ac:dyDescent="0.35">
      <c r="A2">
        <v>2015</v>
      </c>
      <c r="B2">
        <v>3101003</v>
      </c>
      <c r="C2" t="str">
        <f>VLOOKUP(B2,SAEB!$A:$B,2,0)</f>
        <v>Águas Vermelhas</v>
      </c>
      <c r="D2">
        <v>358</v>
      </c>
      <c r="E2">
        <v>0</v>
      </c>
      <c r="F2">
        <v>80</v>
      </c>
      <c r="G2">
        <v>0</v>
      </c>
      <c r="H2" s="7">
        <f>D2/SUM($D2:$G2)*100</f>
        <v>81.735159817351601</v>
      </c>
      <c r="I2" s="7">
        <f t="shared" ref="I2:K2" si="0">E2/SUM($D2:$G2)*100</f>
        <v>0</v>
      </c>
      <c r="J2" s="7">
        <f t="shared" si="0"/>
        <v>18.264840182648399</v>
      </c>
      <c r="K2" s="7">
        <f t="shared" si="0"/>
        <v>0</v>
      </c>
    </row>
    <row r="3" spans="1:11" x14ac:dyDescent="0.35">
      <c r="A3">
        <v>2015</v>
      </c>
      <c r="B3">
        <v>3101102</v>
      </c>
      <c r="C3" t="str">
        <f>VLOOKUP(B3,SAEB!$A:$B,2,0)</f>
        <v>Aimorés</v>
      </c>
      <c r="D3">
        <v>765</v>
      </c>
      <c r="E3">
        <v>459</v>
      </c>
      <c r="F3">
        <v>90</v>
      </c>
      <c r="G3">
        <v>0</v>
      </c>
      <c r="H3" s="7">
        <f t="shared" ref="H3:H66" si="1">D3/SUM($D3:$G3)*100</f>
        <v>58.219178082191782</v>
      </c>
      <c r="I3" s="7">
        <f t="shared" ref="I3:I66" si="2">E3/SUM($D3:$G3)*100</f>
        <v>34.93150684931507</v>
      </c>
      <c r="J3" s="7">
        <f t="shared" ref="J3:J66" si="3">F3/SUM($D3:$G3)*100</f>
        <v>6.8493150684931505</v>
      </c>
      <c r="K3" s="7">
        <f t="shared" ref="K3:K66" si="4">G3/SUM($D3:$G3)*100</f>
        <v>0</v>
      </c>
    </row>
    <row r="4" spans="1:11" x14ac:dyDescent="0.35">
      <c r="A4">
        <v>2015</v>
      </c>
      <c r="B4">
        <v>3101706</v>
      </c>
      <c r="C4" t="str">
        <f>VLOOKUP(B4,SAEB!$A:$B,2,0)</f>
        <v>Almenara</v>
      </c>
      <c r="D4">
        <v>2445</v>
      </c>
      <c r="E4">
        <v>725</v>
      </c>
      <c r="F4">
        <v>597</v>
      </c>
      <c r="G4">
        <v>312</v>
      </c>
      <c r="H4" s="7">
        <f t="shared" si="1"/>
        <v>59.941162049521942</v>
      </c>
      <c r="I4" s="7">
        <f t="shared" si="2"/>
        <v>17.773964206913458</v>
      </c>
      <c r="J4" s="7">
        <f t="shared" si="3"/>
        <v>14.635940181417014</v>
      </c>
      <c r="K4" s="7">
        <f t="shared" si="4"/>
        <v>7.6489335621475849</v>
      </c>
    </row>
    <row r="5" spans="1:11" x14ac:dyDescent="0.35">
      <c r="A5">
        <v>2015</v>
      </c>
      <c r="B5">
        <v>3101805</v>
      </c>
      <c r="C5" t="str">
        <f>VLOOKUP(B5,SAEB!$A:$B,2,0)</f>
        <v>Alpercata</v>
      </c>
      <c r="D5">
        <v>451</v>
      </c>
      <c r="E5">
        <v>231</v>
      </c>
      <c r="F5">
        <v>83</v>
      </c>
      <c r="G5">
        <v>0</v>
      </c>
      <c r="H5" s="7">
        <f t="shared" si="1"/>
        <v>58.954248366013076</v>
      </c>
      <c r="I5" s="7">
        <f t="shared" si="2"/>
        <v>30.196078431372548</v>
      </c>
      <c r="J5" s="7">
        <f t="shared" si="3"/>
        <v>10.84967320261438</v>
      </c>
      <c r="K5" s="7">
        <f t="shared" si="4"/>
        <v>0</v>
      </c>
    </row>
    <row r="6" spans="1:11" x14ac:dyDescent="0.35">
      <c r="A6">
        <v>2015</v>
      </c>
      <c r="B6">
        <v>3102852</v>
      </c>
      <c r="C6" t="str">
        <f>VLOOKUP(B6,SAEB!$A:$B,2,0)</f>
        <v>Angelândia</v>
      </c>
      <c r="D6">
        <v>0</v>
      </c>
      <c r="E6">
        <v>0</v>
      </c>
      <c r="F6">
        <v>554</v>
      </c>
      <c r="G6">
        <v>0</v>
      </c>
      <c r="H6" s="7">
        <f t="shared" si="1"/>
        <v>0</v>
      </c>
      <c r="I6" s="7">
        <f t="shared" si="2"/>
        <v>0</v>
      </c>
      <c r="J6" s="7">
        <f t="shared" si="3"/>
        <v>100</v>
      </c>
      <c r="K6" s="7">
        <f t="shared" si="4"/>
        <v>0</v>
      </c>
    </row>
    <row r="7" spans="1:11" x14ac:dyDescent="0.35">
      <c r="A7">
        <v>2015</v>
      </c>
      <c r="B7">
        <v>3103405</v>
      </c>
      <c r="C7" t="str">
        <f>VLOOKUP(B7,SAEB!$A:$B,2,0)</f>
        <v>Araçuaí</v>
      </c>
      <c r="D7">
        <v>314</v>
      </c>
      <c r="E7">
        <v>0</v>
      </c>
      <c r="F7">
        <v>482</v>
      </c>
      <c r="G7">
        <v>401</v>
      </c>
      <c r="H7" s="7">
        <f t="shared" si="1"/>
        <v>26.232247284878863</v>
      </c>
      <c r="I7" s="7">
        <f t="shared" si="2"/>
        <v>0</v>
      </c>
      <c r="J7" s="7">
        <f t="shared" si="3"/>
        <v>40.267335004177106</v>
      </c>
      <c r="K7" s="7">
        <f t="shared" si="4"/>
        <v>33.500417710944028</v>
      </c>
    </row>
    <row r="8" spans="1:11" x14ac:dyDescent="0.35">
      <c r="A8">
        <v>2015</v>
      </c>
      <c r="B8">
        <v>3104452</v>
      </c>
      <c r="C8" t="str">
        <f>VLOOKUP(B8,SAEB!$A:$B,2,0)</f>
        <v>Aricanduva</v>
      </c>
      <c r="D8">
        <v>211</v>
      </c>
      <c r="E8">
        <v>0</v>
      </c>
      <c r="F8">
        <v>66</v>
      </c>
      <c r="G8">
        <v>0</v>
      </c>
      <c r="H8" s="7">
        <f t="shared" si="1"/>
        <v>76.173285198555945</v>
      </c>
      <c r="I8" s="7">
        <f t="shared" si="2"/>
        <v>0</v>
      </c>
      <c r="J8" s="7">
        <f t="shared" si="3"/>
        <v>23.826714801444044</v>
      </c>
      <c r="K8" s="7">
        <f t="shared" si="4"/>
        <v>0</v>
      </c>
    </row>
    <row r="9" spans="1:11" x14ac:dyDescent="0.35">
      <c r="A9">
        <v>2015</v>
      </c>
      <c r="B9">
        <v>3104502</v>
      </c>
      <c r="C9" t="str">
        <f>VLOOKUP(B9,SAEB!$A:$B,2,0)</f>
        <v>Arinos</v>
      </c>
      <c r="D9">
        <v>448</v>
      </c>
      <c r="E9">
        <v>0</v>
      </c>
      <c r="F9">
        <v>441</v>
      </c>
      <c r="G9">
        <v>266</v>
      </c>
      <c r="H9" s="7">
        <f t="shared" si="1"/>
        <v>38.787878787878789</v>
      </c>
      <c r="I9" s="7">
        <f t="shared" si="2"/>
        <v>0</v>
      </c>
      <c r="J9" s="7">
        <f t="shared" si="3"/>
        <v>38.181818181818187</v>
      </c>
      <c r="K9" s="7">
        <f t="shared" si="4"/>
        <v>23.030303030303031</v>
      </c>
    </row>
    <row r="10" spans="1:11" x14ac:dyDescent="0.35">
      <c r="A10">
        <v>2015</v>
      </c>
      <c r="B10">
        <v>3104700</v>
      </c>
      <c r="C10" t="str">
        <f>VLOOKUP(B10,SAEB!$A:$B,2,0)</f>
        <v>Ataléia</v>
      </c>
      <c r="D10">
        <v>221</v>
      </c>
      <c r="E10">
        <v>60</v>
      </c>
      <c r="F10">
        <v>253</v>
      </c>
      <c r="G10">
        <v>0</v>
      </c>
      <c r="H10" s="7">
        <f t="shared" si="1"/>
        <v>41.385767790262172</v>
      </c>
      <c r="I10" s="7">
        <f t="shared" si="2"/>
        <v>11.235955056179774</v>
      </c>
      <c r="J10" s="7">
        <f t="shared" si="3"/>
        <v>47.378277153558052</v>
      </c>
      <c r="K10" s="7">
        <f t="shared" si="4"/>
        <v>0</v>
      </c>
    </row>
    <row r="11" spans="1:11" x14ac:dyDescent="0.35">
      <c r="A11">
        <v>2015</v>
      </c>
      <c r="B11">
        <v>3105202</v>
      </c>
      <c r="C11" t="str">
        <f>VLOOKUP(B11,SAEB!$A:$B,2,0)</f>
        <v>Bandeira</v>
      </c>
      <c r="D11">
        <v>0</v>
      </c>
      <c r="E11">
        <v>0</v>
      </c>
      <c r="F11">
        <v>358</v>
      </c>
      <c r="G11">
        <v>73</v>
      </c>
      <c r="H11" s="7">
        <f t="shared" si="1"/>
        <v>0</v>
      </c>
      <c r="I11" s="7">
        <f t="shared" si="2"/>
        <v>0</v>
      </c>
      <c r="J11" s="7">
        <f t="shared" si="3"/>
        <v>83.062645011600935</v>
      </c>
      <c r="K11" s="7">
        <f t="shared" si="4"/>
        <v>16.937354988399072</v>
      </c>
    </row>
    <row r="12" spans="1:11" x14ac:dyDescent="0.35">
      <c r="A12">
        <v>2015</v>
      </c>
      <c r="B12">
        <v>3106655</v>
      </c>
      <c r="C12" t="str">
        <f>VLOOKUP(B12,SAEB!$A:$B,2,0)</f>
        <v>Berizal</v>
      </c>
      <c r="D12">
        <v>249</v>
      </c>
      <c r="E12">
        <v>0</v>
      </c>
      <c r="F12">
        <v>29</v>
      </c>
      <c r="G12">
        <v>0</v>
      </c>
      <c r="H12" s="7">
        <f t="shared" si="1"/>
        <v>89.568345323740999</v>
      </c>
      <c r="I12" s="7">
        <f t="shared" si="2"/>
        <v>0</v>
      </c>
      <c r="J12" s="7">
        <f t="shared" si="3"/>
        <v>10.431654676258994</v>
      </c>
      <c r="K12" s="7">
        <f t="shared" si="4"/>
        <v>0</v>
      </c>
    </row>
    <row r="13" spans="1:11" x14ac:dyDescent="0.35">
      <c r="A13">
        <v>2015</v>
      </c>
      <c r="B13">
        <v>3107307</v>
      </c>
      <c r="C13" t="str">
        <f>VLOOKUP(B13,SAEB!$A:$B,2,0)</f>
        <v>Bocaiúva</v>
      </c>
      <c r="D13">
        <v>572</v>
      </c>
      <c r="E13">
        <v>472</v>
      </c>
      <c r="F13">
        <v>387</v>
      </c>
      <c r="G13">
        <v>235</v>
      </c>
      <c r="H13" s="7">
        <f t="shared" si="1"/>
        <v>34.333733493397361</v>
      </c>
      <c r="I13" s="7">
        <f t="shared" si="2"/>
        <v>28.331332533013203</v>
      </c>
      <c r="J13" s="7">
        <f t="shared" si="3"/>
        <v>23.229291716686674</v>
      </c>
      <c r="K13" s="7">
        <f t="shared" si="4"/>
        <v>14.105642256902762</v>
      </c>
    </row>
    <row r="14" spans="1:11" x14ac:dyDescent="0.35">
      <c r="A14">
        <v>2015</v>
      </c>
      <c r="B14">
        <v>3108206</v>
      </c>
      <c r="C14" t="str">
        <f>VLOOKUP(B14,SAEB!$A:$B,2,0)</f>
        <v>Bonfinópolis de Minas</v>
      </c>
      <c r="D14">
        <v>268</v>
      </c>
      <c r="E14">
        <v>208</v>
      </c>
      <c r="F14">
        <v>30</v>
      </c>
      <c r="G14">
        <v>0</v>
      </c>
      <c r="H14" s="7">
        <f t="shared" si="1"/>
        <v>52.964426877470359</v>
      </c>
      <c r="I14" s="7">
        <f t="shared" si="2"/>
        <v>41.106719367588937</v>
      </c>
      <c r="J14" s="7">
        <f t="shared" si="3"/>
        <v>5.928853754940711</v>
      </c>
      <c r="K14" s="7">
        <f t="shared" si="4"/>
        <v>0</v>
      </c>
    </row>
    <row r="15" spans="1:11" x14ac:dyDescent="0.35">
      <c r="A15">
        <v>2015</v>
      </c>
      <c r="B15">
        <v>3108602</v>
      </c>
      <c r="C15" t="str">
        <f>VLOOKUP(B15,SAEB!$A:$B,2,0)</f>
        <v>Brasília de Minas</v>
      </c>
      <c r="D15">
        <v>0</v>
      </c>
      <c r="E15">
        <v>186</v>
      </c>
      <c r="F15">
        <v>426</v>
      </c>
      <c r="G15">
        <v>250</v>
      </c>
      <c r="H15" s="7">
        <f t="shared" si="1"/>
        <v>0</v>
      </c>
      <c r="I15" s="7">
        <f t="shared" si="2"/>
        <v>21.57772621809745</v>
      </c>
      <c r="J15" s="7">
        <f t="shared" si="3"/>
        <v>49.419953596287705</v>
      </c>
      <c r="K15" s="7">
        <f t="shared" si="4"/>
        <v>29.002320185614849</v>
      </c>
    </row>
    <row r="16" spans="1:11" x14ac:dyDescent="0.35">
      <c r="A16">
        <v>2015</v>
      </c>
      <c r="B16">
        <v>3109204</v>
      </c>
      <c r="C16" t="str">
        <f>VLOOKUP(B16,SAEB!$A:$B,2,0)</f>
        <v>Buenópolis</v>
      </c>
      <c r="D16">
        <v>548</v>
      </c>
      <c r="E16">
        <v>0</v>
      </c>
      <c r="F16">
        <v>64</v>
      </c>
      <c r="G16">
        <v>0</v>
      </c>
      <c r="H16" s="7">
        <f t="shared" si="1"/>
        <v>89.542483660130728</v>
      </c>
      <c r="I16" s="7">
        <f t="shared" si="2"/>
        <v>0</v>
      </c>
      <c r="J16" s="7">
        <f t="shared" si="3"/>
        <v>10.457516339869281</v>
      </c>
      <c r="K16" s="7">
        <f t="shared" si="4"/>
        <v>0</v>
      </c>
    </row>
    <row r="17" spans="1:11" x14ac:dyDescent="0.35">
      <c r="A17">
        <v>2015</v>
      </c>
      <c r="B17">
        <v>3109402</v>
      </c>
      <c r="C17" t="str">
        <f>VLOOKUP(B17,SAEB!$A:$B,2,0)</f>
        <v>Buritizeiro</v>
      </c>
      <c r="D17">
        <v>987</v>
      </c>
      <c r="E17">
        <v>0</v>
      </c>
      <c r="F17">
        <v>196</v>
      </c>
      <c r="G17">
        <v>0</v>
      </c>
      <c r="H17" s="7">
        <f t="shared" si="1"/>
        <v>83.431952662721898</v>
      </c>
      <c r="I17" s="7">
        <f t="shared" si="2"/>
        <v>0</v>
      </c>
      <c r="J17" s="7">
        <f t="shared" si="3"/>
        <v>16.568047337278109</v>
      </c>
      <c r="K17" s="7">
        <f t="shared" si="4"/>
        <v>0</v>
      </c>
    </row>
    <row r="18" spans="1:11" x14ac:dyDescent="0.35">
      <c r="A18">
        <v>2015</v>
      </c>
      <c r="B18">
        <v>3102704</v>
      </c>
      <c r="C18" t="str">
        <f>VLOOKUP(B18,SAEB!$A:$B,2,0)</f>
        <v>Cachoeira de Pajeú</v>
      </c>
      <c r="D18">
        <v>296</v>
      </c>
      <c r="E18">
        <v>0</v>
      </c>
      <c r="F18">
        <v>411</v>
      </c>
      <c r="G18">
        <v>157</v>
      </c>
      <c r="H18" s="7">
        <f t="shared" si="1"/>
        <v>34.25925925925926</v>
      </c>
      <c r="I18" s="7">
        <f t="shared" si="2"/>
        <v>0</v>
      </c>
      <c r="J18" s="7">
        <f t="shared" si="3"/>
        <v>47.569444444444443</v>
      </c>
      <c r="K18" s="7">
        <f t="shared" si="4"/>
        <v>18.171296296296298</v>
      </c>
    </row>
    <row r="19" spans="1:11" x14ac:dyDescent="0.35">
      <c r="A19">
        <v>2015</v>
      </c>
      <c r="B19">
        <v>3110806</v>
      </c>
      <c r="C19" t="str">
        <f>VLOOKUP(B19,SAEB!$A:$B,2,0)</f>
        <v>Campanário</v>
      </c>
      <c r="D19">
        <v>296</v>
      </c>
      <c r="E19">
        <v>0</v>
      </c>
      <c r="F19">
        <v>0</v>
      </c>
      <c r="G19">
        <v>0</v>
      </c>
      <c r="H19" s="7">
        <f t="shared" si="1"/>
        <v>100</v>
      </c>
      <c r="I19" s="7">
        <f t="shared" si="2"/>
        <v>0</v>
      </c>
      <c r="J19" s="7">
        <f t="shared" si="3"/>
        <v>0</v>
      </c>
      <c r="K19" s="7">
        <f t="shared" si="4"/>
        <v>0</v>
      </c>
    </row>
    <row r="20" spans="1:11" x14ac:dyDescent="0.35">
      <c r="A20">
        <v>2015</v>
      </c>
      <c r="B20">
        <v>3111150</v>
      </c>
      <c r="C20" t="str">
        <f>VLOOKUP(B20,SAEB!$A:$B,2,0)</f>
        <v>Campo Azul</v>
      </c>
      <c r="D20">
        <v>208</v>
      </c>
      <c r="E20">
        <v>0</v>
      </c>
      <c r="F20">
        <v>95</v>
      </c>
      <c r="G20">
        <v>78</v>
      </c>
      <c r="H20" s="7">
        <f t="shared" si="1"/>
        <v>54.593175853018373</v>
      </c>
      <c r="I20" s="7">
        <f t="shared" si="2"/>
        <v>0</v>
      </c>
      <c r="J20" s="7">
        <f t="shared" si="3"/>
        <v>24.934383202099738</v>
      </c>
      <c r="K20" s="7">
        <f t="shared" si="4"/>
        <v>20.472440944881889</v>
      </c>
    </row>
    <row r="21" spans="1:11" x14ac:dyDescent="0.35">
      <c r="A21">
        <v>2015</v>
      </c>
      <c r="B21">
        <v>3112059</v>
      </c>
      <c r="C21" t="str">
        <f>VLOOKUP(B21,SAEB!$A:$B,2,0)</f>
        <v>Cantagalo</v>
      </c>
      <c r="D21">
        <v>281</v>
      </c>
      <c r="E21">
        <v>0</v>
      </c>
      <c r="F21">
        <v>85</v>
      </c>
      <c r="G21">
        <v>0</v>
      </c>
      <c r="H21" s="7">
        <f t="shared" si="1"/>
        <v>76.775956284152997</v>
      </c>
      <c r="I21" s="7">
        <f t="shared" si="2"/>
        <v>0</v>
      </c>
      <c r="J21" s="7">
        <f t="shared" si="3"/>
        <v>23.224043715846996</v>
      </c>
      <c r="K21" s="7">
        <f t="shared" si="4"/>
        <v>0</v>
      </c>
    </row>
    <row r="22" spans="1:11" x14ac:dyDescent="0.35">
      <c r="A22">
        <v>2015</v>
      </c>
      <c r="B22">
        <v>3112307</v>
      </c>
      <c r="C22" t="str">
        <f>VLOOKUP(B22,SAEB!$A:$B,2,0)</f>
        <v>Capelinha</v>
      </c>
      <c r="D22">
        <v>0</v>
      </c>
      <c r="E22">
        <v>0</v>
      </c>
      <c r="F22">
        <v>931</v>
      </c>
      <c r="G22">
        <v>0</v>
      </c>
      <c r="H22" s="7">
        <f t="shared" si="1"/>
        <v>0</v>
      </c>
      <c r="I22" s="7">
        <f t="shared" si="2"/>
        <v>0</v>
      </c>
      <c r="J22" s="7">
        <f t="shared" si="3"/>
        <v>100</v>
      </c>
      <c r="K22" s="7">
        <f t="shared" si="4"/>
        <v>0</v>
      </c>
    </row>
    <row r="23" spans="1:11" x14ac:dyDescent="0.35">
      <c r="A23">
        <v>2015</v>
      </c>
      <c r="B23">
        <v>3112703</v>
      </c>
      <c r="C23" t="str">
        <f>VLOOKUP(B23,SAEB!$A:$B,2,0)</f>
        <v>Capitão Enéas</v>
      </c>
      <c r="D23">
        <v>605</v>
      </c>
      <c r="E23">
        <v>384</v>
      </c>
      <c r="F23">
        <v>179</v>
      </c>
      <c r="G23">
        <v>82</v>
      </c>
      <c r="H23" s="7">
        <f t="shared" si="1"/>
        <v>48.4</v>
      </c>
      <c r="I23" s="7">
        <f t="shared" si="2"/>
        <v>30.72</v>
      </c>
      <c r="J23" s="7">
        <f t="shared" si="3"/>
        <v>14.32</v>
      </c>
      <c r="K23" s="7">
        <f t="shared" si="4"/>
        <v>6.5600000000000005</v>
      </c>
    </row>
    <row r="24" spans="1:11" x14ac:dyDescent="0.35">
      <c r="A24">
        <v>2015</v>
      </c>
      <c r="B24">
        <v>3113008</v>
      </c>
      <c r="C24" t="str">
        <f>VLOOKUP(B24,SAEB!$A:$B,2,0)</f>
        <v>Caraí</v>
      </c>
      <c r="D24">
        <v>92</v>
      </c>
      <c r="E24">
        <v>217</v>
      </c>
      <c r="F24">
        <v>973</v>
      </c>
      <c r="G24">
        <v>442</v>
      </c>
      <c r="H24" s="7">
        <f t="shared" si="1"/>
        <v>5.3364269141531322</v>
      </c>
      <c r="I24" s="7">
        <f t="shared" si="2"/>
        <v>12.587006960556845</v>
      </c>
      <c r="J24" s="7">
        <f t="shared" si="3"/>
        <v>56.438515081206496</v>
      </c>
      <c r="K24" s="7">
        <f t="shared" si="4"/>
        <v>25.638051044083525</v>
      </c>
    </row>
    <row r="25" spans="1:11" x14ac:dyDescent="0.35">
      <c r="A25">
        <v>2015</v>
      </c>
      <c r="B25">
        <v>3113503</v>
      </c>
      <c r="C25" t="str">
        <f>VLOOKUP(B25,SAEB!$A:$B,2,0)</f>
        <v>Carbonita</v>
      </c>
      <c r="D25">
        <v>264</v>
      </c>
      <c r="E25">
        <v>0</v>
      </c>
      <c r="F25">
        <v>127</v>
      </c>
      <c r="G25">
        <v>149</v>
      </c>
      <c r="H25" s="7">
        <f t="shared" si="1"/>
        <v>48.888888888888886</v>
      </c>
      <c r="I25" s="7">
        <f t="shared" si="2"/>
        <v>0</v>
      </c>
      <c r="J25" s="7">
        <f t="shared" si="3"/>
        <v>23.518518518518519</v>
      </c>
      <c r="K25" s="7">
        <f t="shared" si="4"/>
        <v>27.592592592592592</v>
      </c>
    </row>
    <row r="26" spans="1:11" x14ac:dyDescent="0.35">
      <c r="A26">
        <v>2015</v>
      </c>
      <c r="B26">
        <v>3113701</v>
      </c>
      <c r="C26" t="str">
        <f>VLOOKUP(B26,SAEB!$A:$B,2,0)</f>
        <v>Carlos Chagas</v>
      </c>
      <c r="D26">
        <v>908</v>
      </c>
      <c r="E26">
        <v>207</v>
      </c>
      <c r="F26">
        <v>414</v>
      </c>
      <c r="G26">
        <v>193</v>
      </c>
      <c r="H26" s="7">
        <f t="shared" si="1"/>
        <v>52.729384436701508</v>
      </c>
      <c r="I26" s="7">
        <f t="shared" si="2"/>
        <v>12.020905923344948</v>
      </c>
      <c r="J26" s="7">
        <f t="shared" si="3"/>
        <v>24.041811846689896</v>
      </c>
      <c r="K26" s="7">
        <f t="shared" si="4"/>
        <v>11.207897793263646</v>
      </c>
    </row>
    <row r="27" spans="1:11" x14ac:dyDescent="0.35">
      <c r="A27">
        <v>2015</v>
      </c>
      <c r="B27">
        <v>3113800</v>
      </c>
      <c r="C27" t="str">
        <f>VLOOKUP(B27,SAEB!$A:$B,2,0)</f>
        <v>Carmésia</v>
      </c>
      <c r="D27">
        <v>153</v>
      </c>
      <c r="E27">
        <v>164</v>
      </c>
      <c r="F27">
        <v>0</v>
      </c>
      <c r="G27">
        <v>0</v>
      </c>
      <c r="H27" s="7">
        <f t="shared" si="1"/>
        <v>48.264984227129339</v>
      </c>
      <c r="I27" s="7">
        <f t="shared" si="2"/>
        <v>51.735015772870661</v>
      </c>
      <c r="J27" s="7">
        <f t="shared" si="3"/>
        <v>0</v>
      </c>
      <c r="K27" s="7">
        <f t="shared" si="4"/>
        <v>0</v>
      </c>
    </row>
    <row r="28" spans="1:11" x14ac:dyDescent="0.35">
      <c r="A28">
        <v>2015</v>
      </c>
      <c r="B28">
        <v>3115458</v>
      </c>
      <c r="C28" t="str">
        <f>VLOOKUP(B28,SAEB!$A:$B,2,0)</f>
        <v>Catuji</v>
      </c>
      <c r="D28">
        <v>317</v>
      </c>
      <c r="E28">
        <v>0</v>
      </c>
      <c r="F28">
        <v>354</v>
      </c>
      <c r="G28">
        <v>0</v>
      </c>
      <c r="H28" s="7">
        <f t="shared" si="1"/>
        <v>47.242921013412811</v>
      </c>
      <c r="I28" s="7">
        <f t="shared" si="2"/>
        <v>0</v>
      </c>
      <c r="J28" s="7">
        <f t="shared" si="3"/>
        <v>52.757078986587182</v>
      </c>
      <c r="K28" s="7">
        <f t="shared" si="4"/>
        <v>0</v>
      </c>
    </row>
    <row r="29" spans="1:11" x14ac:dyDescent="0.35">
      <c r="A29">
        <v>2015</v>
      </c>
      <c r="B29">
        <v>3115474</v>
      </c>
      <c r="C29" t="str">
        <f>VLOOKUP(B29,SAEB!$A:$B,2,0)</f>
        <v>Catuti</v>
      </c>
      <c r="D29">
        <v>161</v>
      </c>
      <c r="E29">
        <v>0</v>
      </c>
      <c r="F29">
        <v>126</v>
      </c>
      <c r="G29">
        <v>107</v>
      </c>
      <c r="H29" s="7">
        <f t="shared" si="1"/>
        <v>40.862944162436548</v>
      </c>
      <c r="I29" s="7">
        <f t="shared" si="2"/>
        <v>0</v>
      </c>
      <c r="J29" s="7">
        <f t="shared" si="3"/>
        <v>31.979695431472084</v>
      </c>
      <c r="K29" s="7">
        <f t="shared" si="4"/>
        <v>27.157360406091367</v>
      </c>
    </row>
    <row r="30" spans="1:11" x14ac:dyDescent="0.35">
      <c r="A30">
        <v>2015</v>
      </c>
      <c r="B30">
        <v>3116100</v>
      </c>
      <c r="C30" t="str">
        <f>VLOOKUP(B30,SAEB!$A:$B,2,0)</f>
        <v>Chapada do Norte</v>
      </c>
      <c r="D30">
        <v>228</v>
      </c>
      <c r="E30">
        <v>0</v>
      </c>
      <c r="F30">
        <v>371</v>
      </c>
      <c r="G30">
        <v>0</v>
      </c>
      <c r="H30" s="7">
        <f t="shared" si="1"/>
        <v>38.063439065108511</v>
      </c>
      <c r="I30" s="7">
        <f t="shared" si="2"/>
        <v>0</v>
      </c>
      <c r="J30" s="7">
        <f t="shared" si="3"/>
        <v>61.936560934891482</v>
      </c>
      <c r="K30" s="7">
        <f t="shared" si="4"/>
        <v>0</v>
      </c>
    </row>
    <row r="31" spans="1:11" x14ac:dyDescent="0.35">
      <c r="A31">
        <v>2015</v>
      </c>
      <c r="B31">
        <v>3116159</v>
      </c>
      <c r="C31" t="str">
        <f>VLOOKUP(B31,SAEB!$A:$B,2,0)</f>
        <v>Chapada Gaúcha</v>
      </c>
      <c r="D31">
        <v>483</v>
      </c>
      <c r="E31">
        <v>108</v>
      </c>
      <c r="F31">
        <v>361</v>
      </c>
      <c r="G31">
        <v>321</v>
      </c>
      <c r="H31" s="7">
        <f t="shared" si="1"/>
        <v>37.941869599371564</v>
      </c>
      <c r="I31" s="7">
        <f t="shared" si="2"/>
        <v>8.4838963079340139</v>
      </c>
      <c r="J31" s="7">
        <f t="shared" si="3"/>
        <v>28.35820895522388</v>
      </c>
      <c r="K31" s="7">
        <f t="shared" si="4"/>
        <v>25.216025137470545</v>
      </c>
    </row>
    <row r="32" spans="1:11" x14ac:dyDescent="0.35">
      <c r="A32">
        <v>2015</v>
      </c>
      <c r="B32">
        <v>3116506</v>
      </c>
      <c r="C32" t="str">
        <f>VLOOKUP(B32,SAEB!$A:$B,2,0)</f>
        <v>Claro dos Poções</v>
      </c>
      <c r="D32">
        <v>370</v>
      </c>
      <c r="E32">
        <v>0</v>
      </c>
      <c r="F32">
        <v>24</v>
      </c>
      <c r="G32">
        <v>21</v>
      </c>
      <c r="H32" s="7">
        <f t="shared" si="1"/>
        <v>89.156626506024097</v>
      </c>
      <c r="I32" s="7">
        <f t="shared" si="2"/>
        <v>0</v>
      </c>
      <c r="J32" s="7">
        <f t="shared" si="3"/>
        <v>5.7831325301204819</v>
      </c>
      <c r="K32" s="7">
        <f t="shared" si="4"/>
        <v>5.0602409638554215</v>
      </c>
    </row>
    <row r="33" spans="1:11" x14ac:dyDescent="0.35">
      <c r="A33">
        <v>2015</v>
      </c>
      <c r="B33">
        <v>3116803</v>
      </c>
      <c r="C33" t="str">
        <f>VLOOKUP(B33,SAEB!$A:$B,2,0)</f>
        <v>Coluna</v>
      </c>
      <c r="D33">
        <v>172</v>
      </c>
      <c r="E33">
        <v>0</v>
      </c>
      <c r="F33">
        <v>303</v>
      </c>
      <c r="G33">
        <v>0</v>
      </c>
      <c r="H33" s="7">
        <f t="shared" si="1"/>
        <v>36.21052631578948</v>
      </c>
      <c r="I33" s="7">
        <f t="shared" si="2"/>
        <v>0</v>
      </c>
      <c r="J33" s="7">
        <f t="shared" si="3"/>
        <v>63.789473684210527</v>
      </c>
      <c r="K33" s="7">
        <f t="shared" si="4"/>
        <v>0</v>
      </c>
    </row>
    <row r="34" spans="1:11" x14ac:dyDescent="0.35">
      <c r="A34">
        <v>2015</v>
      </c>
      <c r="B34">
        <v>3117009</v>
      </c>
      <c r="C34" t="str">
        <f>VLOOKUP(B34,SAEB!$A:$B,2,0)</f>
        <v>Comercinho</v>
      </c>
      <c r="D34">
        <v>302</v>
      </c>
      <c r="E34">
        <v>0</v>
      </c>
      <c r="F34">
        <v>255</v>
      </c>
      <c r="G34">
        <v>107</v>
      </c>
      <c r="H34" s="7">
        <f t="shared" si="1"/>
        <v>45.481927710843372</v>
      </c>
      <c r="I34" s="7">
        <f t="shared" si="2"/>
        <v>0</v>
      </c>
      <c r="J34" s="7">
        <f t="shared" si="3"/>
        <v>38.403614457831324</v>
      </c>
      <c r="K34" s="7">
        <f t="shared" si="4"/>
        <v>16.114457831325304</v>
      </c>
    </row>
    <row r="35" spans="1:11" x14ac:dyDescent="0.35">
      <c r="A35">
        <v>2015</v>
      </c>
      <c r="B35">
        <v>3118403</v>
      </c>
      <c r="C35" t="str">
        <f>VLOOKUP(B35,SAEB!$A:$B,2,0)</f>
        <v>Conselheiro Pena</v>
      </c>
      <c r="D35">
        <v>861</v>
      </c>
      <c r="E35">
        <v>105</v>
      </c>
      <c r="F35">
        <v>100</v>
      </c>
      <c r="G35">
        <v>64</v>
      </c>
      <c r="H35" s="7">
        <f t="shared" si="1"/>
        <v>76.194690265486727</v>
      </c>
      <c r="I35" s="7">
        <f t="shared" si="2"/>
        <v>9.2920353982300892</v>
      </c>
      <c r="J35" s="7">
        <f t="shared" si="3"/>
        <v>8.8495575221238933</v>
      </c>
      <c r="K35" s="7">
        <f t="shared" si="4"/>
        <v>5.663716814159292</v>
      </c>
    </row>
    <row r="36" spans="1:11" x14ac:dyDescent="0.35">
      <c r="A36">
        <v>2015</v>
      </c>
      <c r="B36">
        <v>3119104</v>
      </c>
      <c r="C36" t="str">
        <f>VLOOKUP(B36,SAEB!$A:$B,2,0)</f>
        <v>Corinto</v>
      </c>
      <c r="D36">
        <v>1520</v>
      </c>
      <c r="E36">
        <v>419</v>
      </c>
      <c r="F36">
        <v>12</v>
      </c>
      <c r="G36">
        <v>0</v>
      </c>
      <c r="H36" s="7">
        <f t="shared" si="1"/>
        <v>77.908764736032794</v>
      </c>
      <c r="I36" s="7">
        <f t="shared" si="2"/>
        <v>21.476166068682726</v>
      </c>
      <c r="J36" s="7">
        <f t="shared" si="3"/>
        <v>0.61506919528446957</v>
      </c>
      <c r="K36" s="7">
        <f t="shared" si="4"/>
        <v>0</v>
      </c>
    </row>
    <row r="37" spans="1:11" x14ac:dyDescent="0.35">
      <c r="A37">
        <v>2015</v>
      </c>
      <c r="B37">
        <v>3119203</v>
      </c>
      <c r="C37" t="str">
        <f>VLOOKUP(B37,SAEB!$A:$B,2,0)</f>
        <v>Coroaci</v>
      </c>
      <c r="D37">
        <v>421</v>
      </c>
      <c r="E37">
        <v>85</v>
      </c>
      <c r="F37">
        <v>243</v>
      </c>
      <c r="G37">
        <v>198</v>
      </c>
      <c r="H37" s="7">
        <f t="shared" si="1"/>
        <v>44.456177402323128</v>
      </c>
      <c r="I37" s="7">
        <f t="shared" si="2"/>
        <v>8.9757127771911307</v>
      </c>
      <c r="J37" s="7">
        <f t="shared" si="3"/>
        <v>25.659978880675823</v>
      </c>
      <c r="K37" s="7">
        <f t="shared" si="4"/>
        <v>20.908130939809926</v>
      </c>
    </row>
    <row r="38" spans="1:11" x14ac:dyDescent="0.35">
      <c r="A38">
        <v>2015</v>
      </c>
      <c r="B38">
        <v>3119500</v>
      </c>
      <c r="C38" t="str">
        <f>VLOOKUP(B38,SAEB!$A:$B,2,0)</f>
        <v>Coronel Murta</v>
      </c>
      <c r="D38">
        <v>477</v>
      </c>
      <c r="E38">
        <v>315</v>
      </c>
      <c r="F38">
        <v>55</v>
      </c>
      <c r="G38">
        <v>0</v>
      </c>
      <c r="H38" s="7">
        <f t="shared" si="1"/>
        <v>56.316410861865407</v>
      </c>
      <c r="I38" s="7">
        <f t="shared" si="2"/>
        <v>37.190082644628099</v>
      </c>
      <c r="J38" s="7">
        <f t="shared" si="3"/>
        <v>6.4935064935064926</v>
      </c>
      <c r="K38" s="7">
        <f t="shared" si="4"/>
        <v>0</v>
      </c>
    </row>
    <row r="39" spans="1:11" x14ac:dyDescent="0.35">
      <c r="A39">
        <v>2015</v>
      </c>
      <c r="B39">
        <v>3120151</v>
      </c>
      <c r="C39" t="str">
        <f>VLOOKUP(B39,SAEB!$A:$B,2,0)</f>
        <v>Crisólita</v>
      </c>
      <c r="D39">
        <v>447</v>
      </c>
      <c r="E39">
        <v>217</v>
      </c>
      <c r="F39">
        <v>15</v>
      </c>
      <c r="G39">
        <v>0</v>
      </c>
      <c r="H39" s="7">
        <f t="shared" si="1"/>
        <v>65.832106038291599</v>
      </c>
      <c r="I39" s="7">
        <f t="shared" si="2"/>
        <v>31.958762886597935</v>
      </c>
      <c r="J39" s="7">
        <f t="shared" si="3"/>
        <v>2.2091310751104567</v>
      </c>
      <c r="K39" s="7">
        <f t="shared" si="4"/>
        <v>0</v>
      </c>
    </row>
    <row r="40" spans="1:11" x14ac:dyDescent="0.35">
      <c r="A40">
        <v>2015</v>
      </c>
      <c r="B40">
        <v>3120870</v>
      </c>
      <c r="C40" t="str">
        <f>VLOOKUP(B40,SAEB!$A:$B,2,0)</f>
        <v>Curral de Dentro</v>
      </c>
      <c r="D40">
        <v>539</v>
      </c>
      <c r="E40">
        <v>0</v>
      </c>
      <c r="F40">
        <v>190</v>
      </c>
      <c r="G40">
        <v>0</v>
      </c>
      <c r="H40" s="7">
        <f t="shared" si="1"/>
        <v>73.936899862825783</v>
      </c>
      <c r="I40" s="7">
        <f t="shared" si="2"/>
        <v>0</v>
      </c>
      <c r="J40" s="7">
        <f t="shared" si="3"/>
        <v>26.06310013717421</v>
      </c>
      <c r="K40" s="7">
        <f t="shared" si="4"/>
        <v>0</v>
      </c>
    </row>
    <row r="41" spans="1:11" x14ac:dyDescent="0.35">
      <c r="A41">
        <v>2015</v>
      </c>
      <c r="B41">
        <v>3120904</v>
      </c>
      <c r="C41" t="str">
        <f>VLOOKUP(B41,SAEB!$A:$B,2,0)</f>
        <v>Curvelo</v>
      </c>
      <c r="D41">
        <v>4524</v>
      </c>
      <c r="E41">
        <v>0</v>
      </c>
      <c r="F41">
        <v>533</v>
      </c>
      <c r="G41">
        <v>0</v>
      </c>
      <c r="H41" s="7">
        <f t="shared" si="1"/>
        <v>89.460154241645242</v>
      </c>
      <c r="I41" s="7">
        <f t="shared" si="2"/>
        <v>0</v>
      </c>
      <c r="J41" s="7">
        <f t="shared" si="3"/>
        <v>10.539845758354756</v>
      </c>
      <c r="K41" s="7">
        <f t="shared" si="4"/>
        <v>0</v>
      </c>
    </row>
    <row r="42" spans="1:11" x14ac:dyDescent="0.35">
      <c r="A42">
        <v>2015</v>
      </c>
      <c r="B42">
        <v>3121001</v>
      </c>
      <c r="C42" t="str">
        <f>VLOOKUP(B42,SAEB!$A:$B,2,0)</f>
        <v>Datas</v>
      </c>
      <c r="D42">
        <v>277</v>
      </c>
      <c r="E42">
        <v>0</v>
      </c>
      <c r="F42">
        <v>144</v>
      </c>
      <c r="G42">
        <v>0</v>
      </c>
      <c r="H42" s="7">
        <f t="shared" si="1"/>
        <v>65.795724465558195</v>
      </c>
      <c r="I42" s="7">
        <f t="shared" si="2"/>
        <v>0</v>
      </c>
      <c r="J42" s="7">
        <f t="shared" si="3"/>
        <v>34.204275534441805</v>
      </c>
      <c r="K42" s="7">
        <f t="shared" si="4"/>
        <v>0</v>
      </c>
    </row>
    <row r="43" spans="1:11" x14ac:dyDescent="0.35">
      <c r="A43">
        <v>2015</v>
      </c>
      <c r="B43">
        <v>3121605</v>
      </c>
      <c r="C43" t="str">
        <f>VLOOKUP(B43,SAEB!$A:$B,2,0)</f>
        <v>Diamantina</v>
      </c>
      <c r="D43">
        <v>734</v>
      </c>
      <c r="E43">
        <v>427</v>
      </c>
      <c r="F43">
        <v>381</v>
      </c>
      <c r="G43">
        <v>170</v>
      </c>
      <c r="H43" s="7">
        <f t="shared" si="1"/>
        <v>42.873831775700936</v>
      </c>
      <c r="I43" s="7">
        <f t="shared" si="2"/>
        <v>24.941588785046729</v>
      </c>
      <c r="J43" s="7">
        <f t="shared" si="3"/>
        <v>22.254672897196262</v>
      </c>
      <c r="K43" s="7">
        <f t="shared" si="4"/>
        <v>9.9299065420560737</v>
      </c>
    </row>
    <row r="44" spans="1:11" x14ac:dyDescent="0.35">
      <c r="A44">
        <v>2015</v>
      </c>
      <c r="B44">
        <v>3122108</v>
      </c>
      <c r="C44" t="str">
        <f>VLOOKUP(B44,SAEB!$A:$B,2,0)</f>
        <v>Divino das Laranjeiras</v>
      </c>
      <c r="D44">
        <v>169</v>
      </c>
      <c r="E44">
        <v>0</v>
      </c>
      <c r="F44">
        <v>0</v>
      </c>
      <c r="G44">
        <v>0</v>
      </c>
      <c r="H44" s="7">
        <f t="shared" si="1"/>
        <v>100</v>
      </c>
      <c r="I44" s="7">
        <f t="shared" si="2"/>
        <v>0</v>
      </c>
      <c r="J44" s="7">
        <f t="shared" si="3"/>
        <v>0</v>
      </c>
      <c r="K44" s="7">
        <f t="shared" si="4"/>
        <v>0</v>
      </c>
    </row>
    <row r="45" spans="1:11" x14ac:dyDescent="0.35">
      <c r="A45">
        <v>2015</v>
      </c>
      <c r="B45">
        <v>3122207</v>
      </c>
      <c r="C45" t="str">
        <f>VLOOKUP(B45,SAEB!$A:$B,2,0)</f>
        <v>Divinolândia de Minas</v>
      </c>
      <c r="D45">
        <v>423</v>
      </c>
      <c r="E45">
        <v>0</v>
      </c>
      <c r="F45">
        <v>139</v>
      </c>
      <c r="G45">
        <v>0</v>
      </c>
      <c r="H45" s="7">
        <f t="shared" si="1"/>
        <v>75.266903914590742</v>
      </c>
      <c r="I45" s="7">
        <f t="shared" si="2"/>
        <v>0</v>
      </c>
      <c r="J45" s="7">
        <f t="shared" si="3"/>
        <v>24.733096085409255</v>
      </c>
      <c r="K45" s="7">
        <f t="shared" si="4"/>
        <v>0</v>
      </c>
    </row>
    <row r="46" spans="1:11" x14ac:dyDescent="0.35">
      <c r="A46">
        <v>2015</v>
      </c>
      <c r="B46">
        <v>3122454</v>
      </c>
      <c r="C46" t="str">
        <f>VLOOKUP(B46,SAEB!$A:$B,2,0)</f>
        <v>Divisópolis</v>
      </c>
      <c r="D46">
        <v>588</v>
      </c>
      <c r="E46">
        <v>0</v>
      </c>
      <c r="F46">
        <v>95</v>
      </c>
      <c r="G46">
        <v>0</v>
      </c>
      <c r="H46" s="7">
        <f t="shared" si="1"/>
        <v>86.090775988286978</v>
      </c>
      <c r="I46" s="7">
        <f t="shared" si="2"/>
        <v>0</v>
      </c>
      <c r="J46" s="7">
        <f t="shared" si="3"/>
        <v>13.909224011713031</v>
      </c>
      <c r="K46" s="7">
        <f t="shared" si="4"/>
        <v>0</v>
      </c>
    </row>
    <row r="47" spans="1:11" x14ac:dyDescent="0.35">
      <c r="A47">
        <v>2015</v>
      </c>
      <c r="B47">
        <v>3122470</v>
      </c>
      <c r="C47" t="str">
        <f>VLOOKUP(B47,SAEB!$A:$B,2,0)</f>
        <v>Dom Bosco</v>
      </c>
      <c r="D47">
        <v>44</v>
      </c>
      <c r="E47">
        <v>68</v>
      </c>
      <c r="F47">
        <v>69</v>
      </c>
      <c r="G47">
        <v>0</v>
      </c>
      <c r="H47" s="7">
        <f t="shared" si="1"/>
        <v>24.30939226519337</v>
      </c>
      <c r="I47" s="7">
        <f t="shared" si="2"/>
        <v>37.569060773480665</v>
      </c>
      <c r="J47" s="7">
        <f t="shared" si="3"/>
        <v>38.121546961325969</v>
      </c>
      <c r="K47" s="7">
        <f t="shared" si="4"/>
        <v>0</v>
      </c>
    </row>
    <row r="48" spans="1:11" x14ac:dyDescent="0.35">
      <c r="A48">
        <v>2015</v>
      </c>
      <c r="B48">
        <v>3123106</v>
      </c>
      <c r="C48" t="str">
        <f>VLOOKUP(B48,SAEB!$A:$B,2,0)</f>
        <v>Dores de Guanhães</v>
      </c>
      <c r="D48">
        <v>260</v>
      </c>
      <c r="E48">
        <v>0</v>
      </c>
      <c r="F48">
        <v>96</v>
      </c>
      <c r="G48">
        <v>0</v>
      </c>
      <c r="H48" s="7">
        <f t="shared" si="1"/>
        <v>73.033707865168537</v>
      </c>
      <c r="I48" s="7">
        <f t="shared" si="2"/>
        <v>0</v>
      </c>
      <c r="J48" s="7">
        <f t="shared" si="3"/>
        <v>26.966292134831459</v>
      </c>
      <c r="K48" s="7">
        <f t="shared" si="4"/>
        <v>0</v>
      </c>
    </row>
    <row r="49" spans="1:11" x14ac:dyDescent="0.35">
      <c r="A49">
        <v>2015</v>
      </c>
      <c r="B49">
        <v>3123700</v>
      </c>
      <c r="C49" t="str">
        <f>VLOOKUP(B49,SAEB!$A:$B,2,0)</f>
        <v>Engenheiro Caldas</v>
      </c>
      <c r="D49">
        <v>815</v>
      </c>
      <c r="E49">
        <v>200</v>
      </c>
      <c r="F49">
        <v>0</v>
      </c>
      <c r="G49">
        <v>0</v>
      </c>
      <c r="H49" s="7">
        <f t="shared" si="1"/>
        <v>80.29556650246306</v>
      </c>
      <c r="I49" s="7">
        <f t="shared" si="2"/>
        <v>19.704433497536947</v>
      </c>
      <c r="J49" s="7">
        <f t="shared" si="3"/>
        <v>0</v>
      </c>
      <c r="K49" s="7">
        <f t="shared" si="4"/>
        <v>0</v>
      </c>
    </row>
    <row r="50" spans="1:11" x14ac:dyDescent="0.35">
      <c r="A50">
        <v>2015</v>
      </c>
      <c r="B50">
        <v>3123809</v>
      </c>
      <c r="C50" t="str">
        <f>VLOOKUP(B50,SAEB!$A:$B,2,0)</f>
        <v>Engenheiro Navarro</v>
      </c>
      <c r="D50">
        <v>440</v>
      </c>
      <c r="E50">
        <v>0</v>
      </c>
      <c r="F50">
        <v>51</v>
      </c>
      <c r="G50">
        <v>0</v>
      </c>
      <c r="H50" s="7">
        <f t="shared" si="1"/>
        <v>89.613034623217928</v>
      </c>
      <c r="I50" s="7">
        <f t="shared" si="2"/>
        <v>0</v>
      </c>
      <c r="J50" s="7">
        <f t="shared" si="3"/>
        <v>10.386965376782078</v>
      </c>
      <c r="K50" s="7">
        <f t="shared" si="4"/>
        <v>0</v>
      </c>
    </row>
    <row r="51" spans="1:11" x14ac:dyDescent="0.35">
      <c r="A51">
        <v>2015</v>
      </c>
      <c r="B51">
        <v>3124302</v>
      </c>
      <c r="C51" t="str">
        <f>VLOOKUP(B51,SAEB!$A:$B,2,0)</f>
        <v>Espinosa</v>
      </c>
      <c r="D51">
        <v>463</v>
      </c>
      <c r="E51">
        <v>0</v>
      </c>
      <c r="F51">
        <v>628</v>
      </c>
      <c r="G51">
        <v>0</v>
      </c>
      <c r="H51" s="7">
        <f t="shared" si="1"/>
        <v>42.438130155820346</v>
      </c>
      <c r="I51" s="7">
        <f t="shared" si="2"/>
        <v>0</v>
      </c>
      <c r="J51" s="7">
        <f t="shared" si="3"/>
        <v>57.561869844179647</v>
      </c>
      <c r="K51" s="7">
        <f t="shared" si="4"/>
        <v>0</v>
      </c>
    </row>
    <row r="52" spans="1:11" x14ac:dyDescent="0.35">
      <c r="A52">
        <v>2015</v>
      </c>
      <c r="B52">
        <v>3125408</v>
      </c>
      <c r="C52" t="str">
        <f>VLOOKUP(B52,SAEB!$A:$B,2,0)</f>
        <v>Felício dos Santos</v>
      </c>
      <c r="D52">
        <v>0</v>
      </c>
      <c r="E52">
        <v>0</v>
      </c>
      <c r="F52">
        <v>351</v>
      </c>
      <c r="G52">
        <v>0</v>
      </c>
      <c r="H52" s="7">
        <f t="shared" si="1"/>
        <v>0</v>
      </c>
      <c r="I52" s="7">
        <f t="shared" si="2"/>
        <v>0</v>
      </c>
      <c r="J52" s="7">
        <f t="shared" si="3"/>
        <v>100</v>
      </c>
      <c r="K52" s="7">
        <f t="shared" si="4"/>
        <v>0</v>
      </c>
    </row>
    <row r="53" spans="1:11" x14ac:dyDescent="0.35">
      <c r="A53">
        <v>2015</v>
      </c>
      <c r="B53">
        <v>3125705</v>
      </c>
      <c r="C53" t="str">
        <f>VLOOKUP(B53,SAEB!$A:$B,2,0)</f>
        <v>Felixlândia</v>
      </c>
      <c r="D53">
        <v>764</v>
      </c>
      <c r="E53">
        <v>548</v>
      </c>
      <c r="F53">
        <v>78</v>
      </c>
      <c r="G53">
        <v>0</v>
      </c>
      <c r="H53" s="7">
        <f t="shared" si="1"/>
        <v>54.964028776978409</v>
      </c>
      <c r="I53" s="7">
        <f t="shared" si="2"/>
        <v>39.42446043165468</v>
      </c>
      <c r="J53" s="7">
        <f t="shared" si="3"/>
        <v>5.6115107913669062</v>
      </c>
      <c r="K53" s="7">
        <f t="shared" si="4"/>
        <v>0</v>
      </c>
    </row>
    <row r="54" spans="1:11" x14ac:dyDescent="0.35">
      <c r="A54">
        <v>2015</v>
      </c>
      <c r="B54">
        <v>3126604</v>
      </c>
      <c r="C54" t="str">
        <f>VLOOKUP(B54,SAEB!$A:$B,2,0)</f>
        <v>Francisco Dumont</v>
      </c>
      <c r="D54">
        <v>318</v>
      </c>
      <c r="E54">
        <v>0</v>
      </c>
      <c r="F54">
        <v>62</v>
      </c>
      <c r="G54">
        <v>43</v>
      </c>
      <c r="H54" s="7">
        <f t="shared" si="1"/>
        <v>75.177304964539005</v>
      </c>
      <c r="I54" s="7">
        <f t="shared" si="2"/>
        <v>0</v>
      </c>
      <c r="J54" s="7">
        <f t="shared" si="3"/>
        <v>14.657210401891252</v>
      </c>
      <c r="K54" s="7">
        <f t="shared" si="4"/>
        <v>10.16548463356974</v>
      </c>
    </row>
    <row r="55" spans="1:11" x14ac:dyDescent="0.35">
      <c r="A55">
        <v>2015</v>
      </c>
      <c r="B55">
        <v>3126703</v>
      </c>
      <c r="C55" t="str">
        <f>VLOOKUP(B55,SAEB!$A:$B,2,0)</f>
        <v>Francisco Sá</v>
      </c>
      <c r="D55">
        <v>347</v>
      </c>
      <c r="E55">
        <v>156</v>
      </c>
      <c r="F55">
        <v>382</v>
      </c>
      <c r="G55">
        <v>104</v>
      </c>
      <c r="H55" s="7">
        <f t="shared" si="1"/>
        <v>35.085945399393324</v>
      </c>
      <c r="I55" s="7">
        <f t="shared" si="2"/>
        <v>15.773508594539939</v>
      </c>
      <c r="J55" s="7">
        <f t="shared" si="3"/>
        <v>38.624873609706775</v>
      </c>
      <c r="K55" s="7">
        <f t="shared" si="4"/>
        <v>10.51567239635996</v>
      </c>
    </row>
    <row r="56" spans="1:11" x14ac:dyDescent="0.35">
      <c r="A56">
        <v>2015</v>
      </c>
      <c r="B56">
        <v>3126901</v>
      </c>
      <c r="C56" t="str">
        <f>VLOOKUP(B56,SAEB!$A:$B,2,0)</f>
        <v>Frei Inocêncio</v>
      </c>
      <c r="D56">
        <v>314</v>
      </c>
      <c r="E56">
        <v>0</v>
      </c>
      <c r="F56">
        <v>91</v>
      </c>
      <c r="G56">
        <v>38</v>
      </c>
      <c r="H56" s="7">
        <f t="shared" si="1"/>
        <v>70.880361173814904</v>
      </c>
      <c r="I56" s="7">
        <f t="shared" si="2"/>
        <v>0</v>
      </c>
      <c r="J56" s="7">
        <f t="shared" si="3"/>
        <v>20.541760722347629</v>
      </c>
      <c r="K56" s="7">
        <f t="shared" si="4"/>
        <v>8.5778781038374721</v>
      </c>
    </row>
    <row r="57" spans="1:11" x14ac:dyDescent="0.35">
      <c r="A57">
        <v>2015</v>
      </c>
      <c r="B57">
        <v>3127073</v>
      </c>
      <c r="C57" t="str">
        <f>VLOOKUP(B57,SAEB!$A:$B,2,0)</f>
        <v>Fruta de Leite</v>
      </c>
      <c r="D57">
        <v>0</v>
      </c>
      <c r="E57">
        <v>0</v>
      </c>
      <c r="F57">
        <v>334</v>
      </c>
      <c r="G57">
        <v>0</v>
      </c>
      <c r="H57" s="7">
        <f t="shared" si="1"/>
        <v>0</v>
      </c>
      <c r="I57" s="7">
        <f t="shared" si="2"/>
        <v>0</v>
      </c>
      <c r="J57" s="7">
        <f t="shared" si="3"/>
        <v>100</v>
      </c>
      <c r="K57" s="7">
        <f t="shared" si="4"/>
        <v>0</v>
      </c>
    </row>
    <row r="58" spans="1:11" x14ac:dyDescent="0.35">
      <c r="A58">
        <v>2015</v>
      </c>
      <c r="B58">
        <v>3127354</v>
      </c>
      <c r="C58" t="str">
        <f>VLOOKUP(B58,SAEB!$A:$B,2,0)</f>
        <v>Glaucilândia</v>
      </c>
      <c r="D58">
        <v>122</v>
      </c>
      <c r="E58">
        <v>0</v>
      </c>
      <c r="F58">
        <v>103</v>
      </c>
      <c r="G58">
        <v>0</v>
      </c>
      <c r="H58" s="7">
        <f t="shared" si="1"/>
        <v>54.222222222222229</v>
      </c>
      <c r="I58" s="7">
        <f t="shared" si="2"/>
        <v>0</v>
      </c>
      <c r="J58" s="7">
        <f t="shared" si="3"/>
        <v>45.777777777777779</v>
      </c>
      <c r="K58" s="7">
        <f t="shared" si="4"/>
        <v>0</v>
      </c>
    </row>
    <row r="59" spans="1:11" x14ac:dyDescent="0.35">
      <c r="A59">
        <v>2015</v>
      </c>
      <c r="B59">
        <v>3127503</v>
      </c>
      <c r="C59" t="str">
        <f>VLOOKUP(B59,SAEB!$A:$B,2,0)</f>
        <v>Gonzaga</v>
      </c>
      <c r="D59">
        <v>300</v>
      </c>
      <c r="E59">
        <v>0</v>
      </c>
      <c r="F59">
        <v>133</v>
      </c>
      <c r="G59">
        <v>0</v>
      </c>
      <c r="H59" s="7">
        <f t="shared" si="1"/>
        <v>69.284064665127019</v>
      </c>
      <c r="I59" s="7">
        <f t="shared" si="2"/>
        <v>0</v>
      </c>
      <c r="J59" s="7">
        <f t="shared" si="3"/>
        <v>30.715935334872981</v>
      </c>
      <c r="K59" s="7">
        <f t="shared" si="4"/>
        <v>0</v>
      </c>
    </row>
    <row r="60" spans="1:11" x14ac:dyDescent="0.35">
      <c r="A60">
        <v>2015</v>
      </c>
      <c r="B60">
        <v>3127602</v>
      </c>
      <c r="C60" t="str">
        <f>VLOOKUP(B60,SAEB!$A:$B,2,0)</f>
        <v>Gouveia</v>
      </c>
      <c r="D60">
        <v>329</v>
      </c>
      <c r="E60">
        <v>0</v>
      </c>
      <c r="F60">
        <v>111</v>
      </c>
      <c r="G60">
        <v>117</v>
      </c>
      <c r="H60" s="7">
        <f t="shared" si="1"/>
        <v>59.066427289048477</v>
      </c>
      <c r="I60" s="7">
        <f t="shared" si="2"/>
        <v>0</v>
      </c>
      <c r="J60" s="7">
        <f t="shared" si="3"/>
        <v>19.928186714542189</v>
      </c>
      <c r="K60" s="7">
        <f t="shared" si="4"/>
        <v>21.005385996409338</v>
      </c>
    </row>
    <row r="61" spans="1:11" x14ac:dyDescent="0.35">
      <c r="A61">
        <v>2015</v>
      </c>
      <c r="B61">
        <v>3127701</v>
      </c>
      <c r="C61" t="str">
        <f>VLOOKUP(B61,SAEB!$A:$B,2,0)</f>
        <v>Governador Valadares</v>
      </c>
      <c r="D61">
        <v>5967</v>
      </c>
      <c r="E61">
        <v>4269</v>
      </c>
      <c r="F61">
        <v>431</v>
      </c>
      <c r="G61">
        <v>322</v>
      </c>
      <c r="H61" s="7">
        <f t="shared" si="1"/>
        <v>54.299754299754298</v>
      </c>
      <c r="I61" s="7">
        <f t="shared" si="2"/>
        <v>38.847938847938849</v>
      </c>
      <c r="J61" s="7">
        <f t="shared" si="3"/>
        <v>3.922103922103922</v>
      </c>
      <c r="K61" s="7">
        <f t="shared" si="4"/>
        <v>2.9302029302029302</v>
      </c>
    </row>
    <row r="62" spans="1:11" x14ac:dyDescent="0.35">
      <c r="A62">
        <v>2015</v>
      </c>
      <c r="B62">
        <v>3128006</v>
      </c>
      <c r="C62" t="str">
        <f>VLOOKUP(B62,SAEB!$A:$B,2,0)</f>
        <v>Guanhães</v>
      </c>
      <c r="D62">
        <v>1079</v>
      </c>
      <c r="E62">
        <v>0</v>
      </c>
      <c r="F62">
        <v>189</v>
      </c>
      <c r="G62">
        <v>0</v>
      </c>
      <c r="H62" s="7">
        <f t="shared" si="1"/>
        <v>85.094637223974772</v>
      </c>
      <c r="I62" s="7">
        <f t="shared" si="2"/>
        <v>0</v>
      </c>
      <c r="J62" s="7">
        <f t="shared" si="3"/>
        <v>14.905362776025235</v>
      </c>
      <c r="K62" s="7">
        <f t="shared" si="4"/>
        <v>0</v>
      </c>
    </row>
    <row r="63" spans="1:11" x14ac:dyDescent="0.35">
      <c r="A63">
        <v>2015</v>
      </c>
      <c r="B63">
        <v>3128253</v>
      </c>
      <c r="C63" t="str">
        <f>VLOOKUP(B63,SAEB!$A:$B,2,0)</f>
        <v>Guaraciama</v>
      </c>
      <c r="D63">
        <v>349</v>
      </c>
      <c r="E63">
        <v>0</v>
      </c>
      <c r="F63">
        <v>27</v>
      </c>
      <c r="G63">
        <v>0</v>
      </c>
      <c r="H63" s="7">
        <f t="shared" si="1"/>
        <v>92.819148936170208</v>
      </c>
      <c r="I63" s="7">
        <f t="shared" si="2"/>
        <v>0</v>
      </c>
      <c r="J63" s="7">
        <f t="shared" si="3"/>
        <v>7.1808510638297882</v>
      </c>
      <c r="K63" s="7">
        <f t="shared" si="4"/>
        <v>0</v>
      </c>
    </row>
    <row r="64" spans="1:11" x14ac:dyDescent="0.35">
      <c r="A64">
        <v>2015</v>
      </c>
      <c r="B64">
        <v>3129657</v>
      </c>
      <c r="C64" t="str">
        <f>VLOOKUP(B64,SAEB!$A:$B,2,0)</f>
        <v>Ibiracatu</v>
      </c>
      <c r="D64">
        <v>147</v>
      </c>
      <c r="E64">
        <v>178</v>
      </c>
      <c r="F64">
        <v>126</v>
      </c>
      <c r="G64">
        <v>85</v>
      </c>
      <c r="H64" s="7">
        <f t="shared" si="1"/>
        <v>27.425373134328357</v>
      </c>
      <c r="I64" s="7">
        <f t="shared" si="2"/>
        <v>33.208955223880601</v>
      </c>
      <c r="J64" s="7">
        <f t="shared" si="3"/>
        <v>23.507462686567166</v>
      </c>
      <c r="K64" s="7">
        <f t="shared" si="4"/>
        <v>15.858208955223882</v>
      </c>
    </row>
    <row r="65" spans="1:11" x14ac:dyDescent="0.35">
      <c r="A65">
        <v>2015</v>
      </c>
      <c r="B65">
        <v>3130051</v>
      </c>
      <c r="C65" t="str">
        <f>VLOOKUP(B65,SAEB!$A:$B,2,0)</f>
        <v>Icaraí de Minas</v>
      </c>
      <c r="D65">
        <v>319</v>
      </c>
      <c r="E65">
        <v>0</v>
      </c>
      <c r="F65">
        <v>164</v>
      </c>
      <c r="G65">
        <v>0</v>
      </c>
      <c r="H65" s="7">
        <f t="shared" si="1"/>
        <v>66.0455486542443</v>
      </c>
      <c r="I65" s="7">
        <f t="shared" si="2"/>
        <v>0</v>
      </c>
      <c r="J65" s="7">
        <f t="shared" si="3"/>
        <v>33.954451345755693</v>
      </c>
      <c r="K65" s="7">
        <f t="shared" si="4"/>
        <v>0</v>
      </c>
    </row>
    <row r="66" spans="1:11" x14ac:dyDescent="0.35">
      <c r="A66">
        <v>2015</v>
      </c>
      <c r="B66">
        <v>3130556</v>
      </c>
      <c r="C66" t="str">
        <f>VLOOKUP(B66,SAEB!$A:$B,2,0)</f>
        <v>Imbé de Minas</v>
      </c>
      <c r="D66">
        <v>264</v>
      </c>
      <c r="E66">
        <v>0</v>
      </c>
      <c r="F66">
        <v>190</v>
      </c>
      <c r="G66">
        <v>0</v>
      </c>
      <c r="H66" s="7">
        <f t="shared" si="1"/>
        <v>58.149779735682813</v>
      </c>
      <c r="I66" s="7">
        <f t="shared" si="2"/>
        <v>0</v>
      </c>
      <c r="J66" s="7">
        <f t="shared" si="3"/>
        <v>41.85022026431718</v>
      </c>
      <c r="K66" s="7">
        <f t="shared" si="4"/>
        <v>0</v>
      </c>
    </row>
    <row r="67" spans="1:11" x14ac:dyDescent="0.35">
      <c r="A67">
        <v>2015</v>
      </c>
      <c r="B67">
        <v>3130655</v>
      </c>
      <c r="C67" t="str">
        <f>VLOOKUP(B67,SAEB!$A:$B,2,0)</f>
        <v>Indaiabira</v>
      </c>
      <c r="D67">
        <v>196</v>
      </c>
      <c r="E67">
        <v>0</v>
      </c>
      <c r="F67">
        <v>212</v>
      </c>
      <c r="G67">
        <v>105</v>
      </c>
      <c r="H67" s="7">
        <f t="shared" ref="H67:H130" si="5">D67/SUM($D67:$G67)*100</f>
        <v>38.20662768031189</v>
      </c>
      <c r="I67" s="7">
        <f t="shared" ref="I67:I130" si="6">E67/SUM($D67:$G67)*100</f>
        <v>0</v>
      </c>
      <c r="J67" s="7">
        <f t="shared" ref="J67:J130" si="7">F67/SUM($D67:$G67)*100</f>
        <v>41.325536062378163</v>
      </c>
      <c r="K67" s="7">
        <f t="shared" ref="K67:K130" si="8">G67/SUM($D67:$G67)*100</f>
        <v>20.467836257309941</v>
      </c>
    </row>
    <row r="68" spans="1:11" x14ac:dyDescent="0.35">
      <c r="A68">
        <v>2015</v>
      </c>
      <c r="B68">
        <v>3130903</v>
      </c>
      <c r="C68" t="str">
        <f>VLOOKUP(B68,SAEB!$A:$B,2,0)</f>
        <v>Inhapim</v>
      </c>
      <c r="D68">
        <v>374</v>
      </c>
      <c r="E68">
        <v>0</v>
      </c>
      <c r="F68">
        <v>574</v>
      </c>
      <c r="G68">
        <v>86</v>
      </c>
      <c r="H68" s="7">
        <f t="shared" si="5"/>
        <v>36.170212765957451</v>
      </c>
      <c r="I68" s="7">
        <f t="shared" si="6"/>
        <v>0</v>
      </c>
      <c r="J68" s="7">
        <f t="shared" si="7"/>
        <v>55.512572533849124</v>
      </c>
      <c r="K68" s="7">
        <f t="shared" si="8"/>
        <v>8.3172147001934231</v>
      </c>
    </row>
    <row r="69" spans="1:11" x14ac:dyDescent="0.35">
      <c r="A69">
        <v>2015</v>
      </c>
      <c r="B69">
        <v>3131109</v>
      </c>
      <c r="C69" t="str">
        <f>VLOOKUP(B69,SAEB!$A:$B,2,0)</f>
        <v>Inimutaba</v>
      </c>
      <c r="D69">
        <v>368</v>
      </c>
      <c r="E69">
        <v>0</v>
      </c>
      <c r="F69">
        <v>118</v>
      </c>
      <c r="G69">
        <v>0</v>
      </c>
      <c r="H69" s="7">
        <f t="shared" si="5"/>
        <v>75.720164609053498</v>
      </c>
      <c r="I69" s="7">
        <f t="shared" si="6"/>
        <v>0</v>
      </c>
      <c r="J69" s="7">
        <f t="shared" si="7"/>
        <v>24.279835390946502</v>
      </c>
      <c r="K69" s="7">
        <f t="shared" si="8"/>
        <v>0</v>
      </c>
    </row>
    <row r="70" spans="1:11" x14ac:dyDescent="0.35">
      <c r="A70">
        <v>2015</v>
      </c>
      <c r="B70">
        <v>3131208</v>
      </c>
      <c r="C70" t="str">
        <f>VLOOKUP(B70,SAEB!$A:$B,2,0)</f>
        <v>Ipanema</v>
      </c>
      <c r="D70">
        <v>615</v>
      </c>
      <c r="E70">
        <v>147</v>
      </c>
      <c r="F70">
        <v>91</v>
      </c>
      <c r="G70">
        <v>51</v>
      </c>
      <c r="H70" s="7">
        <f t="shared" si="5"/>
        <v>68.030973451327441</v>
      </c>
      <c r="I70" s="7">
        <f t="shared" si="6"/>
        <v>16.261061946902654</v>
      </c>
      <c r="J70" s="7">
        <f t="shared" si="7"/>
        <v>10.06637168141593</v>
      </c>
      <c r="K70" s="7">
        <f t="shared" si="8"/>
        <v>5.6415929203539816</v>
      </c>
    </row>
    <row r="71" spans="1:11" x14ac:dyDescent="0.35">
      <c r="A71">
        <v>2015</v>
      </c>
      <c r="B71">
        <v>3131802</v>
      </c>
      <c r="C71" t="str">
        <f>VLOOKUP(B71,SAEB!$A:$B,2,0)</f>
        <v>Itabirinha</v>
      </c>
      <c r="D71">
        <v>547</v>
      </c>
      <c r="E71">
        <v>0</v>
      </c>
      <c r="F71">
        <v>139</v>
      </c>
      <c r="G71">
        <v>0</v>
      </c>
      <c r="H71" s="7">
        <f t="shared" si="5"/>
        <v>79.737609329446073</v>
      </c>
      <c r="I71" s="7">
        <f t="shared" si="6"/>
        <v>0</v>
      </c>
      <c r="J71" s="7">
        <f t="shared" si="7"/>
        <v>20.262390670553938</v>
      </c>
      <c r="K71" s="7">
        <f t="shared" si="8"/>
        <v>0</v>
      </c>
    </row>
    <row r="72" spans="1:11" x14ac:dyDescent="0.35">
      <c r="A72">
        <v>2015</v>
      </c>
      <c r="B72">
        <v>3132107</v>
      </c>
      <c r="C72" t="str">
        <f>VLOOKUP(B72,SAEB!$A:$B,2,0)</f>
        <v>Itacarambi</v>
      </c>
      <c r="D72">
        <v>1109</v>
      </c>
      <c r="E72">
        <v>1061</v>
      </c>
      <c r="F72">
        <v>191</v>
      </c>
      <c r="G72">
        <v>146</v>
      </c>
      <c r="H72" s="7">
        <f t="shared" si="5"/>
        <v>44.236138811328281</v>
      </c>
      <c r="I72" s="7">
        <f t="shared" si="6"/>
        <v>42.321499800558435</v>
      </c>
      <c r="J72" s="7">
        <f t="shared" si="7"/>
        <v>7.6186677303550052</v>
      </c>
      <c r="K72" s="7">
        <f t="shared" si="8"/>
        <v>5.8236936577582767</v>
      </c>
    </row>
    <row r="73" spans="1:11" x14ac:dyDescent="0.35">
      <c r="A73">
        <v>2015</v>
      </c>
      <c r="B73">
        <v>3132305</v>
      </c>
      <c r="C73" t="str">
        <f>VLOOKUP(B73,SAEB!$A:$B,2,0)</f>
        <v>Itaipé</v>
      </c>
      <c r="D73">
        <v>309</v>
      </c>
      <c r="E73">
        <v>454</v>
      </c>
      <c r="F73">
        <v>595</v>
      </c>
      <c r="G73">
        <v>0</v>
      </c>
      <c r="H73" s="7">
        <f t="shared" si="5"/>
        <v>22.754050073637703</v>
      </c>
      <c r="I73" s="7">
        <f t="shared" si="6"/>
        <v>33.431516936671571</v>
      </c>
      <c r="J73" s="7">
        <f t="shared" si="7"/>
        <v>43.814432989690722</v>
      </c>
      <c r="K73" s="7">
        <f t="shared" si="8"/>
        <v>0</v>
      </c>
    </row>
    <row r="74" spans="1:11" x14ac:dyDescent="0.35">
      <c r="A74">
        <v>2015</v>
      </c>
      <c r="B74">
        <v>3132503</v>
      </c>
      <c r="C74" t="str">
        <f>VLOOKUP(B74,SAEB!$A:$B,2,0)</f>
        <v>Itamarandiba</v>
      </c>
      <c r="D74">
        <v>1150</v>
      </c>
      <c r="E74">
        <v>247</v>
      </c>
      <c r="F74">
        <v>377</v>
      </c>
      <c r="G74">
        <v>80</v>
      </c>
      <c r="H74" s="7">
        <f t="shared" si="5"/>
        <v>62.02804746494067</v>
      </c>
      <c r="I74" s="7">
        <f t="shared" si="6"/>
        <v>13.32254584681769</v>
      </c>
      <c r="J74" s="7">
        <f t="shared" si="7"/>
        <v>20.334412081984897</v>
      </c>
      <c r="K74" s="7">
        <f t="shared" si="8"/>
        <v>4.3149946062567421</v>
      </c>
    </row>
    <row r="75" spans="1:11" x14ac:dyDescent="0.35">
      <c r="A75">
        <v>2015</v>
      </c>
      <c r="B75">
        <v>3132701</v>
      </c>
      <c r="C75" t="str">
        <f>VLOOKUP(B75,SAEB!$A:$B,2,0)</f>
        <v>Itambacuri</v>
      </c>
      <c r="D75">
        <v>300</v>
      </c>
      <c r="E75">
        <v>229</v>
      </c>
      <c r="F75">
        <v>551</v>
      </c>
      <c r="G75">
        <v>412</v>
      </c>
      <c r="H75" s="7">
        <f t="shared" si="5"/>
        <v>20.107238605898122</v>
      </c>
      <c r="I75" s="7">
        <f t="shared" si="6"/>
        <v>15.3485254691689</v>
      </c>
      <c r="J75" s="7">
        <f t="shared" si="7"/>
        <v>36.930294906166225</v>
      </c>
      <c r="K75" s="7">
        <f t="shared" si="8"/>
        <v>27.613941018766759</v>
      </c>
    </row>
    <row r="76" spans="1:11" x14ac:dyDescent="0.35">
      <c r="A76">
        <v>2015</v>
      </c>
      <c r="B76">
        <v>3133204</v>
      </c>
      <c r="C76" t="str">
        <f>VLOOKUP(B76,SAEB!$A:$B,2,0)</f>
        <v>Itanhomi</v>
      </c>
      <c r="D76">
        <v>749</v>
      </c>
      <c r="E76">
        <v>0</v>
      </c>
      <c r="F76">
        <v>31</v>
      </c>
      <c r="G76">
        <v>0</v>
      </c>
      <c r="H76" s="7">
        <f t="shared" si="5"/>
        <v>96.025641025641022</v>
      </c>
      <c r="I76" s="7">
        <f t="shared" si="6"/>
        <v>0</v>
      </c>
      <c r="J76" s="7">
        <f t="shared" si="7"/>
        <v>3.974358974358974</v>
      </c>
      <c r="K76" s="7">
        <f t="shared" si="8"/>
        <v>0</v>
      </c>
    </row>
    <row r="77" spans="1:11" x14ac:dyDescent="0.35">
      <c r="A77">
        <v>2015</v>
      </c>
      <c r="B77">
        <v>3133303</v>
      </c>
      <c r="C77" t="str">
        <f>VLOOKUP(B77,SAEB!$A:$B,2,0)</f>
        <v>Itaobim</v>
      </c>
      <c r="D77">
        <v>632</v>
      </c>
      <c r="E77">
        <v>176</v>
      </c>
      <c r="F77">
        <v>169</v>
      </c>
      <c r="G77">
        <v>148</v>
      </c>
      <c r="H77" s="7">
        <f t="shared" si="5"/>
        <v>56.177777777777784</v>
      </c>
      <c r="I77" s="7">
        <f t="shared" si="6"/>
        <v>15.644444444444444</v>
      </c>
      <c r="J77" s="7">
        <f t="shared" si="7"/>
        <v>15.022222222222222</v>
      </c>
      <c r="K77" s="7">
        <f t="shared" si="8"/>
        <v>13.155555555555557</v>
      </c>
    </row>
    <row r="78" spans="1:11" x14ac:dyDescent="0.35">
      <c r="A78">
        <v>2015</v>
      </c>
      <c r="B78">
        <v>3134004</v>
      </c>
      <c r="C78" t="str">
        <f>VLOOKUP(B78,SAEB!$A:$B,2,0)</f>
        <v>Itinga</v>
      </c>
      <c r="D78">
        <v>10</v>
      </c>
      <c r="E78">
        <v>0</v>
      </c>
      <c r="F78">
        <v>481</v>
      </c>
      <c r="G78">
        <v>399</v>
      </c>
      <c r="H78" s="7">
        <f t="shared" si="5"/>
        <v>1.1235955056179776</v>
      </c>
      <c r="I78" s="7">
        <f t="shared" si="6"/>
        <v>0</v>
      </c>
      <c r="J78" s="7">
        <f t="shared" si="7"/>
        <v>54.044943820224724</v>
      </c>
      <c r="K78" s="7">
        <f t="shared" si="8"/>
        <v>44.831460674157306</v>
      </c>
    </row>
    <row r="79" spans="1:11" x14ac:dyDescent="0.35">
      <c r="A79">
        <v>2015</v>
      </c>
      <c r="B79">
        <v>3134103</v>
      </c>
      <c r="C79" t="str">
        <f>VLOOKUP(B79,SAEB!$A:$B,2,0)</f>
        <v>Itueta</v>
      </c>
      <c r="D79">
        <v>133</v>
      </c>
      <c r="E79">
        <v>118</v>
      </c>
      <c r="F79">
        <v>133</v>
      </c>
      <c r="G79">
        <v>81</v>
      </c>
      <c r="H79" s="7">
        <f t="shared" si="5"/>
        <v>28.602150537634408</v>
      </c>
      <c r="I79" s="7">
        <f t="shared" si="6"/>
        <v>25.376344086021508</v>
      </c>
      <c r="J79" s="7">
        <f t="shared" si="7"/>
        <v>28.602150537634408</v>
      </c>
      <c r="K79" s="7">
        <f t="shared" si="8"/>
        <v>17.419354838709676</v>
      </c>
    </row>
    <row r="80" spans="1:11" x14ac:dyDescent="0.35">
      <c r="A80">
        <v>2015</v>
      </c>
      <c r="B80">
        <v>3134707</v>
      </c>
      <c r="C80" t="str">
        <f>VLOOKUP(B80,SAEB!$A:$B,2,0)</f>
        <v>Jacinto</v>
      </c>
      <c r="D80">
        <v>815</v>
      </c>
      <c r="E80">
        <v>0</v>
      </c>
      <c r="F80">
        <v>62</v>
      </c>
      <c r="G80">
        <v>34</v>
      </c>
      <c r="H80" s="7">
        <f t="shared" si="5"/>
        <v>89.462129527991223</v>
      </c>
      <c r="I80" s="7">
        <f t="shared" si="6"/>
        <v>0</v>
      </c>
      <c r="J80" s="7">
        <f t="shared" si="7"/>
        <v>6.8057080131723371</v>
      </c>
      <c r="K80" s="7">
        <f t="shared" si="8"/>
        <v>3.7321624588364433</v>
      </c>
    </row>
    <row r="81" spans="1:11" x14ac:dyDescent="0.35">
      <c r="A81">
        <v>2015</v>
      </c>
      <c r="B81">
        <v>3135050</v>
      </c>
      <c r="C81" t="str">
        <f>VLOOKUP(B81,SAEB!$A:$B,2,0)</f>
        <v>Jaíba</v>
      </c>
      <c r="D81">
        <v>671</v>
      </c>
      <c r="E81">
        <v>0</v>
      </c>
      <c r="F81">
        <v>464</v>
      </c>
      <c r="G81">
        <v>302</v>
      </c>
      <c r="H81" s="7">
        <f t="shared" si="5"/>
        <v>46.694502435629786</v>
      </c>
      <c r="I81" s="7">
        <f t="shared" si="6"/>
        <v>0</v>
      </c>
      <c r="J81" s="7">
        <f t="shared" si="7"/>
        <v>32.289491997216423</v>
      </c>
      <c r="K81" s="7">
        <f t="shared" si="8"/>
        <v>21.01600556715379</v>
      </c>
    </row>
    <row r="82" spans="1:11" x14ac:dyDescent="0.35">
      <c r="A82">
        <v>2015</v>
      </c>
      <c r="B82">
        <v>3135100</v>
      </c>
      <c r="C82" t="str">
        <f>VLOOKUP(B82,SAEB!$A:$B,2,0)</f>
        <v>Janaúba</v>
      </c>
      <c r="D82">
        <v>1716</v>
      </c>
      <c r="E82">
        <v>571</v>
      </c>
      <c r="F82">
        <v>300</v>
      </c>
      <c r="G82">
        <v>279</v>
      </c>
      <c r="H82" s="7">
        <f t="shared" si="5"/>
        <v>59.874389392882065</v>
      </c>
      <c r="I82" s="7">
        <f t="shared" si="6"/>
        <v>19.923237962316819</v>
      </c>
      <c r="J82" s="7">
        <f t="shared" si="7"/>
        <v>10.467550593161199</v>
      </c>
      <c r="K82" s="7">
        <f t="shared" si="8"/>
        <v>9.7348220516399167</v>
      </c>
    </row>
    <row r="83" spans="1:11" x14ac:dyDescent="0.35">
      <c r="A83">
        <v>2015</v>
      </c>
      <c r="B83">
        <v>3135209</v>
      </c>
      <c r="C83" t="str">
        <f>VLOOKUP(B83,SAEB!$A:$B,2,0)</f>
        <v>Januária</v>
      </c>
      <c r="D83">
        <v>650</v>
      </c>
      <c r="E83">
        <v>359</v>
      </c>
      <c r="F83">
        <v>1204</v>
      </c>
      <c r="G83">
        <v>630</v>
      </c>
      <c r="H83" s="7">
        <f t="shared" si="5"/>
        <v>22.863172704889202</v>
      </c>
      <c r="I83" s="7">
        <f t="shared" si="6"/>
        <v>12.627506155469575</v>
      </c>
      <c r="J83" s="7">
        <f t="shared" si="7"/>
        <v>42.349630671825537</v>
      </c>
      <c r="K83" s="7">
        <f t="shared" si="8"/>
        <v>22.159690467815686</v>
      </c>
    </row>
    <row r="84" spans="1:11" x14ac:dyDescent="0.35">
      <c r="A84">
        <v>2015</v>
      </c>
      <c r="B84">
        <v>3135357</v>
      </c>
      <c r="C84" t="str">
        <f>VLOOKUP(B84,SAEB!$A:$B,2,0)</f>
        <v>Japonvar</v>
      </c>
      <c r="D84">
        <v>123</v>
      </c>
      <c r="E84">
        <v>139</v>
      </c>
      <c r="F84">
        <v>195</v>
      </c>
      <c r="G84">
        <v>188</v>
      </c>
      <c r="H84" s="7">
        <f t="shared" si="5"/>
        <v>19.069767441860467</v>
      </c>
      <c r="I84" s="7">
        <f t="shared" si="6"/>
        <v>21.550387596899228</v>
      </c>
      <c r="J84" s="7">
        <f t="shared" si="7"/>
        <v>30.232558139534881</v>
      </c>
      <c r="K84" s="7">
        <f t="shared" si="8"/>
        <v>29.147286821705425</v>
      </c>
    </row>
    <row r="85" spans="1:11" x14ac:dyDescent="0.35">
      <c r="A85">
        <v>2015</v>
      </c>
      <c r="B85">
        <v>3135605</v>
      </c>
      <c r="C85" t="str">
        <f>VLOOKUP(B85,SAEB!$A:$B,2,0)</f>
        <v>Jequitaí</v>
      </c>
      <c r="D85">
        <v>366</v>
      </c>
      <c r="E85">
        <v>0</v>
      </c>
      <c r="F85">
        <v>58</v>
      </c>
      <c r="G85">
        <v>24</v>
      </c>
      <c r="H85" s="7">
        <f t="shared" si="5"/>
        <v>81.696428571428569</v>
      </c>
      <c r="I85" s="7">
        <f t="shared" si="6"/>
        <v>0</v>
      </c>
      <c r="J85" s="7">
        <f t="shared" si="7"/>
        <v>12.946428571428573</v>
      </c>
      <c r="K85" s="7">
        <f t="shared" si="8"/>
        <v>5.3571428571428568</v>
      </c>
    </row>
    <row r="86" spans="1:11" x14ac:dyDescent="0.35">
      <c r="A86">
        <v>2015</v>
      </c>
      <c r="B86">
        <v>3135803</v>
      </c>
      <c r="C86" t="str">
        <f>VLOOKUP(B86,SAEB!$A:$B,2,0)</f>
        <v>Jequitinhonha</v>
      </c>
      <c r="D86">
        <v>634</v>
      </c>
      <c r="E86">
        <v>0</v>
      </c>
      <c r="F86">
        <v>378</v>
      </c>
      <c r="G86">
        <v>177</v>
      </c>
      <c r="H86" s="7">
        <f t="shared" si="5"/>
        <v>53.322119428090829</v>
      </c>
      <c r="I86" s="7">
        <f t="shared" si="6"/>
        <v>0</v>
      </c>
      <c r="J86" s="7">
        <f t="shared" si="7"/>
        <v>31.791421362489487</v>
      </c>
      <c r="K86" s="7">
        <f t="shared" si="8"/>
        <v>14.88645920941968</v>
      </c>
    </row>
    <row r="87" spans="1:11" x14ac:dyDescent="0.35">
      <c r="A87">
        <v>2015</v>
      </c>
      <c r="B87">
        <v>3136009</v>
      </c>
      <c r="C87" t="str">
        <f>VLOOKUP(B87,SAEB!$A:$B,2,0)</f>
        <v>Joaíma</v>
      </c>
      <c r="D87">
        <v>654</v>
      </c>
      <c r="E87">
        <v>398</v>
      </c>
      <c r="F87">
        <v>341</v>
      </c>
      <c r="G87">
        <v>157</v>
      </c>
      <c r="H87" s="7">
        <f t="shared" si="5"/>
        <v>42.193548387096776</v>
      </c>
      <c r="I87" s="7">
        <f t="shared" si="6"/>
        <v>25.677419354838708</v>
      </c>
      <c r="J87" s="7">
        <f t="shared" si="7"/>
        <v>22</v>
      </c>
      <c r="K87" s="7">
        <f t="shared" si="8"/>
        <v>10.129032258064516</v>
      </c>
    </row>
    <row r="88" spans="1:11" x14ac:dyDescent="0.35">
      <c r="A88">
        <v>2015</v>
      </c>
      <c r="B88">
        <v>3136405</v>
      </c>
      <c r="C88" t="str">
        <f>VLOOKUP(B88,SAEB!$A:$B,2,0)</f>
        <v>Joaquim Felício</v>
      </c>
      <c r="D88">
        <v>301</v>
      </c>
      <c r="E88">
        <v>266</v>
      </c>
      <c r="F88">
        <v>0</v>
      </c>
      <c r="G88">
        <v>0</v>
      </c>
      <c r="H88" s="7">
        <f t="shared" si="5"/>
        <v>53.086419753086425</v>
      </c>
      <c r="I88" s="7">
        <f t="shared" si="6"/>
        <v>46.913580246913575</v>
      </c>
      <c r="J88" s="7">
        <f t="shared" si="7"/>
        <v>0</v>
      </c>
      <c r="K88" s="7">
        <f t="shared" si="8"/>
        <v>0</v>
      </c>
    </row>
    <row r="89" spans="1:11" x14ac:dyDescent="0.35">
      <c r="A89">
        <v>2015</v>
      </c>
      <c r="B89">
        <v>3136553</v>
      </c>
      <c r="C89" t="str">
        <f>VLOOKUP(B89,SAEB!$A:$B,2,0)</f>
        <v>José Raydan</v>
      </c>
      <c r="D89">
        <v>177</v>
      </c>
      <c r="E89">
        <v>0</v>
      </c>
      <c r="F89">
        <v>145</v>
      </c>
      <c r="G89">
        <v>0</v>
      </c>
      <c r="H89" s="7">
        <f t="shared" si="5"/>
        <v>54.968944099378881</v>
      </c>
      <c r="I89" s="7">
        <f t="shared" si="6"/>
        <v>0</v>
      </c>
      <c r="J89" s="7">
        <f t="shared" si="7"/>
        <v>45.031055900621119</v>
      </c>
      <c r="K89" s="7">
        <f t="shared" si="8"/>
        <v>0</v>
      </c>
    </row>
    <row r="90" spans="1:11" x14ac:dyDescent="0.35">
      <c r="A90">
        <v>2015</v>
      </c>
      <c r="B90">
        <v>3136801</v>
      </c>
      <c r="C90" t="str">
        <f>VLOOKUP(B90,SAEB!$A:$B,2,0)</f>
        <v>Juramento</v>
      </c>
      <c r="D90">
        <v>249</v>
      </c>
      <c r="E90">
        <v>0</v>
      </c>
      <c r="F90">
        <v>65</v>
      </c>
      <c r="G90">
        <v>0</v>
      </c>
      <c r="H90" s="7">
        <f t="shared" si="5"/>
        <v>79.29936305732484</v>
      </c>
      <c r="I90" s="7">
        <f t="shared" si="6"/>
        <v>0</v>
      </c>
      <c r="J90" s="7">
        <f t="shared" si="7"/>
        <v>20.70063694267516</v>
      </c>
      <c r="K90" s="7">
        <f t="shared" si="8"/>
        <v>0</v>
      </c>
    </row>
    <row r="91" spans="1:11" x14ac:dyDescent="0.35">
      <c r="A91">
        <v>2015</v>
      </c>
      <c r="B91">
        <v>3136959</v>
      </c>
      <c r="C91" t="str">
        <f>VLOOKUP(B91,SAEB!$A:$B,2,0)</f>
        <v>Juvenília</v>
      </c>
      <c r="D91">
        <v>341</v>
      </c>
      <c r="E91">
        <v>164</v>
      </c>
      <c r="F91">
        <v>64</v>
      </c>
      <c r="G91">
        <v>28</v>
      </c>
      <c r="H91" s="7">
        <f t="shared" si="5"/>
        <v>57.118927973199327</v>
      </c>
      <c r="I91" s="7">
        <f t="shared" si="6"/>
        <v>27.470686767169177</v>
      </c>
      <c r="J91" s="7">
        <f t="shared" si="7"/>
        <v>10.720268006700168</v>
      </c>
      <c r="K91" s="7">
        <f t="shared" si="8"/>
        <v>4.6901172529313229</v>
      </c>
    </row>
    <row r="92" spans="1:11" x14ac:dyDescent="0.35">
      <c r="A92">
        <v>2015</v>
      </c>
      <c r="B92">
        <v>3137007</v>
      </c>
      <c r="C92" t="str">
        <f>VLOOKUP(B92,SAEB!$A:$B,2,0)</f>
        <v>Ladainha</v>
      </c>
      <c r="D92">
        <v>0</v>
      </c>
      <c r="E92">
        <v>0</v>
      </c>
      <c r="F92">
        <v>858</v>
      </c>
      <c r="G92">
        <v>242</v>
      </c>
      <c r="H92" s="7">
        <f t="shared" si="5"/>
        <v>0</v>
      </c>
      <c r="I92" s="7">
        <f t="shared" si="6"/>
        <v>0</v>
      </c>
      <c r="J92" s="7">
        <f t="shared" si="7"/>
        <v>78</v>
      </c>
      <c r="K92" s="7">
        <f t="shared" si="8"/>
        <v>22</v>
      </c>
    </row>
    <row r="93" spans="1:11" x14ac:dyDescent="0.35">
      <c r="A93">
        <v>2015</v>
      </c>
      <c r="B93">
        <v>3137304</v>
      </c>
      <c r="C93" t="str">
        <f>VLOOKUP(B93,SAEB!$A:$B,2,0)</f>
        <v>Lagoa dos Patos</v>
      </c>
      <c r="D93">
        <v>315</v>
      </c>
      <c r="E93">
        <v>0</v>
      </c>
      <c r="F93">
        <v>18</v>
      </c>
      <c r="G93">
        <v>0</v>
      </c>
      <c r="H93" s="7">
        <f t="shared" si="5"/>
        <v>94.594594594594597</v>
      </c>
      <c r="I93" s="7">
        <f t="shared" si="6"/>
        <v>0</v>
      </c>
      <c r="J93" s="7">
        <f t="shared" si="7"/>
        <v>5.4054054054054053</v>
      </c>
      <c r="K93" s="7">
        <f t="shared" si="8"/>
        <v>0</v>
      </c>
    </row>
    <row r="94" spans="1:11" x14ac:dyDescent="0.35">
      <c r="A94">
        <v>2015</v>
      </c>
      <c r="B94">
        <v>3138104</v>
      </c>
      <c r="C94" t="str">
        <f>VLOOKUP(B94,SAEB!$A:$B,2,0)</f>
        <v>Lassance</v>
      </c>
      <c r="D94">
        <v>217</v>
      </c>
      <c r="E94">
        <v>0</v>
      </c>
      <c r="F94">
        <v>182</v>
      </c>
      <c r="G94">
        <v>127</v>
      </c>
      <c r="H94" s="7">
        <f t="shared" si="5"/>
        <v>41.254752851711025</v>
      </c>
      <c r="I94" s="7">
        <f t="shared" si="6"/>
        <v>0</v>
      </c>
      <c r="J94" s="7">
        <f t="shared" si="7"/>
        <v>34.600760456273768</v>
      </c>
      <c r="K94" s="7">
        <f t="shared" si="8"/>
        <v>24.14448669201521</v>
      </c>
    </row>
    <row r="95" spans="1:11" x14ac:dyDescent="0.35">
      <c r="A95">
        <v>2015</v>
      </c>
      <c r="B95">
        <v>3138351</v>
      </c>
      <c r="C95" t="str">
        <f>VLOOKUP(B95,SAEB!$A:$B,2,0)</f>
        <v>Leme do Prado</v>
      </c>
      <c r="D95">
        <v>19</v>
      </c>
      <c r="E95">
        <v>0</v>
      </c>
      <c r="F95">
        <v>96</v>
      </c>
      <c r="G95">
        <v>103</v>
      </c>
      <c r="H95" s="7">
        <f t="shared" si="5"/>
        <v>8.7155963302752291</v>
      </c>
      <c r="I95" s="7">
        <f t="shared" si="6"/>
        <v>0</v>
      </c>
      <c r="J95" s="7">
        <f t="shared" si="7"/>
        <v>44.036697247706428</v>
      </c>
      <c r="K95" s="7">
        <f t="shared" si="8"/>
        <v>47.247706422018346</v>
      </c>
    </row>
    <row r="96" spans="1:11" x14ac:dyDescent="0.35">
      <c r="A96">
        <v>2015</v>
      </c>
      <c r="B96">
        <v>3138658</v>
      </c>
      <c r="C96" t="str">
        <f>VLOOKUP(B96,SAEB!$A:$B,2,0)</f>
        <v>Lontra</v>
      </c>
      <c r="D96">
        <v>302</v>
      </c>
      <c r="E96">
        <v>287</v>
      </c>
      <c r="F96">
        <v>39</v>
      </c>
      <c r="G96">
        <v>0</v>
      </c>
      <c r="H96" s="7">
        <f t="shared" si="5"/>
        <v>48.089171974522294</v>
      </c>
      <c r="I96" s="7">
        <f t="shared" si="6"/>
        <v>45.70063694267516</v>
      </c>
      <c r="J96" s="7">
        <f t="shared" si="7"/>
        <v>6.2101910828025479</v>
      </c>
      <c r="K96" s="7">
        <f t="shared" si="8"/>
        <v>0</v>
      </c>
    </row>
    <row r="97" spans="1:11" x14ac:dyDescent="0.35">
      <c r="A97">
        <v>2015</v>
      </c>
      <c r="B97">
        <v>3138906</v>
      </c>
      <c r="C97" t="str">
        <f>VLOOKUP(B97,SAEB!$A:$B,2,0)</f>
        <v>Machacalis</v>
      </c>
      <c r="D97">
        <v>418</v>
      </c>
      <c r="E97">
        <v>0</v>
      </c>
      <c r="F97">
        <v>50</v>
      </c>
      <c r="G97">
        <v>0</v>
      </c>
      <c r="H97" s="7">
        <f t="shared" si="5"/>
        <v>89.316239316239319</v>
      </c>
      <c r="I97" s="7">
        <f t="shared" si="6"/>
        <v>0</v>
      </c>
      <c r="J97" s="7">
        <f t="shared" si="7"/>
        <v>10.683760683760683</v>
      </c>
      <c r="K97" s="7">
        <f t="shared" si="8"/>
        <v>0</v>
      </c>
    </row>
    <row r="98" spans="1:11" x14ac:dyDescent="0.35">
      <c r="A98">
        <v>2015</v>
      </c>
      <c r="B98">
        <v>3139201</v>
      </c>
      <c r="C98" t="str">
        <f>VLOOKUP(B98,SAEB!$A:$B,2,0)</f>
        <v>Malacacheta</v>
      </c>
      <c r="D98">
        <v>151</v>
      </c>
      <c r="E98">
        <v>0</v>
      </c>
      <c r="F98">
        <v>306</v>
      </c>
      <c r="G98">
        <v>162</v>
      </c>
      <c r="H98" s="7">
        <f t="shared" si="5"/>
        <v>24.394184168012924</v>
      </c>
      <c r="I98" s="7">
        <f t="shared" si="6"/>
        <v>0</v>
      </c>
      <c r="J98" s="7">
        <f t="shared" si="7"/>
        <v>49.434571890145392</v>
      </c>
      <c r="K98" s="7">
        <f t="shared" si="8"/>
        <v>26.171243941841681</v>
      </c>
    </row>
    <row r="99" spans="1:11" x14ac:dyDescent="0.35">
      <c r="A99">
        <v>2015</v>
      </c>
      <c r="B99">
        <v>3139250</v>
      </c>
      <c r="C99" t="str">
        <f>VLOOKUP(B99,SAEB!$A:$B,2,0)</f>
        <v>Mamonas</v>
      </c>
      <c r="D99">
        <v>307</v>
      </c>
      <c r="E99">
        <v>0</v>
      </c>
      <c r="F99">
        <v>71</v>
      </c>
      <c r="G99">
        <v>0</v>
      </c>
      <c r="H99" s="7">
        <f t="shared" si="5"/>
        <v>81.216931216931215</v>
      </c>
      <c r="I99" s="7">
        <f t="shared" si="6"/>
        <v>0</v>
      </c>
      <c r="J99" s="7">
        <f t="shared" si="7"/>
        <v>18.783068783068781</v>
      </c>
      <c r="K99" s="7">
        <f t="shared" si="8"/>
        <v>0</v>
      </c>
    </row>
    <row r="100" spans="1:11" x14ac:dyDescent="0.35">
      <c r="A100">
        <v>2015</v>
      </c>
      <c r="B100">
        <v>3139300</v>
      </c>
      <c r="C100" t="str">
        <f>VLOOKUP(B100,SAEB!$A:$B,2,0)</f>
        <v>Manga</v>
      </c>
      <c r="D100">
        <v>790</v>
      </c>
      <c r="E100">
        <v>397</v>
      </c>
      <c r="F100">
        <v>366</v>
      </c>
      <c r="G100">
        <v>254</v>
      </c>
      <c r="H100" s="7">
        <f t="shared" si="5"/>
        <v>43.718871057000555</v>
      </c>
      <c r="I100" s="7">
        <f t="shared" si="6"/>
        <v>21.97011621472053</v>
      </c>
      <c r="J100" s="7">
        <f t="shared" si="7"/>
        <v>20.254565578306586</v>
      </c>
      <c r="K100" s="7">
        <f t="shared" si="8"/>
        <v>14.056447149972328</v>
      </c>
    </row>
    <row r="101" spans="1:11" x14ac:dyDescent="0.35">
      <c r="A101">
        <v>2015</v>
      </c>
      <c r="B101">
        <v>3139607</v>
      </c>
      <c r="C101" t="str">
        <f>VLOOKUP(B101,SAEB!$A:$B,2,0)</f>
        <v>Mantena</v>
      </c>
      <c r="D101">
        <v>1693</v>
      </c>
      <c r="E101">
        <v>669</v>
      </c>
      <c r="F101">
        <v>106</v>
      </c>
      <c r="G101">
        <v>81</v>
      </c>
      <c r="H101" s="7">
        <f t="shared" si="5"/>
        <v>66.41820321694783</v>
      </c>
      <c r="I101" s="7">
        <f t="shared" si="6"/>
        <v>26.245586504511575</v>
      </c>
      <c r="J101" s="7">
        <f t="shared" si="7"/>
        <v>4.1584935268732837</v>
      </c>
      <c r="K101" s="7">
        <f t="shared" si="8"/>
        <v>3.1777167516673206</v>
      </c>
    </row>
    <row r="102" spans="1:11" x14ac:dyDescent="0.35">
      <c r="A102">
        <v>2015</v>
      </c>
      <c r="B102">
        <v>3140100</v>
      </c>
      <c r="C102" t="str">
        <f>VLOOKUP(B102,SAEB!$A:$B,2,0)</f>
        <v>Marilac</v>
      </c>
      <c r="D102">
        <v>336</v>
      </c>
      <c r="E102">
        <v>0</v>
      </c>
      <c r="F102">
        <v>0</v>
      </c>
      <c r="G102">
        <v>0</v>
      </c>
      <c r="H102" s="7">
        <f t="shared" si="5"/>
        <v>100</v>
      </c>
      <c r="I102" s="7">
        <f t="shared" si="6"/>
        <v>0</v>
      </c>
      <c r="J102" s="7">
        <f t="shared" si="7"/>
        <v>0</v>
      </c>
      <c r="K102" s="7">
        <f t="shared" si="8"/>
        <v>0</v>
      </c>
    </row>
    <row r="103" spans="1:11" x14ac:dyDescent="0.35">
      <c r="A103">
        <v>2015</v>
      </c>
      <c r="B103">
        <v>3140605</v>
      </c>
      <c r="C103" t="str">
        <f>VLOOKUP(B103,SAEB!$A:$B,2,0)</f>
        <v>Materlândia</v>
      </c>
      <c r="D103">
        <v>234</v>
      </c>
      <c r="E103">
        <v>0</v>
      </c>
      <c r="F103">
        <v>136</v>
      </c>
      <c r="G103">
        <v>70</v>
      </c>
      <c r="H103" s="7">
        <f t="shared" si="5"/>
        <v>53.181818181818187</v>
      </c>
      <c r="I103" s="7">
        <f t="shared" si="6"/>
        <v>0</v>
      </c>
      <c r="J103" s="7">
        <f t="shared" si="7"/>
        <v>30.909090909090907</v>
      </c>
      <c r="K103" s="7">
        <f t="shared" si="8"/>
        <v>15.909090909090908</v>
      </c>
    </row>
    <row r="104" spans="1:11" x14ac:dyDescent="0.35">
      <c r="A104">
        <v>2015</v>
      </c>
      <c r="B104">
        <v>3171501</v>
      </c>
      <c r="C104" t="str">
        <f>VLOOKUP(B104,SAEB!$A:$B,2,0)</f>
        <v>Mathias Lobato</v>
      </c>
      <c r="D104">
        <v>331</v>
      </c>
      <c r="E104">
        <v>43</v>
      </c>
      <c r="F104">
        <v>0</v>
      </c>
      <c r="G104">
        <v>0</v>
      </c>
      <c r="H104" s="7">
        <f t="shared" si="5"/>
        <v>88.502673796791441</v>
      </c>
      <c r="I104" s="7">
        <f t="shared" si="6"/>
        <v>11.497326203208557</v>
      </c>
      <c r="J104" s="7">
        <f t="shared" si="7"/>
        <v>0</v>
      </c>
      <c r="K104" s="7">
        <f t="shared" si="8"/>
        <v>0</v>
      </c>
    </row>
    <row r="105" spans="1:11" x14ac:dyDescent="0.35">
      <c r="A105">
        <v>2015</v>
      </c>
      <c r="B105">
        <v>3140852</v>
      </c>
      <c r="C105" t="str">
        <f>VLOOKUP(B105,SAEB!$A:$B,2,0)</f>
        <v>Matias Cardoso</v>
      </c>
      <c r="D105">
        <v>521</v>
      </c>
      <c r="E105">
        <v>243</v>
      </c>
      <c r="F105">
        <v>83</v>
      </c>
      <c r="G105">
        <v>0</v>
      </c>
      <c r="H105" s="7">
        <f t="shared" si="5"/>
        <v>61.511216056670605</v>
      </c>
      <c r="I105" s="7">
        <f t="shared" si="6"/>
        <v>28.689492325855966</v>
      </c>
      <c r="J105" s="7">
        <f t="shared" si="7"/>
        <v>9.7992916174734344</v>
      </c>
      <c r="K105" s="7">
        <f t="shared" si="8"/>
        <v>0</v>
      </c>
    </row>
    <row r="106" spans="1:11" x14ac:dyDescent="0.35">
      <c r="A106">
        <v>2015</v>
      </c>
      <c r="B106">
        <v>3141009</v>
      </c>
      <c r="C106" t="str">
        <f>VLOOKUP(B106,SAEB!$A:$B,2,0)</f>
        <v>Mato Verde</v>
      </c>
      <c r="D106">
        <v>320</v>
      </c>
      <c r="E106">
        <v>0</v>
      </c>
      <c r="F106">
        <v>141</v>
      </c>
      <c r="G106">
        <v>0</v>
      </c>
      <c r="H106" s="7">
        <f t="shared" si="5"/>
        <v>69.41431670281996</v>
      </c>
      <c r="I106" s="7">
        <f t="shared" si="6"/>
        <v>0</v>
      </c>
      <c r="J106" s="7">
        <f t="shared" si="7"/>
        <v>30.585683297180044</v>
      </c>
      <c r="K106" s="7">
        <f t="shared" si="8"/>
        <v>0</v>
      </c>
    </row>
    <row r="107" spans="1:11" x14ac:dyDescent="0.35">
      <c r="A107">
        <v>2015</v>
      </c>
      <c r="B107">
        <v>3141405</v>
      </c>
      <c r="C107" t="str">
        <f>VLOOKUP(B107,SAEB!$A:$B,2,0)</f>
        <v>Medina</v>
      </c>
      <c r="D107">
        <v>574</v>
      </c>
      <c r="E107">
        <v>0</v>
      </c>
      <c r="F107">
        <v>286</v>
      </c>
      <c r="G107">
        <v>0</v>
      </c>
      <c r="H107" s="7">
        <f t="shared" si="5"/>
        <v>66.744186046511629</v>
      </c>
      <c r="I107" s="7">
        <f t="shared" si="6"/>
        <v>0</v>
      </c>
      <c r="J107" s="7">
        <f t="shared" si="7"/>
        <v>33.255813953488371</v>
      </c>
      <c r="K107" s="7">
        <f t="shared" si="8"/>
        <v>0</v>
      </c>
    </row>
    <row r="108" spans="1:11" x14ac:dyDescent="0.35">
      <c r="A108">
        <v>2015</v>
      </c>
      <c r="B108">
        <v>3141504</v>
      </c>
      <c r="C108" t="str">
        <f>VLOOKUP(B108,SAEB!$A:$B,2,0)</f>
        <v>Mendes Pimentel</v>
      </c>
      <c r="D108">
        <v>238</v>
      </c>
      <c r="E108">
        <v>0</v>
      </c>
      <c r="F108">
        <v>116</v>
      </c>
      <c r="G108">
        <v>0</v>
      </c>
      <c r="H108" s="7">
        <f t="shared" si="5"/>
        <v>67.2316384180791</v>
      </c>
      <c r="I108" s="7">
        <f t="shared" si="6"/>
        <v>0</v>
      </c>
      <c r="J108" s="7">
        <f t="shared" si="7"/>
        <v>32.7683615819209</v>
      </c>
      <c r="K108" s="7">
        <f t="shared" si="8"/>
        <v>0</v>
      </c>
    </row>
    <row r="109" spans="1:11" x14ac:dyDescent="0.35">
      <c r="A109">
        <v>2015</v>
      </c>
      <c r="B109">
        <v>3141801</v>
      </c>
      <c r="C109" t="str">
        <f>VLOOKUP(B109,SAEB!$A:$B,2,0)</f>
        <v>Minas Novas</v>
      </c>
      <c r="D109">
        <v>287</v>
      </c>
      <c r="E109">
        <v>338</v>
      </c>
      <c r="F109">
        <v>681</v>
      </c>
      <c r="G109">
        <v>151</v>
      </c>
      <c r="H109" s="7">
        <f t="shared" si="5"/>
        <v>19.698009608785174</v>
      </c>
      <c r="I109" s="7">
        <f t="shared" si="6"/>
        <v>23.198352779684285</v>
      </c>
      <c r="J109" s="7">
        <f t="shared" si="7"/>
        <v>46.739876458476317</v>
      </c>
      <c r="K109" s="7">
        <f t="shared" si="8"/>
        <v>10.363761153054222</v>
      </c>
    </row>
    <row r="110" spans="1:11" x14ac:dyDescent="0.35">
      <c r="A110">
        <v>2015</v>
      </c>
      <c r="B110">
        <v>3142007</v>
      </c>
      <c r="C110" t="str">
        <f>VLOOKUP(B110,SAEB!$A:$B,2,0)</f>
        <v>Mirabela</v>
      </c>
      <c r="D110">
        <v>456</v>
      </c>
      <c r="E110">
        <v>0</v>
      </c>
      <c r="F110">
        <v>129</v>
      </c>
      <c r="G110">
        <v>116</v>
      </c>
      <c r="H110" s="7">
        <f t="shared" si="5"/>
        <v>65.049928673323819</v>
      </c>
      <c r="I110" s="7">
        <f t="shared" si="6"/>
        <v>0</v>
      </c>
      <c r="J110" s="7">
        <f t="shared" si="7"/>
        <v>18.40228245363766</v>
      </c>
      <c r="K110" s="7">
        <f t="shared" si="8"/>
        <v>16.547788873038517</v>
      </c>
    </row>
    <row r="111" spans="1:11" x14ac:dyDescent="0.35">
      <c r="A111">
        <v>2015</v>
      </c>
      <c r="B111">
        <v>3142254</v>
      </c>
      <c r="C111" t="str">
        <f>VLOOKUP(B111,SAEB!$A:$B,2,0)</f>
        <v>Miravânia</v>
      </c>
      <c r="D111">
        <v>0</v>
      </c>
      <c r="E111">
        <v>0</v>
      </c>
      <c r="F111">
        <v>183</v>
      </c>
      <c r="G111">
        <v>230</v>
      </c>
      <c r="H111" s="7">
        <f t="shared" si="5"/>
        <v>0</v>
      </c>
      <c r="I111" s="7">
        <f t="shared" si="6"/>
        <v>0</v>
      </c>
      <c r="J111" s="7">
        <f t="shared" si="7"/>
        <v>44.309927360774822</v>
      </c>
      <c r="K111" s="7">
        <f t="shared" si="8"/>
        <v>55.690072639225185</v>
      </c>
    </row>
    <row r="112" spans="1:11" x14ac:dyDescent="0.35">
      <c r="A112">
        <v>2015</v>
      </c>
      <c r="B112">
        <v>3142502</v>
      </c>
      <c r="C112" t="str">
        <f>VLOOKUP(B112,SAEB!$A:$B,2,0)</f>
        <v>Monjolos</v>
      </c>
      <c r="D112">
        <v>110</v>
      </c>
      <c r="E112">
        <v>123</v>
      </c>
      <c r="F112">
        <v>13</v>
      </c>
      <c r="G112">
        <v>0</v>
      </c>
      <c r="H112" s="7">
        <f t="shared" si="5"/>
        <v>44.715447154471541</v>
      </c>
      <c r="I112" s="7">
        <f t="shared" si="6"/>
        <v>50</v>
      </c>
      <c r="J112" s="7">
        <f t="shared" si="7"/>
        <v>5.2845528455284558</v>
      </c>
      <c r="K112" s="7">
        <f t="shared" si="8"/>
        <v>0</v>
      </c>
    </row>
    <row r="113" spans="1:11" x14ac:dyDescent="0.35">
      <c r="A113">
        <v>2015</v>
      </c>
      <c r="B113">
        <v>3142700</v>
      </c>
      <c r="C113" t="str">
        <f>VLOOKUP(B113,SAEB!$A:$B,2,0)</f>
        <v>Montalvânia</v>
      </c>
      <c r="D113">
        <v>180</v>
      </c>
      <c r="E113">
        <v>97</v>
      </c>
      <c r="F113">
        <v>240</v>
      </c>
      <c r="G113">
        <v>41</v>
      </c>
      <c r="H113" s="7">
        <f t="shared" si="5"/>
        <v>32.258064516129032</v>
      </c>
      <c r="I113" s="7">
        <f t="shared" si="6"/>
        <v>17.383512544802869</v>
      </c>
      <c r="J113" s="7">
        <f t="shared" si="7"/>
        <v>43.01075268817204</v>
      </c>
      <c r="K113" s="7">
        <f t="shared" si="8"/>
        <v>7.3476702508960576</v>
      </c>
    </row>
    <row r="114" spans="1:11" x14ac:dyDescent="0.35">
      <c r="A114">
        <v>2015</v>
      </c>
      <c r="B114">
        <v>3143153</v>
      </c>
      <c r="C114" t="str">
        <f>VLOOKUP(B114,SAEB!$A:$B,2,0)</f>
        <v>Monte Formoso</v>
      </c>
      <c r="D114">
        <v>0</v>
      </c>
      <c r="E114">
        <v>0</v>
      </c>
      <c r="F114">
        <v>471</v>
      </c>
      <c r="G114">
        <v>0</v>
      </c>
      <c r="H114" s="7">
        <f t="shared" si="5"/>
        <v>0</v>
      </c>
      <c r="I114" s="7">
        <f t="shared" si="6"/>
        <v>0</v>
      </c>
      <c r="J114" s="7">
        <f t="shared" si="7"/>
        <v>100</v>
      </c>
      <c r="K114" s="7">
        <f t="shared" si="8"/>
        <v>0</v>
      </c>
    </row>
    <row r="115" spans="1:11" x14ac:dyDescent="0.35">
      <c r="A115">
        <v>2015</v>
      </c>
      <c r="B115">
        <v>3143302</v>
      </c>
      <c r="C115" t="str">
        <f>VLOOKUP(B115,SAEB!$A:$B,2,0)</f>
        <v>Montes Claros</v>
      </c>
      <c r="D115">
        <v>9933</v>
      </c>
      <c r="E115">
        <v>5682</v>
      </c>
      <c r="F115">
        <v>1241</v>
      </c>
      <c r="G115">
        <v>1489</v>
      </c>
      <c r="H115" s="7">
        <f t="shared" si="5"/>
        <v>54.145543744889615</v>
      </c>
      <c r="I115" s="7">
        <f t="shared" si="6"/>
        <v>30.973017170891247</v>
      </c>
      <c r="J115" s="7">
        <f t="shared" si="7"/>
        <v>6.7647860452439357</v>
      </c>
      <c r="K115" s="7">
        <f t="shared" si="8"/>
        <v>8.1166530389751976</v>
      </c>
    </row>
    <row r="116" spans="1:11" x14ac:dyDescent="0.35">
      <c r="A116">
        <v>2015</v>
      </c>
      <c r="B116">
        <v>3143450</v>
      </c>
      <c r="C116" t="str">
        <f>VLOOKUP(B116,SAEB!$A:$B,2,0)</f>
        <v>Montezuma</v>
      </c>
      <c r="D116">
        <v>203</v>
      </c>
      <c r="E116">
        <v>0</v>
      </c>
      <c r="F116">
        <v>202</v>
      </c>
      <c r="G116">
        <v>0</v>
      </c>
      <c r="H116" s="7">
        <f t="shared" si="5"/>
        <v>50.123456790123456</v>
      </c>
      <c r="I116" s="7">
        <f t="shared" si="6"/>
        <v>0</v>
      </c>
      <c r="J116" s="7">
        <f t="shared" si="7"/>
        <v>49.876543209876544</v>
      </c>
      <c r="K116" s="7">
        <f t="shared" si="8"/>
        <v>0</v>
      </c>
    </row>
    <row r="117" spans="1:11" x14ac:dyDescent="0.35">
      <c r="A117">
        <v>2015</v>
      </c>
      <c r="B117">
        <v>3143609</v>
      </c>
      <c r="C117" t="str">
        <f>VLOOKUP(B117,SAEB!$A:$B,2,0)</f>
        <v>Morro da Garça</v>
      </c>
      <c r="D117">
        <v>192</v>
      </c>
      <c r="E117">
        <v>201</v>
      </c>
      <c r="F117">
        <v>31</v>
      </c>
      <c r="G117">
        <v>31</v>
      </c>
      <c r="H117" s="7">
        <f t="shared" si="5"/>
        <v>42.197802197802197</v>
      </c>
      <c r="I117" s="7">
        <f t="shared" si="6"/>
        <v>44.175824175824175</v>
      </c>
      <c r="J117" s="7">
        <f t="shared" si="7"/>
        <v>6.813186813186813</v>
      </c>
      <c r="K117" s="7">
        <f t="shared" si="8"/>
        <v>6.813186813186813</v>
      </c>
    </row>
    <row r="118" spans="1:11" x14ac:dyDescent="0.35">
      <c r="A118">
        <v>2015</v>
      </c>
      <c r="B118">
        <v>3144003</v>
      </c>
      <c r="C118" t="str">
        <f>VLOOKUP(B118,SAEB!$A:$B,2,0)</f>
        <v>Mutum</v>
      </c>
      <c r="D118">
        <v>505</v>
      </c>
      <c r="E118">
        <v>0</v>
      </c>
      <c r="F118">
        <v>445</v>
      </c>
      <c r="G118">
        <v>130</v>
      </c>
      <c r="H118" s="7">
        <f t="shared" si="5"/>
        <v>46.75925925925926</v>
      </c>
      <c r="I118" s="7">
        <f t="shared" si="6"/>
        <v>0</v>
      </c>
      <c r="J118" s="7">
        <f t="shared" si="7"/>
        <v>41.203703703703702</v>
      </c>
      <c r="K118" s="7">
        <f t="shared" si="8"/>
        <v>12.037037037037036</v>
      </c>
    </row>
    <row r="119" spans="1:11" x14ac:dyDescent="0.35">
      <c r="A119">
        <v>2015</v>
      </c>
      <c r="B119">
        <v>3144201</v>
      </c>
      <c r="C119" t="str">
        <f>VLOOKUP(B119,SAEB!$A:$B,2,0)</f>
        <v>Nacip Raydan</v>
      </c>
      <c r="D119">
        <v>185</v>
      </c>
      <c r="E119">
        <v>0</v>
      </c>
      <c r="F119">
        <v>13</v>
      </c>
      <c r="G119">
        <v>0</v>
      </c>
      <c r="H119" s="7">
        <f t="shared" si="5"/>
        <v>93.434343434343432</v>
      </c>
      <c r="I119" s="7">
        <f t="shared" si="6"/>
        <v>0</v>
      </c>
      <c r="J119" s="7">
        <f t="shared" si="7"/>
        <v>6.5656565656565666</v>
      </c>
      <c r="K119" s="7">
        <f t="shared" si="8"/>
        <v>0</v>
      </c>
    </row>
    <row r="120" spans="1:11" x14ac:dyDescent="0.35">
      <c r="A120">
        <v>2015</v>
      </c>
      <c r="B120">
        <v>3144300</v>
      </c>
      <c r="C120" t="str">
        <f>VLOOKUP(B120,SAEB!$A:$B,2,0)</f>
        <v>Nanuque</v>
      </c>
      <c r="D120">
        <v>608</v>
      </c>
      <c r="E120">
        <v>387</v>
      </c>
      <c r="F120">
        <v>169</v>
      </c>
      <c r="G120">
        <v>113</v>
      </c>
      <c r="H120" s="7">
        <f t="shared" si="5"/>
        <v>47.611589663273293</v>
      </c>
      <c r="I120" s="7">
        <f t="shared" si="6"/>
        <v>30.305403288958498</v>
      </c>
      <c r="J120" s="7">
        <f t="shared" si="7"/>
        <v>13.234142521534848</v>
      </c>
      <c r="K120" s="7">
        <f t="shared" si="8"/>
        <v>8.8488645262333598</v>
      </c>
    </row>
    <row r="121" spans="1:11" x14ac:dyDescent="0.35">
      <c r="A121">
        <v>2015</v>
      </c>
      <c r="B121">
        <v>3144359</v>
      </c>
      <c r="C121" t="str">
        <f>VLOOKUP(B121,SAEB!$A:$B,2,0)</f>
        <v>Naque</v>
      </c>
      <c r="D121">
        <v>484</v>
      </c>
      <c r="E121">
        <v>0</v>
      </c>
      <c r="F121">
        <v>0</v>
      </c>
      <c r="G121">
        <v>0</v>
      </c>
      <c r="H121" s="7">
        <f t="shared" si="5"/>
        <v>100</v>
      </c>
      <c r="I121" s="7">
        <f t="shared" si="6"/>
        <v>0</v>
      </c>
      <c r="J121" s="7">
        <f t="shared" si="7"/>
        <v>0</v>
      </c>
      <c r="K121" s="7">
        <f t="shared" si="8"/>
        <v>0</v>
      </c>
    </row>
    <row r="122" spans="1:11" x14ac:dyDescent="0.35">
      <c r="A122">
        <v>2015</v>
      </c>
      <c r="B122">
        <v>3144375</v>
      </c>
      <c r="C122" t="str">
        <f>VLOOKUP(B122,SAEB!$A:$B,2,0)</f>
        <v>Natalândia</v>
      </c>
      <c r="D122">
        <v>303</v>
      </c>
      <c r="E122">
        <v>0</v>
      </c>
      <c r="F122">
        <v>0</v>
      </c>
      <c r="G122">
        <v>0</v>
      </c>
      <c r="H122" s="7">
        <f t="shared" si="5"/>
        <v>100</v>
      </c>
      <c r="I122" s="7">
        <f t="shared" si="6"/>
        <v>0</v>
      </c>
      <c r="J122" s="7">
        <f t="shared" si="7"/>
        <v>0</v>
      </c>
      <c r="K122" s="7">
        <f t="shared" si="8"/>
        <v>0</v>
      </c>
    </row>
    <row r="123" spans="1:11" x14ac:dyDescent="0.35">
      <c r="A123">
        <v>2015</v>
      </c>
      <c r="B123">
        <v>3144656</v>
      </c>
      <c r="C123" t="str">
        <f>VLOOKUP(B123,SAEB!$A:$B,2,0)</f>
        <v>Ninheira</v>
      </c>
      <c r="D123">
        <v>304</v>
      </c>
      <c r="E123">
        <v>0</v>
      </c>
      <c r="F123">
        <v>346</v>
      </c>
      <c r="G123">
        <v>0</v>
      </c>
      <c r="H123" s="7">
        <f t="shared" si="5"/>
        <v>46.769230769230766</v>
      </c>
      <c r="I123" s="7">
        <f t="shared" si="6"/>
        <v>0</v>
      </c>
      <c r="J123" s="7">
        <f t="shared" si="7"/>
        <v>53.230769230769226</v>
      </c>
      <c r="K123" s="7">
        <f t="shared" si="8"/>
        <v>0</v>
      </c>
    </row>
    <row r="124" spans="1:11" x14ac:dyDescent="0.35">
      <c r="A124">
        <v>2015</v>
      </c>
      <c r="B124">
        <v>3144672</v>
      </c>
      <c r="C124" t="str">
        <f>VLOOKUP(B124,SAEB!$A:$B,2,0)</f>
        <v>Nova Belém</v>
      </c>
      <c r="D124">
        <v>154</v>
      </c>
      <c r="E124">
        <v>3</v>
      </c>
      <c r="F124">
        <v>120</v>
      </c>
      <c r="G124">
        <v>0</v>
      </c>
      <c r="H124" s="7">
        <f t="shared" si="5"/>
        <v>55.595667870036102</v>
      </c>
      <c r="I124" s="7">
        <f t="shared" si="6"/>
        <v>1.0830324909747291</v>
      </c>
      <c r="J124" s="7">
        <f t="shared" si="7"/>
        <v>43.321299638989167</v>
      </c>
      <c r="K124" s="7">
        <f t="shared" si="8"/>
        <v>0</v>
      </c>
    </row>
    <row r="125" spans="1:11" x14ac:dyDescent="0.35">
      <c r="A125">
        <v>2015</v>
      </c>
      <c r="B125">
        <v>3145059</v>
      </c>
      <c r="C125" t="str">
        <f>VLOOKUP(B125,SAEB!$A:$B,2,0)</f>
        <v>Nova Porteirinha</v>
      </c>
      <c r="D125">
        <v>190</v>
      </c>
      <c r="E125">
        <v>110</v>
      </c>
      <c r="F125">
        <v>166</v>
      </c>
      <c r="G125">
        <v>0</v>
      </c>
      <c r="H125" s="7">
        <f t="shared" si="5"/>
        <v>40.772532188841204</v>
      </c>
      <c r="I125" s="7">
        <f t="shared" si="6"/>
        <v>23.605150214592275</v>
      </c>
      <c r="J125" s="7">
        <f t="shared" si="7"/>
        <v>35.622317596566525</v>
      </c>
      <c r="K125" s="7">
        <f t="shared" si="8"/>
        <v>0</v>
      </c>
    </row>
    <row r="126" spans="1:11" x14ac:dyDescent="0.35">
      <c r="A126">
        <v>2015</v>
      </c>
      <c r="B126">
        <v>3145356</v>
      </c>
      <c r="C126" t="str">
        <f>VLOOKUP(B126,SAEB!$A:$B,2,0)</f>
        <v>Novo Oriente de Minas</v>
      </c>
      <c r="D126">
        <v>186</v>
      </c>
      <c r="E126">
        <v>0</v>
      </c>
      <c r="F126">
        <v>335</v>
      </c>
      <c r="G126">
        <v>125</v>
      </c>
      <c r="H126" s="7">
        <f t="shared" si="5"/>
        <v>28.792569659442723</v>
      </c>
      <c r="I126" s="7">
        <f t="shared" si="6"/>
        <v>0</v>
      </c>
      <c r="J126" s="7">
        <f t="shared" si="7"/>
        <v>51.857585139318886</v>
      </c>
      <c r="K126" s="7">
        <f t="shared" si="8"/>
        <v>19.349845201238391</v>
      </c>
    </row>
    <row r="127" spans="1:11" x14ac:dyDescent="0.35">
      <c r="A127">
        <v>2015</v>
      </c>
      <c r="B127">
        <v>3145372</v>
      </c>
      <c r="C127" t="str">
        <f>VLOOKUP(B127,SAEB!$A:$B,2,0)</f>
        <v>Novorizonte</v>
      </c>
      <c r="D127">
        <v>0</v>
      </c>
      <c r="E127">
        <v>0</v>
      </c>
      <c r="F127">
        <v>321</v>
      </c>
      <c r="G127">
        <v>113</v>
      </c>
      <c r="H127" s="7">
        <f t="shared" si="5"/>
        <v>0</v>
      </c>
      <c r="I127" s="7">
        <f t="shared" si="6"/>
        <v>0</v>
      </c>
      <c r="J127" s="7">
        <f t="shared" si="7"/>
        <v>73.963133640552996</v>
      </c>
      <c r="K127" s="7">
        <f t="shared" si="8"/>
        <v>26.036866359447004</v>
      </c>
    </row>
    <row r="128" spans="1:11" x14ac:dyDescent="0.35">
      <c r="A128">
        <v>2015</v>
      </c>
      <c r="B128">
        <v>3145455</v>
      </c>
      <c r="C128" t="str">
        <f>VLOOKUP(B128,SAEB!$A:$B,2,0)</f>
        <v>Olhos-d'Água</v>
      </c>
      <c r="D128">
        <v>363</v>
      </c>
      <c r="E128">
        <v>0</v>
      </c>
      <c r="F128">
        <v>113</v>
      </c>
      <c r="G128">
        <v>1</v>
      </c>
      <c r="H128" s="7">
        <f t="shared" si="5"/>
        <v>76.100628930817621</v>
      </c>
      <c r="I128" s="7">
        <f t="shared" si="6"/>
        <v>0</v>
      </c>
      <c r="J128" s="7">
        <f t="shared" si="7"/>
        <v>23.689727463312369</v>
      </c>
      <c r="K128" s="7">
        <f t="shared" si="8"/>
        <v>0.20964360587002098</v>
      </c>
    </row>
    <row r="129" spans="1:11" x14ac:dyDescent="0.35">
      <c r="A129">
        <v>2015</v>
      </c>
      <c r="B129">
        <v>3146305</v>
      </c>
      <c r="C129" t="str">
        <f>VLOOKUP(B129,SAEB!$A:$B,2,0)</f>
        <v>Padre Paraíso</v>
      </c>
      <c r="D129">
        <v>400</v>
      </c>
      <c r="E129">
        <v>0</v>
      </c>
      <c r="F129">
        <v>549</v>
      </c>
      <c r="G129">
        <v>568</v>
      </c>
      <c r="H129" s="7">
        <f t="shared" si="5"/>
        <v>26.367831245880026</v>
      </c>
      <c r="I129" s="7">
        <f t="shared" si="6"/>
        <v>0</v>
      </c>
      <c r="J129" s="7">
        <f t="shared" si="7"/>
        <v>36.189848384970333</v>
      </c>
      <c r="K129" s="7">
        <f t="shared" si="8"/>
        <v>37.442320369149641</v>
      </c>
    </row>
    <row r="130" spans="1:11" x14ac:dyDescent="0.35">
      <c r="A130">
        <v>2015</v>
      </c>
      <c r="B130">
        <v>3146552</v>
      </c>
      <c r="C130" t="str">
        <f>VLOOKUP(B130,SAEB!$A:$B,2,0)</f>
        <v>Pai Pedro</v>
      </c>
      <c r="D130">
        <v>304</v>
      </c>
      <c r="E130">
        <v>0</v>
      </c>
      <c r="F130">
        <v>181</v>
      </c>
      <c r="G130">
        <v>212</v>
      </c>
      <c r="H130" s="7">
        <f t="shared" si="5"/>
        <v>43.615494978479198</v>
      </c>
      <c r="I130" s="7">
        <f t="shared" si="6"/>
        <v>0</v>
      </c>
      <c r="J130" s="7">
        <f t="shared" si="7"/>
        <v>25.968436154949785</v>
      </c>
      <c r="K130" s="7">
        <f t="shared" si="8"/>
        <v>30.416068866571017</v>
      </c>
    </row>
    <row r="131" spans="1:11" x14ac:dyDescent="0.35">
      <c r="A131">
        <v>2015</v>
      </c>
      <c r="B131">
        <v>3146750</v>
      </c>
      <c r="C131" t="str">
        <f>VLOOKUP(B131,SAEB!$A:$B,2,0)</f>
        <v>Palmópolis</v>
      </c>
      <c r="D131">
        <v>375</v>
      </c>
      <c r="E131">
        <v>48</v>
      </c>
      <c r="F131">
        <v>46</v>
      </c>
      <c r="G131">
        <v>0</v>
      </c>
      <c r="H131" s="7">
        <f t="shared" ref="H131:H194" si="9">D131/SUM($D131:$G131)*100</f>
        <v>79.957356076759055</v>
      </c>
      <c r="I131" s="7">
        <f t="shared" ref="I131:I194" si="10">E131/SUM($D131:$G131)*100</f>
        <v>10.23454157782516</v>
      </c>
      <c r="J131" s="7">
        <f t="shared" ref="J131:J194" si="11">F131/SUM($D131:$G131)*100</f>
        <v>9.8081023454157776</v>
      </c>
      <c r="K131" s="7">
        <f t="shared" ref="K131:K194" si="12">G131/SUM($D131:$G131)*100</f>
        <v>0</v>
      </c>
    </row>
    <row r="132" spans="1:11" x14ac:dyDescent="0.35">
      <c r="A132">
        <v>2015</v>
      </c>
      <c r="B132">
        <v>3147956</v>
      </c>
      <c r="C132" t="str">
        <f>VLOOKUP(B132,SAEB!$A:$B,2,0)</f>
        <v>Patis</v>
      </c>
      <c r="D132">
        <v>172</v>
      </c>
      <c r="E132">
        <v>137</v>
      </c>
      <c r="F132">
        <v>112</v>
      </c>
      <c r="G132">
        <v>120</v>
      </c>
      <c r="H132" s="7">
        <f t="shared" si="9"/>
        <v>31.79297597042514</v>
      </c>
      <c r="I132" s="7">
        <f t="shared" si="10"/>
        <v>25.323475046210721</v>
      </c>
      <c r="J132" s="7">
        <f t="shared" si="11"/>
        <v>20.702402957486139</v>
      </c>
      <c r="K132" s="7">
        <f t="shared" si="12"/>
        <v>22.181146025878004</v>
      </c>
    </row>
    <row r="133" spans="1:11" x14ac:dyDescent="0.35">
      <c r="A133">
        <v>2015</v>
      </c>
      <c r="B133">
        <v>3148608</v>
      </c>
      <c r="C133" t="str">
        <f>VLOOKUP(B133,SAEB!$A:$B,2,0)</f>
        <v>Peçanha</v>
      </c>
      <c r="D133">
        <v>0</v>
      </c>
      <c r="E133">
        <v>0</v>
      </c>
      <c r="F133">
        <v>488</v>
      </c>
      <c r="G133">
        <v>282</v>
      </c>
      <c r="H133" s="7">
        <f t="shared" si="9"/>
        <v>0</v>
      </c>
      <c r="I133" s="7">
        <f t="shared" si="10"/>
        <v>0</v>
      </c>
      <c r="J133" s="7">
        <f t="shared" si="11"/>
        <v>63.376623376623378</v>
      </c>
      <c r="K133" s="7">
        <f t="shared" si="12"/>
        <v>36.623376623376622</v>
      </c>
    </row>
    <row r="134" spans="1:11" x14ac:dyDescent="0.35">
      <c r="A134">
        <v>2015</v>
      </c>
      <c r="B134">
        <v>3148707</v>
      </c>
      <c r="C134" t="str">
        <f>VLOOKUP(B134,SAEB!$A:$B,2,0)</f>
        <v>Pedra Azul</v>
      </c>
      <c r="D134">
        <v>1395</v>
      </c>
      <c r="E134">
        <v>170</v>
      </c>
      <c r="F134">
        <v>163</v>
      </c>
      <c r="G134">
        <v>0</v>
      </c>
      <c r="H134" s="7">
        <f t="shared" si="9"/>
        <v>80.729166666666657</v>
      </c>
      <c r="I134" s="7">
        <f t="shared" si="10"/>
        <v>9.8379629629629637</v>
      </c>
      <c r="J134" s="7">
        <f t="shared" si="11"/>
        <v>9.4328703703703702</v>
      </c>
      <c r="K134" s="7">
        <f t="shared" si="12"/>
        <v>0</v>
      </c>
    </row>
    <row r="135" spans="1:11" x14ac:dyDescent="0.35">
      <c r="A135">
        <v>2015</v>
      </c>
      <c r="B135">
        <v>3149952</v>
      </c>
      <c r="C135" t="str">
        <f>VLOOKUP(B135,SAEB!$A:$B,2,0)</f>
        <v>Periquito</v>
      </c>
      <c r="D135">
        <v>568</v>
      </c>
      <c r="E135">
        <v>449</v>
      </c>
      <c r="F135">
        <v>0</v>
      </c>
      <c r="G135">
        <v>0</v>
      </c>
      <c r="H135" s="7">
        <f t="shared" si="9"/>
        <v>55.850540806293012</v>
      </c>
      <c r="I135" s="7">
        <f t="shared" si="10"/>
        <v>44.149459193706981</v>
      </c>
      <c r="J135" s="7">
        <f t="shared" si="11"/>
        <v>0</v>
      </c>
      <c r="K135" s="7">
        <f t="shared" si="12"/>
        <v>0</v>
      </c>
    </row>
    <row r="136" spans="1:11" x14ac:dyDescent="0.35">
      <c r="A136">
        <v>2015</v>
      </c>
      <c r="B136">
        <v>3150158</v>
      </c>
      <c r="C136" t="str">
        <f>VLOOKUP(B136,SAEB!$A:$B,2,0)</f>
        <v>Piedade de Caratinga</v>
      </c>
      <c r="D136">
        <v>609</v>
      </c>
      <c r="E136">
        <v>0</v>
      </c>
      <c r="F136">
        <v>91</v>
      </c>
      <c r="G136">
        <v>0</v>
      </c>
      <c r="H136" s="7">
        <f t="shared" si="9"/>
        <v>87</v>
      </c>
      <c r="I136" s="7">
        <f t="shared" si="10"/>
        <v>0</v>
      </c>
      <c r="J136" s="7">
        <f t="shared" si="11"/>
        <v>13</v>
      </c>
      <c r="K136" s="7">
        <f t="shared" si="12"/>
        <v>0</v>
      </c>
    </row>
    <row r="137" spans="1:11" x14ac:dyDescent="0.35">
      <c r="A137">
        <v>2015</v>
      </c>
      <c r="B137">
        <v>3150570</v>
      </c>
      <c r="C137" t="str">
        <f>VLOOKUP(B137,SAEB!$A:$B,2,0)</f>
        <v>Pintópolis</v>
      </c>
      <c r="D137">
        <v>407</v>
      </c>
      <c r="E137">
        <v>0</v>
      </c>
      <c r="F137">
        <v>285</v>
      </c>
      <c r="G137">
        <v>0</v>
      </c>
      <c r="H137" s="7">
        <f t="shared" si="9"/>
        <v>58.815028901734102</v>
      </c>
      <c r="I137" s="7">
        <f t="shared" si="10"/>
        <v>0</v>
      </c>
      <c r="J137" s="7">
        <f t="shared" si="11"/>
        <v>41.184971098265891</v>
      </c>
      <c r="K137" s="7">
        <f t="shared" si="12"/>
        <v>0</v>
      </c>
    </row>
    <row r="138" spans="1:11" x14ac:dyDescent="0.35">
      <c r="A138">
        <v>2015</v>
      </c>
      <c r="B138">
        <v>3151206</v>
      </c>
      <c r="C138" t="str">
        <f>VLOOKUP(B138,SAEB!$A:$B,2,0)</f>
        <v>Pirapora</v>
      </c>
      <c r="D138">
        <v>2864</v>
      </c>
      <c r="E138">
        <v>49</v>
      </c>
      <c r="F138">
        <v>0</v>
      </c>
      <c r="G138">
        <v>0</v>
      </c>
      <c r="H138" s="7">
        <f t="shared" si="9"/>
        <v>98.317885341572264</v>
      </c>
      <c r="I138" s="7">
        <f t="shared" si="10"/>
        <v>1.6821146584277378</v>
      </c>
      <c r="J138" s="7">
        <f t="shared" si="11"/>
        <v>0</v>
      </c>
      <c r="K138" s="7">
        <f t="shared" si="12"/>
        <v>0</v>
      </c>
    </row>
    <row r="139" spans="1:11" x14ac:dyDescent="0.35">
      <c r="A139">
        <v>2015</v>
      </c>
      <c r="B139">
        <v>3152170</v>
      </c>
      <c r="C139" t="str">
        <f>VLOOKUP(B139,SAEB!$A:$B,2,0)</f>
        <v>Ponto dos Volantes</v>
      </c>
      <c r="D139">
        <v>598</v>
      </c>
      <c r="E139">
        <v>270</v>
      </c>
      <c r="F139">
        <v>539</v>
      </c>
      <c r="G139">
        <v>460</v>
      </c>
      <c r="H139" s="7">
        <f t="shared" si="9"/>
        <v>32.029994643813602</v>
      </c>
      <c r="I139" s="7">
        <f t="shared" si="10"/>
        <v>14.461703267273702</v>
      </c>
      <c r="J139" s="7">
        <f t="shared" si="11"/>
        <v>28.869844670594535</v>
      </c>
      <c r="K139" s="7">
        <f t="shared" si="12"/>
        <v>24.638457418318158</v>
      </c>
    </row>
    <row r="140" spans="1:11" x14ac:dyDescent="0.35">
      <c r="A140">
        <v>2015</v>
      </c>
      <c r="B140">
        <v>3152402</v>
      </c>
      <c r="C140" t="str">
        <f>VLOOKUP(B140,SAEB!$A:$B,2,0)</f>
        <v>Poté</v>
      </c>
      <c r="D140">
        <v>671</v>
      </c>
      <c r="E140">
        <v>297</v>
      </c>
      <c r="F140">
        <v>178</v>
      </c>
      <c r="G140">
        <v>47</v>
      </c>
      <c r="H140" s="7">
        <f t="shared" si="9"/>
        <v>56.24476110645432</v>
      </c>
      <c r="I140" s="7">
        <f t="shared" si="10"/>
        <v>24.895222129086335</v>
      </c>
      <c r="J140" s="7">
        <f t="shared" si="11"/>
        <v>14.920368818105617</v>
      </c>
      <c r="K140" s="7">
        <f t="shared" si="12"/>
        <v>3.9396479463537304</v>
      </c>
    </row>
    <row r="141" spans="1:11" x14ac:dyDescent="0.35">
      <c r="A141">
        <v>2015</v>
      </c>
      <c r="B141">
        <v>3153301</v>
      </c>
      <c r="C141" t="str">
        <f>VLOOKUP(B141,SAEB!$A:$B,2,0)</f>
        <v>Presidente Kubitschek</v>
      </c>
      <c r="D141">
        <v>314</v>
      </c>
      <c r="E141">
        <v>0</v>
      </c>
      <c r="F141">
        <v>0</v>
      </c>
      <c r="G141">
        <v>0</v>
      </c>
      <c r="H141" s="7">
        <f t="shared" si="9"/>
        <v>100</v>
      </c>
      <c r="I141" s="7">
        <f t="shared" si="10"/>
        <v>0</v>
      </c>
      <c r="J141" s="7">
        <f t="shared" si="11"/>
        <v>0</v>
      </c>
      <c r="K141" s="7">
        <f t="shared" si="12"/>
        <v>0</v>
      </c>
    </row>
    <row r="142" spans="1:11" x14ac:dyDescent="0.35">
      <c r="A142">
        <v>2015</v>
      </c>
      <c r="B142">
        <v>3154309</v>
      </c>
      <c r="C142" t="str">
        <f>VLOOKUP(B142,SAEB!$A:$B,2,0)</f>
        <v>Resplendor</v>
      </c>
      <c r="D142">
        <v>1138</v>
      </c>
      <c r="E142">
        <v>584</v>
      </c>
      <c r="F142">
        <v>0</v>
      </c>
      <c r="G142">
        <v>0</v>
      </c>
      <c r="H142" s="7">
        <f t="shared" si="9"/>
        <v>66.085946573751457</v>
      </c>
      <c r="I142" s="7">
        <f t="shared" si="10"/>
        <v>33.91405342624855</v>
      </c>
      <c r="J142" s="7">
        <f t="shared" si="11"/>
        <v>0</v>
      </c>
      <c r="K142" s="7">
        <f t="shared" si="12"/>
        <v>0</v>
      </c>
    </row>
    <row r="143" spans="1:11" x14ac:dyDescent="0.35">
      <c r="A143">
        <v>2015</v>
      </c>
      <c r="B143">
        <v>3155108</v>
      </c>
      <c r="C143" t="str">
        <f>VLOOKUP(B143,SAEB!$A:$B,2,0)</f>
        <v>Rio do Prado</v>
      </c>
      <c r="D143">
        <v>0</v>
      </c>
      <c r="E143">
        <v>0</v>
      </c>
      <c r="F143">
        <v>149</v>
      </c>
      <c r="G143">
        <v>182</v>
      </c>
      <c r="H143" s="7">
        <f t="shared" si="9"/>
        <v>0</v>
      </c>
      <c r="I143" s="7">
        <f t="shared" si="10"/>
        <v>0</v>
      </c>
      <c r="J143" s="7">
        <f t="shared" si="11"/>
        <v>45.015105740181269</v>
      </c>
      <c r="K143" s="7">
        <f t="shared" si="12"/>
        <v>54.984894259818731</v>
      </c>
    </row>
    <row r="144" spans="1:11" x14ac:dyDescent="0.35">
      <c r="A144">
        <v>2015</v>
      </c>
      <c r="B144">
        <v>3155603</v>
      </c>
      <c r="C144" t="str">
        <f>VLOOKUP(B144,SAEB!$A:$B,2,0)</f>
        <v>Rio Pardo de Minas</v>
      </c>
      <c r="D144">
        <v>805</v>
      </c>
      <c r="E144">
        <v>431</v>
      </c>
      <c r="F144">
        <v>582</v>
      </c>
      <c r="G144">
        <v>680</v>
      </c>
      <c r="H144" s="7">
        <f t="shared" si="9"/>
        <v>32.225780624499599</v>
      </c>
      <c r="I144" s="7">
        <f t="shared" si="10"/>
        <v>17.253803042433947</v>
      </c>
      <c r="J144" s="7">
        <f t="shared" si="11"/>
        <v>23.298638911128901</v>
      </c>
      <c r="K144" s="7">
        <f t="shared" si="12"/>
        <v>27.221777421937549</v>
      </c>
    </row>
    <row r="145" spans="1:11" x14ac:dyDescent="0.35">
      <c r="A145">
        <v>2015</v>
      </c>
      <c r="B145">
        <v>3156502</v>
      </c>
      <c r="C145" t="str">
        <f>VLOOKUP(B145,SAEB!$A:$B,2,0)</f>
        <v>Rubelita</v>
      </c>
      <c r="D145">
        <v>121</v>
      </c>
      <c r="E145">
        <v>0</v>
      </c>
      <c r="F145">
        <v>181</v>
      </c>
      <c r="G145">
        <v>0</v>
      </c>
      <c r="H145" s="7">
        <f t="shared" si="9"/>
        <v>40.066225165562912</v>
      </c>
      <c r="I145" s="7">
        <f t="shared" si="10"/>
        <v>0</v>
      </c>
      <c r="J145" s="7">
        <f t="shared" si="11"/>
        <v>59.933774834437081</v>
      </c>
      <c r="K145" s="7">
        <f t="shared" si="12"/>
        <v>0</v>
      </c>
    </row>
    <row r="146" spans="1:11" x14ac:dyDescent="0.35">
      <c r="A146">
        <v>2015</v>
      </c>
      <c r="B146">
        <v>3156601</v>
      </c>
      <c r="C146" t="str">
        <f>VLOOKUP(B146,SAEB!$A:$B,2,0)</f>
        <v>Rubim</v>
      </c>
      <c r="D146">
        <v>559</v>
      </c>
      <c r="E146">
        <v>425</v>
      </c>
      <c r="F146">
        <v>94</v>
      </c>
      <c r="G146">
        <v>0</v>
      </c>
      <c r="H146" s="7">
        <f t="shared" si="9"/>
        <v>51.855287569573285</v>
      </c>
      <c r="I146" s="7">
        <f t="shared" si="10"/>
        <v>39.424860853432278</v>
      </c>
      <c r="J146" s="7">
        <f t="shared" si="11"/>
        <v>8.7198515769944329</v>
      </c>
      <c r="K146" s="7">
        <f t="shared" si="12"/>
        <v>0</v>
      </c>
    </row>
    <row r="147" spans="1:11" x14ac:dyDescent="0.35">
      <c r="A147">
        <v>2015</v>
      </c>
      <c r="B147">
        <v>3156809</v>
      </c>
      <c r="C147" t="str">
        <f>VLOOKUP(B147,SAEB!$A:$B,2,0)</f>
        <v>Sabinópolis</v>
      </c>
      <c r="D147">
        <v>258</v>
      </c>
      <c r="E147">
        <v>0</v>
      </c>
      <c r="F147">
        <v>164</v>
      </c>
      <c r="G147">
        <v>0</v>
      </c>
      <c r="H147" s="7">
        <f t="shared" si="9"/>
        <v>61.137440758293835</v>
      </c>
      <c r="I147" s="7">
        <f t="shared" si="10"/>
        <v>0</v>
      </c>
      <c r="J147" s="7">
        <f t="shared" si="11"/>
        <v>38.862559241706165</v>
      </c>
      <c r="K147" s="7">
        <f t="shared" si="12"/>
        <v>0</v>
      </c>
    </row>
    <row r="148" spans="1:11" x14ac:dyDescent="0.35">
      <c r="A148">
        <v>2015</v>
      </c>
      <c r="B148">
        <v>3157005</v>
      </c>
      <c r="C148" t="str">
        <f>VLOOKUP(B148,SAEB!$A:$B,2,0)</f>
        <v>Salinas</v>
      </c>
      <c r="D148">
        <v>517</v>
      </c>
      <c r="E148">
        <v>0</v>
      </c>
      <c r="F148">
        <v>274</v>
      </c>
      <c r="G148">
        <v>121</v>
      </c>
      <c r="H148" s="7">
        <f t="shared" si="9"/>
        <v>56.688596491228068</v>
      </c>
      <c r="I148" s="7">
        <f t="shared" si="10"/>
        <v>0</v>
      </c>
      <c r="J148" s="7">
        <f t="shared" si="11"/>
        <v>30.043859649122805</v>
      </c>
      <c r="K148" s="7">
        <f t="shared" si="12"/>
        <v>13.267543859649123</v>
      </c>
    </row>
    <row r="149" spans="1:11" x14ac:dyDescent="0.35">
      <c r="A149">
        <v>2015</v>
      </c>
      <c r="B149">
        <v>3157104</v>
      </c>
      <c r="C149" t="str">
        <f>VLOOKUP(B149,SAEB!$A:$B,2,0)</f>
        <v>Salto da Divisa</v>
      </c>
      <c r="D149">
        <v>585</v>
      </c>
      <c r="E149">
        <v>0</v>
      </c>
      <c r="F149">
        <v>28</v>
      </c>
      <c r="G149">
        <v>0</v>
      </c>
      <c r="H149" s="7">
        <f t="shared" si="9"/>
        <v>95.43230016313214</v>
      </c>
      <c r="I149" s="7">
        <f t="shared" si="10"/>
        <v>0</v>
      </c>
      <c r="J149" s="7">
        <f t="shared" si="11"/>
        <v>4.5676998368678632</v>
      </c>
      <c r="K149" s="7">
        <f t="shared" si="12"/>
        <v>0</v>
      </c>
    </row>
    <row r="150" spans="1:11" x14ac:dyDescent="0.35">
      <c r="A150">
        <v>2015</v>
      </c>
      <c r="B150">
        <v>3157252</v>
      </c>
      <c r="C150" t="str">
        <f>VLOOKUP(B150,SAEB!$A:$B,2,0)</f>
        <v>Santa Bárbara do Leste</v>
      </c>
      <c r="D150">
        <v>155</v>
      </c>
      <c r="E150">
        <v>170</v>
      </c>
      <c r="F150">
        <v>210</v>
      </c>
      <c r="G150">
        <v>87</v>
      </c>
      <c r="H150" s="7">
        <f t="shared" si="9"/>
        <v>24.919614147909968</v>
      </c>
      <c r="I150" s="7">
        <f t="shared" si="10"/>
        <v>27.331189710610932</v>
      </c>
      <c r="J150" s="7">
        <f t="shared" si="11"/>
        <v>33.762057877813504</v>
      </c>
      <c r="K150" s="7">
        <f t="shared" si="12"/>
        <v>13.987138263665594</v>
      </c>
    </row>
    <row r="151" spans="1:11" x14ac:dyDescent="0.35">
      <c r="A151">
        <v>2015</v>
      </c>
      <c r="B151">
        <v>3157377</v>
      </c>
      <c r="C151" t="str">
        <f>VLOOKUP(B151,SAEB!$A:$B,2,0)</f>
        <v>Santa Cruz de Salinas</v>
      </c>
      <c r="D151">
        <v>181</v>
      </c>
      <c r="E151">
        <v>0</v>
      </c>
      <c r="F151">
        <v>206</v>
      </c>
      <c r="G151">
        <v>52</v>
      </c>
      <c r="H151" s="7">
        <f t="shared" si="9"/>
        <v>41.230068337129836</v>
      </c>
      <c r="I151" s="7">
        <f t="shared" si="10"/>
        <v>0</v>
      </c>
      <c r="J151" s="7">
        <f t="shared" si="11"/>
        <v>46.924829157175395</v>
      </c>
      <c r="K151" s="7">
        <f t="shared" si="12"/>
        <v>11.845102505694761</v>
      </c>
    </row>
    <row r="152" spans="1:11" x14ac:dyDescent="0.35">
      <c r="A152">
        <v>2015</v>
      </c>
      <c r="B152">
        <v>3157500</v>
      </c>
      <c r="C152" t="str">
        <f>VLOOKUP(B152,SAEB!$A:$B,2,0)</f>
        <v>Santa Efigênia de Minas</v>
      </c>
      <c r="D152">
        <v>272</v>
      </c>
      <c r="E152">
        <v>0</v>
      </c>
      <c r="F152">
        <v>92</v>
      </c>
      <c r="G152">
        <v>0</v>
      </c>
      <c r="H152" s="7">
        <f t="shared" si="9"/>
        <v>74.72527472527473</v>
      </c>
      <c r="I152" s="7">
        <f t="shared" si="10"/>
        <v>0</v>
      </c>
      <c r="J152" s="7">
        <f t="shared" si="11"/>
        <v>25.274725274725274</v>
      </c>
      <c r="K152" s="7">
        <f t="shared" si="12"/>
        <v>0</v>
      </c>
    </row>
    <row r="153" spans="1:11" x14ac:dyDescent="0.35">
      <c r="A153">
        <v>2015</v>
      </c>
      <c r="B153">
        <v>3157658</v>
      </c>
      <c r="C153" t="str">
        <f>VLOOKUP(B153,SAEB!$A:$B,2,0)</f>
        <v>Santa Helena de Minas</v>
      </c>
      <c r="D153">
        <v>194</v>
      </c>
      <c r="E153">
        <v>0</v>
      </c>
      <c r="F153">
        <v>94</v>
      </c>
      <c r="G153">
        <v>71</v>
      </c>
      <c r="H153" s="7">
        <f t="shared" si="9"/>
        <v>54.038997214484674</v>
      </c>
      <c r="I153" s="7">
        <f t="shared" si="10"/>
        <v>0</v>
      </c>
      <c r="J153" s="7">
        <f t="shared" si="11"/>
        <v>26.18384401114206</v>
      </c>
      <c r="K153" s="7">
        <f t="shared" si="12"/>
        <v>19.777158774373259</v>
      </c>
    </row>
    <row r="154" spans="1:11" x14ac:dyDescent="0.35">
      <c r="A154">
        <v>2015</v>
      </c>
      <c r="B154">
        <v>3158201</v>
      </c>
      <c r="C154" t="str">
        <f>VLOOKUP(B154,SAEB!$A:$B,2,0)</f>
        <v>Santa Maria do Suaçuí</v>
      </c>
      <c r="D154">
        <v>100</v>
      </c>
      <c r="E154">
        <v>44</v>
      </c>
      <c r="F154">
        <v>401</v>
      </c>
      <c r="G154">
        <v>0</v>
      </c>
      <c r="H154" s="7">
        <f t="shared" si="9"/>
        <v>18.348623853211009</v>
      </c>
      <c r="I154" s="7">
        <f t="shared" si="10"/>
        <v>8.0733944954128454</v>
      </c>
      <c r="J154" s="7">
        <f t="shared" si="11"/>
        <v>73.577981651376149</v>
      </c>
      <c r="K154" s="7">
        <f t="shared" si="12"/>
        <v>0</v>
      </c>
    </row>
    <row r="155" spans="1:11" x14ac:dyDescent="0.35">
      <c r="A155">
        <v>2015</v>
      </c>
      <c r="B155">
        <v>3159357</v>
      </c>
      <c r="C155" t="str">
        <f>VLOOKUP(B155,SAEB!$A:$B,2,0)</f>
        <v>Santa Rita de Minas</v>
      </c>
      <c r="D155">
        <v>375</v>
      </c>
      <c r="E155">
        <v>0</v>
      </c>
      <c r="F155">
        <v>72</v>
      </c>
      <c r="G155">
        <v>0</v>
      </c>
      <c r="H155" s="7">
        <f t="shared" si="9"/>
        <v>83.892617449664428</v>
      </c>
      <c r="I155" s="7">
        <f t="shared" si="10"/>
        <v>0</v>
      </c>
      <c r="J155" s="7">
        <f t="shared" si="11"/>
        <v>16.107382550335569</v>
      </c>
      <c r="K155" s="7">
        <f t="shared" si="12"/>
        <v>0</v>
      </c>
    </row>
    <row r="156" spans="1:11" x14ac:dyDescent="0.35">
      <c r="A156">
        <v>2015</v>
      </c>
      <c r="B156">
        <v>3159506</v>
      </c>
      <c r="C156" t="str">
        <f>VLOOKUP(B156,SAEB!$A:$B,2,0)</f>
        <v>Santa Rita do Itueto</v>
      </c>
      <c r="D156">
        <v>131</v>
      </c>
      <c r="E156">
        <v>0</v>
      </c>
      <c r="F156">
        <v>179</v>
      </c>
      <c r="G156">
        <v>83</v>
      </c>
      <c r="H156" s="7">
        <f t="shared" si="9"/>
        <v>33.333333333333329</v>
      </c>
      <c r="I156" s="7">
        <f t="shared" si="10"/>
        <v>0</v>
      </c>
      <c r="J156" s="7">
        <f t="shared" si="11"/>
        <v>45.547073791348602</v>
      </c>
      <c r="K156" s="7">
        <f t="shared" si="12"/>
        <v>21.119592875318066</v>
      </c>
    </row>
    <row r="157" spans="1:11" x14ac:dyDescent="0.35">
      <c r="A157">
        <v>2015</v>
      </c>
      <c r="B157">
        <v>3160454</v>
      </c>
      <c r="C157" t="str">
        <f>VLOOKUP(B157,SAEB!$A:$B,2,0)</f>
        <v>Santo Antônio do Retiro</v>
      </c>
      <c r="D157">
        <v>335</v>
      </c>
      <c r="E157">
        <v>274</v>
      </c>
      <c r="F157">
        <v>190</v>
      </c>
      <c r="G157">
        <v>230</v>
      </c>
      <c r="H157" s="7">
        <f t="shared" si="9"/>
        <v>32.555879494655002</v>
      </c>
      <c r="I157" s="7">
        <f t="shared" si="10"/>
        <v>26.62779397473275</v>
      </c>
      <c r="J157" s="7">
        <f t="shared" si="11"/>
        <v>18.464528668610299</v>
      </c>
      <c r="K157" s="7">
        <f t="shared" si="12"/>
        <v>22.351797862001945</v>
      </c>
    </row>
    <row r="158" spans="1:11" x14ac:dyDescent="0.35">
      <c r="A158">
        <v>2015</v>
      </c>
      <c r="B158">
        <v>3160603</v>
      </c>
      <c r="C158" t="str">
        <f>VLOOKUP(B158,SAEB!$A:$B,2,0)</f>
        <v>Santo Hipólito</v>
      </c>
      <c r="D158">
        <v>222</v>
      </c>
      <c r="E158">
        <v>0</v>
      </c>
      <c r="F158">
        <v>8</v>
      </c>
      <c r="G158">
        <v>0</v>
      </c>
      <c r="H158" s="7">
        <f t="shared" si="9"/>
        <v>96.521739130434781</v>
      </c>
      <c r="I158" s="7">
        <f t="shared" si="10"/>
        <v>0</v>
      </c>
      <c r="J158" s="7">
        <f t="shared" si="11"/>
        <v>3.4782608695652173</v>
      </c>
      <c r="K158" s="7">
        <f t="shared" si="12"/>
        <v>0</v>
      </c>
    </row>
    <row r="159" spans="1:11" x14ac:dyDescent="0.35">
      <c r="A159">
        <v>2015</v>
      </c>
      <c r="B159">
        <v>3160959</v>
      </c>
      <c r="C159" t="str">
        <f>VLOOKUP(B159,SAEB!$A:$B,2,0)</f>
        <v>São Domingos das Dores</v>
      </c>
      <c r="D159">
        <v>291</v>
      </c>
      <c r="E159">
        <v>0</v>
      </c>
      <c r="F159">
        <v>212</v>
      </c>
      <c r="G159">
        <v>223</v>
      </c>
      <c r="H159" s="7">
        <f t="shared" si="9"/>
        <v>40.082644628099175</v>
      </c>
      <c r="I159" s="7">
        <f t="shared" si="10"/>
        <v>0</v>
      </c>
      <c r="J159" s="7">
        <f t="shared" si="11"/>
        <v>29.201101928374655</v>
      </c>
      <c r="K159" s="7">
        <f t="shared" si="12"/>
        <v>30.71625344352617</v>
      </c>
    </row>
    <row r="160" spans="1:11" x14ac:dyDescent="0.35">
      <c r="A160">
        <v>2015</v>
      </c>
      <c r="B160">
        <v>3161601</v>
      </c>
      <c r="C160" t="str">
        <f>VLOOKUP(B160,SAEB!$A:$B,2,0)</f>
        <v>São Geraldo da Piedade</v>
      </c>
      <c r="D160">
        <v>122</v>
      </c>
      <c r="E160">
        <v>0</v>
      </c>
      <c r="F160">
        <v>210</v>
      </c>
      <c r="G160">
        <v>124</v>
      </c>
      <c r="H160" s="7">
        <f t="shared" si="9"/>
        <v>26.754385964912281</v>
      </c>
      <c r="I160" s="7">
        <f t="shared" si="10"/>
        <v>0</v>
      </c>
      <c r="J160" s="7">
        <f t="shared" si="11"/>
        <v>46.05263157894737</v>
      </c>
      <c r="K160" s="7">
        <f t="shared" si="12"/>
        <v>27.192982456140353</v>
      </c>
    </row>
    <row r="161" spans="1:11" x14ac:dyDescent="0.35">
      <c r="A161">
        <v>2015</v>
      </c>
      <c r="B161">
        <v>3125507</v>
      </c>
      <c r="C161" t="str">
        <f>VLOOKUP(B161,SAEB!$A:$B,2,0)</f>
        <v>São Gonçalo do Rio Preto</v>
      </c>
      <c r="D161">
        <v>233</v>
      </c>
      <c r="E161">
        <v>0</v>
      </c>
      <c r="F161">
        <v>0</v>
      </c>
      <c r="G161">
        <v>0</v>
      </c>
      <c r="H161" s="7">
        <f t="shared" si="9"/>
        <v>100</v>
      </c>
      <c r="I161" s="7">
        <f t="shared" si="10"/>
        <v>0</v>
      </c>
      <c r="J161" s="7">
        <f t="shared" si="11"/>
        <v>0</v>
      </c>
      <c r="K161" s="7">
        <f t="shared" si="12"/>
        <v>0</v>
      </c>
    </row>
    <row r="162" spans="1:11" x14ac:dyDescent="0.35">
      <c r="A162">
        <v>2015</v>
      </c>
      <c r="B162">
        <v>3162252</v>
      </c>
      <c r="C162" t="str">
        <f>VLOOKUP(B162,SAEB!$A:$B,2,0)</f>
        <v>São João da Lagoa</v>
      </c>
      <c r="D162">
        <v>267</v>
      </c>
      <c r="E162">
        <v>0</v>
      </c>
      <c r="F162">
        <v>60</v>
      </c>
      <c r="G162">
        <v>73</v>
      </c>
      <c r="H162" s="7">
        <f t="shared" si="9"/>
        <v>66.75</v>
      </c>
      <c r="I162" s="7">
        <f t="shared" si="10"/>
        <v>0</v>
      </c>
      <c r="J162" s="7">
        <f t="shared" si="11"/>
        <v>15</v>
      </c>
      <c r="K162" s="7">
        <f t="shared" si="12"/>
        <v>18.25</v>
      </c>
    </row>
    <row r="163" spans="1:11" x14ac:dyDescent="0.35">
      <c r="A163">
        <v>2015</v>
      </c>
      <c r="B163">
        <v>3162401</v>
      </c>
      <c r="C163" t="str">
        <f>VLOOKUP(B163,SAEB!$A:$B,2,0)</f>
        <v>São João da Ponte</v>
      </c>
      <c r="D163">
        <v>278</v>
      </c>
      <c r="E163">
        <v>431</v>
      </c>
      <c r="F163">
        <v>1290</v>
      </c>
      <c r="G163">
        <v>801</v>
      </c>
      <c r="H163" s="7">
        <f t="shared" si="9"/>
        <v>9.9285714285714288</v>
      </c>
      <c r="I163" s="7">
        <f t="shared" si="10"/>
        <v>15.392857142857144</v>
      </c>
      <c r="J163" s="7">
        <f t="shared" si="11"/>
        <v>46.071428571428569</v>
      </c>
      <c r="K163" s="7">
        <f t="shared" si="12"/>
        <v>28.607142857142858</v>
      </c>
    </row>
    <row r="164" spans="1:11" x14ac:dyDescent="0.35">
      <c r="A164">
        <v>2015</v>
      </c>
      <c r="B164">
        <v>3162575</v>
      </c>
      <c r="C164" t="str">
        <f>VLOOKUP(B164,SAEB!$A:$B,2,0)</f>
        <v>São João do Manteninha</v>
      </c>
      <c r="D164">
        <v>263</v>
      </c>
      <c r="E164">
        <v>0</v>
      </c>
      <c r="F164">
        <v>145</v>
      </c>
      <c r="G164">
        <v>0</v>
      </c>
      <c r="H164" s="7">
        <f t="shared" si="9"/>
        <v>64.460784313725497</v>
      </c>
      <c r="I164" s="7">
        <f t="shared" si="10"/>
        <v>0</v>
      </c>
      <c r="J164" s="7">
        <f t="shared" si="11"/>
        <v>35.53921568627451</v>
      </c>
      <c r="K164" s="7">
        <f t="shared" si="12"/>
        <v>0</v>
      </c>
    </row>
    <row r="165" spans="1:11" x14ac:dyDescent="0.35">
      <c r="A165">
        <v>2015</v>
      </c>
      <c r="B165">
        <v>3162807</v>
      </c>
      <c r="C165" t="str">
        <f>VLOOKUP(B165,SAEB!$A:$B,2,0)</f>
        <v>São João Evangelista</v>
      </c>
      <c r="D165">
        <v>805</v>
      </c>
      <c r="E165">
        <v>0</v>
      </c>
      <c r="F165">
        <v>273</v>
      </c>
      <c r="G165">
        <v>90</v>
      </c>
      <c r="H165" s="7">
        <f t="shared" si="9"/>
        <v>68.921232876712324</v>
      </c>
      <c r="I165" s="7">
        <f t="shared" si="10"/>
        <v>0</v>
      </c>
      <c r="J165" s="7">
        <f t="shared" si="11"/>
        <v>23.373287671232877</v>
      </c>
      <c r="K165" s="7">
        <f t="shared" si="12"/>
        <v>7.7054794520547949</v>
      </c>
    </row>
    <row r="166" spans="1:11" x14ac:dyDescent="0.35">
      <c r="A166">
        <v>2015</v>
      </c>
      <c r="B166">
        <v>3163508</v>
      </c>
      <c r="C166" t="str">
        <f>VLOOKUP(B166,SAEB!$A:$B,2,0)</f>
        <v>São José do Jacuri</v>
      </c>
      <c r="D166">
        <v>0</v>
      </c>
      <c r="E166">
        <v>0</v>
      </c>
      <c r="F166">
        <v>197</v>
      </c>
      <c r="G166">
        <v>143</v>
      </c>
      <c r="H166" s="7">
        <f t="shared" si="9"/>
        <v>0</v>
      </c>
      <c r="I166" s="7">
        <f t="shared" si="10"/>
        <v>0</v>
      </c>
      <c r="J166" s="7">
        <f t="shared" si="11"/>
        <v>57.941176470588239</v>
      </c>
      <c r="K166" s="7">
        <f t="shared" si="12"/>
        <v>42.058823529411768</v>
      </c>
    </row>
    <row r="167" spans="1:11" x14ac:dyDescent="0.35">
      <c r="A167">
        <v>2015</v>
      </c>
      <c r="B167">
        <v>3164100</v>
      </c>
      <c r="C167" t="str">
        <f>VLOOKUP(B167,SAEB!$A:$B,2,0)</f>
        <v>São Pedro do Suaçuí</v>
      </c>
      <c r="D167">
        <v>266</v>
      </c>
      <c r="E167">
        <v>0</v>
      </c>
      <c r="F167">
        <v>69</v>
      </c>
      <c r="G167">
        <v>0</v>
      </c>
      <c r="H167" s="7">
        <f t="shared" si="9"/>
        <v>79.402985074626869</v>
      </c>
      <c r="I167" s="7">
        <f t="shared" si="10"/>
        <v>0</v>
      </c>
      <c r="J167" s="7">
        <f t="shared" si="11"/>
        <v>20.597014925373134</v>
      </c>
      <c r="K167" s="7">
        <f t="shared" si="12"/>
        <v>0</v>
      </c>
    </row>
    <row r="168" spans="1:11" x14ac:dyDescent="0.35">
      <c r="A168">
        <v>2015</v>
      </c>
      <c r="B168">
        <v>3164472</v>
      </c>
      <c r="C168" t="str">
        <f>VLOOKUP(B168,SAEB!$A:$B,2,0)</f>
        <v>São Sebastião do Anta</v>
      </c>
      <c r="D168">
        <v>487</v>
      </c>
      <c r="E168">
        <v>295</v>
      </c>
      <c r="F168">
        <v>29</v>
      </c>
      <c r="G168">
        <v>0</v>
      </c>
      <c r="H168" s="7">
        <f t="shared" si="9"/>
        <v>60.049321824907523</v>
      </c>
      <c r="I168" s="7">
        <f t="shared" si="10"/>
        <v>36.374845869297161</v>
      </c>
      <c r="J168" s="7">
        <f t="shared" si="11"/>
        <v>3.5758323057953145</v>
      </c>
      <c r="K168" s="7">
        <f t="shared" si="12"/>
        <v>0</v>
      </c>
    </row>
    <row r="169" spans="1:11" x14ac:dyDescent="0.35">
      <c r="A169">
        <v>2015</v>
      </c>
      <c r="B169">
        <v>3165503</v>
      </c>
      <c r="C169" t="str">
        <f>VLOOKUP(B169,SAEB!$A:$B,2,0)</f>
        <v>Sardoá</v>
      </c>
      <c r="D169">
        <v>199</v>
      </c>
      <c r="E169">
        <v>0</v>
      </c>
      <c r="F169">
        <v>178</v>
      </c>
      <c r="G169">
        <v>195</v>
      </c>
      <c r="H169" s="7">
        <f t="shared" si="9"/>
        <v>34.790209790209794</v>
      </c>
      <c r="I169" s="7">
        <f t="shared" si="10"/>
        <v>0</v>
      </c>
      <c r="J169" s="7">
        <f t="shared" si="11"/>
        <v>31.11888111888112</v>
      </c>
      <c r="K169" s="7">
        <f t="shared" si="12"/>
        <v>34.090909090909086</v>
      </c>
    </row>
    <row r="170" spans="1:11" x14ac:dyDescent="0.35">
      <c r="A170">
        <v>2015</v>
      </c>
      <c r="B170">
        <v>3165909</v>
      </c>
      <c r="C170" t="str">
        <f>VLOOKUP(B170,SAEB!$A:$B,2,0)</f>
        <v>Senador Modestino Gonçalves</v>
      </c>
      <c r="D170">
        <v>208</v>
      </c>
      <c r="E170">
        <v>0</v>
      </c>
      <c r="F170">
        <v>114</v>
      </c>
      <c r="G170">
        <v>0</v>
      </c>
      <c r="H170" s="7">
        <f t="shared" si="9"/>
        <v>64.596273291925471</v>
      </c>
      <c r="I170" s="7">
        <f t="shared" si="10"/>
        <v>0</v>
      </c>
      <c r="J170" s="7">
        <f t="shared" si="11"/>
        <v>35.403726708074537</v>
      </c>
      <c r="K170" s="7">
        <f t="shared" si="12"/>
        <v>0</v>
      </c>
    </row>
    <row r="171" spans="1:11" x14ac:dyDescent="0.35">
      <c r="A171">
        <v>2015</v>
      </c>
      <c r="B171">
        <v>3166105</v>
      </c>
      <c r="C171" t="str">
        <f>VLOOKUP(B171,SAEB!$A:$B,2,0)</f>
        <v>Senhora do Porto</v>
      </c>
      <c r="D171">
        <v>292</v>
      </c>
      <c r="E171">
        <v>0</v>
      </c>
      <c r="F171">
        <v>23</v>
      </c>
      <c r="G171">
        <v>0</v>
      </c>
      <c r="H171" s="7">
        <f t="shared" si="9"/>
        <v>92.698412698412696</v>
      </c>
      <c r="I171" s="7">
        <f t="shared" si="10"/>
        <v>0</v>
      </c>
      <c r="J171" s="7">
        <f t="shared" si="11"/>
        <v>7.3015873015873023</v>
      </c>
      <c r="K171" s="7">
        <f t="shared" si="12"/>
        <v>0</v>
      </c>
    </row>
    <row r="172" spans="1:11" x14ac:dyDescent="0.35">
      <c r="A172">
        <v>2015</v>
      </c>
      <c r="B172">
        <v>3166709</v>
      </c>
      <c r="C172" t="str">
        <f>VLOOKUP(B172,SAEB!$A:$B,2,0)</f>
        <v>Serra dos Aimorés</v>
      </c>
      <c r="D172">
        <v>328</v>
      </c>
      <c r="E172">
        <v>0</v>
      </c>
      <c r="F172">
        <v>122</v>
      </c>
      <c r="G172">
        <v>26</v>
      </c>
      <c r="H172" s="7">
        <f t="shared" si="9"/>
        <v>68.907563025210081</v>
      </c>
      <c r="I172" s="7">
        <f t="shared" si="10"/>
        <v>0</v>
      </c>
      <c r="J172" s="7">
        <f t="shared" si="11"/>
        <v>25.630252100840334</v>
      </c>
      <c r="K172" s="7">
        <f t="shared" si="12"/>
        <v>5.46218487394958</v>
      </c>
    </row>
    <row r="173" spans="1:11" x14ac:dyDescent="0.35">
      <c r="A173">
        <v>2015</v>
      </c>
      <c r="B173">
        <v>3166956</v>
      </c>
      <c r="C173" t="str">
        <f>VLOOKUP(B173,SAEB!$A:$B,2,0)</f>
        <v>Serranópolis de Minas</v>
      </c>
      <c r="D173">
        <v>0</v>
      </c>
      <c r="E173">
        <v>0</v>
      </c>
      <c r="F173">
        <v>193</v>
      </c>
      <c r="G173">
        <v>136</v>
      </c>
      <c r="H173" s="7">
        <f t="shared" si="9"/>
        <v>0</v>
      </c>
      <c r="I173" s="7">
        <f t="shared" si="10"/>
        <v>0</v>
      </c>
      <c r="J173" s="7">
        <f t="shared" si="11"/>
        <v>58.662613981762924</v>
      </c>
      <c r="K173" s="7">
        <f t="shared" si="12"/>
        <v>41.337386018237083</v>
      </c>
    </row>
    <row r="174" spans="1:11" x14ac:dyDescent="0.35">
      <c r="A174">
        <v>2015</v>
      </c>
      <c r="B174">
        <v>3168002</v>
      </c>
      <c r="C174" t="str">
        <f>VLOOKUP(B174,SAEB!$A:$B,2,0)</f>
        <v>Taiobeiras</v>
      </c>
      <c r="D174">
        <v>939</v>
      </c>
      <c r="E174">
        <v>250</v>
      </c>
      <c r="F174">
        <v>133</v>
      </c>
      <c r="G174">
        <v>98</v>
      </c>
      <c r="H174" s="7">
        <f t="shared" si="9"/>
        <v>66.126760563380287</v>
      </c>
      <c r="I174" s="7">
        <f t="shared" si="10"/>
        <v>17.6056338028169</v>
      </c>
      <c r="J174" s="7">
        <f t="shared" si="11"/>
        <v>9.3661971830985919</v>
      </c>
      <c r="K174" s="7">
        <f t="shared" si="12"/>
        <v>6.9014084507042259</v>
      </c>
    </row>
    <row r="175" spans="1:11" x14ac:dyDescent="0.35">
      <c r="A175">
        <v>2015</v>
      </c>
      <c r="B175">
        <v>3168051</v>
      </c>
      <c r="C175" t="str">
        <f>VLOOKUP(B175,SAEB!$A:$B,2,0)</f>
        <v>Taparuba</v>
      </c>
      <c r="D175">
        <v>149</v>
      </c>
      <c r="E175">
        <v>0</v>
      </c>
      <c r="F175">
        <v>91</v>
      </c>
      <c r="G175">
        <v>49</v>
      </c>
      <c r="H175" s="7">
        <f t="shared" si="9"/>
        <v>51.557093425605537</v>
      </c>
      <c r="I175" s="7">
        <f t="shared" si="10"/>
        <v>0</v>
      </c>
      <c r="J175" s="7">
        <f t="shared" si="11"/>
        <v>31.487889273356402</v>
      </c>
      <c r="K175" s="7">
        <f t="shared" si="12"/>
        <v>16.955017301038062</v>
      </c>
    </row>
    <row r="176" spans="1:11" x14ac:dyDescent="0.35">
      <c r="A176">
        <v>2015</v>
      </c>
      <c r="B176">
        <v>3168408</v>
      </c>
      <c r="C176" t="str">
        <f>VLOOKUP(B176,SAEB!$A:$B,2,0)</f>
        <v>Tarumirim</v>
      </c>
      <c r="D176">
        <v>234</v>
      </c>
      <c r="E176">
        <v>126</v>
      </c>
      <c r="F176">
        <v>43</v>
      </c>
      <c r="G176">
        <v>13</v>
      </c>
      <c r="H176" s="7">
        <f t="shared" si="9"/>
        <v>56.25</v>
      </c>
      <c r="I176" s="7">
        <f t="shared" si="10"/>
        <v>30.288461538461537</v>
      </c>
      <c r="J176" s="7">
        <f t="shared" si="11"/>
        <v>10.336538461538462</v>
      </c>
      <c r="K176" s="7">
        <f t="shared" si="12"/>
        <v>3.125</v>
      </c>
    </row>
    <row r="177" spans="1:11" x14ac:dyDescent="0.35">
      <c r="A177">
        <v>2015</v>
      </c>
      <c r="B177">
        <v>3168606</v>
      </c>
      <c r="C177" t="str">
        <f>VLOOKUP(B177,SAEB!$A:$B,2,0)</f>
        <v>Teófilo Otoni</v>
      </c>
      <c r="D177">
        <v>2958</v>
      </c>
      <c r="E177">
        <v>1531</v>
      </c>
      <c r="F177">
        <v>1161</v>
      </c>
      <c r="G177">
        <v>303</v>
      </c>
      <c r="H177" s="7">
        <f t="shared" si="9"/>
        <v>49.689232319838737</v>
      </c>
      <c r="I177" s="7">
        <f t="shared" si="10"/>
        <v>25.718125314967246</v>
      </c>
      <c r="J177" s="7">
        <f t="shared" si="11"/>
        <v>19.502771711741978</v>
      </c>
      <c r="K177" s="7">
        <f t="shared" si="12"/>
        <v>5.0898706534520413</v>
      </c>
    </row>
    <row r="178" spans="1:11" x14ac:dyDescent="0.35">
      <c r="A178">
        <v>2015</v>
      </c>
      <c r="B178">
        <v>3169505</v>
      </c>
      <c r="C178" t="str">
        <f>VLOOKUP(B178,SAEB!$A:$B,2,0)</f>
        <v>Tumiritinga</v>
      </c>
      <c r="D178">
        <v>466</v>
      </c>
      <c r="E178">
        <v>0</v>
      </c>
      <c r="F178">
        <v>22</v>
      </c>
      <c r="G178">
        <v>0</v>
      </c>
      <c r="H178" s="7">
        <f t="shared" si="9"/>
        <v>95.491803278688522</v>
      </c>
      <c r="I178" s="7">
        <f t="shared" si="10"/>
        <v>0</v>
      </c>
      <c r="J178" s="7">
        <f t="shared" si="11"/>
        <v>4.5081967213114753</v>
      </c>
      <c r="K178" s="7">
        <f t="shared" si="12"/>
        <v>0</v>
      </c>
    </row>
    <row r="179" spans="1:11" x14ac:dyDescent="0.35">
      <c r="A179">
        <v>2015</v>
      </c>
      <c r="B179">
        <v>3169703</v>
      </c>
      <c r="C179" t="str">
        <f>VLOOKUP(B179,SAEB!$A:$B,2,0)</f>
        <v>Turmalina</v>
      </c>
      <c r="D179">
        <v>261</v>
      </c>
      <c r="E179">
        <v>0</v>
      </c>
      <c r="F179">
        <v>259</v>
      </c>
      <c r="G179">
        <v>308</v>
      </c>
      <c r="H179" s="7">
        <f t="shared" si="9"/>
        <v>31.521739130434785</v>
      </c>
      <c r="I179" s="7">
        <f t="shared" si="10"/>
        <v>0</v>
      </c>
      <c r="J179" s="7">
        <f t="shared" si="11"/>
        <v>31.280193236714975</v>
      </c>
      <c r="K179" s="7">
        <f t="shared" si="12"/>
        <v>37.19806763285024</v>
      </c>
    </row>
    <row r="180" spans="1:11" x14ac:dyDescent="0.35">
      <c r="A180">
        <v>2015</v>
      </c>
      <c r="B180">
        <v>3170057</v>
      </c>
      <c r="C180" t="str">
        <f>VLOOKUP(B180,SAEB!$A:$B,2,0)</f>
        <v>Ubaporanga</v>
      </c>
      <c r="D180">
        <v>361</v>
      </c>
      <c r="E180">
        <v>0</v>
      </c>
      <c r="F180">
        <v>63</v>
      </c>
      <c r="G180">
        <v>0</v>
      </c>
      <c r="H180" s="7">
        <f t="shared" si="9"/>
        <v>85.141509433962256</v>
      </c>
      <c r="I180" s="7">
        <f t="shared" si="10"/>
        <v>0</v>
      </c>
      <c r="J180" s="7">
        <f t="shared" si="11"/>
        <v>14.858490566037736</v>
      </c>
      <c r="K180" s="7">
        <f t="shared" si="12"/>
        <v>0</v>
      </c>
    </row>
    <row r="181" spans="1:11" x14ac:dyDescent="0.35">
      <c r="A181">
        <v>2015</v>
      </c>
      <c r="B181">
        <v>3170305</v>
      </c>
      <c r="C181" t="str">
        <f>VLOOKUP(B181,SAEB!$A:$B,2,0)</f>
        <v>Umburatiba</v>
      </c>
      <c r="D181">
        <v>161</v>
      </c>
      <c r="E181">
        <v>0</v>
      </c>
      <c r="F181">
        <v>93</v>
      </c>
      <c r="G181">
        <v>84</v>
      </c>
      <c r="H181" s="7">
        <f t="shared" si="9"/>
        <v>47.633136094674555</v>
      </c>
      <c r="I181" s="7">
        <f t="shared" si="10"/>
        <v>0</v>
      </c>
      <c r="J181" s="7">
        <f t="shared" si="11"/>
        <v>27.514792899408285</v>
      </c>
      <c r="K181" s="7">
        <f t="shared" si="12"/>
        <v>24.852071005917161</v>
      </c>
    </row>
    <row r="182" spans="1:11" x14ac:dyDescent="0.35">
      <c r="A182">
        <v>2015</v>
      </c>
      <c r="B182">
        <v>3170479</v>
      </c>
      <c r="C182" t="str">
        <f>VLOOKUP(B182,SAEB!$A:$B,2,0)</f>
        <v>Uruana de Minas</v>
      </c>
      <c r="D182">
        <v>314</v>
      </c>
      <c r="E182">
        <v>294</v>
      </c>
      <c r="F182">
        <v>0</v>
      </c>
      <c r="G182">
        <v>0</v>
      </c>
      <c r="H182" s="7">
        <f t="shared" si="9"/>
        <v>51.644736842105267</v>
      </c>
      <c r="I182" s="7">
        <f t="shared" si="10"/>
        <v>48.355263157894733</v>
      </c>
      <c r="J182" s="7">
        <f t="shared" si="11"/>
        <v>0</v>
      </c>
      <c r="K182" s="7">
        <f t="shared" si="12"/>
        <v>0</v>
      </c>
    </row>
    <row r="183" spans="1:11" x14ac:dyDescent="0.35">
      <c r="A183">
        <v>2015</v>
      </c>
      <c r="B183">
        <v>3170529</v>
      </c>
      <c r="C183" t="str">
        <f>VLOOKUP(B183,SAEB!$A:$B,2,0)</f>
        <v>Urucuia</v>
      </c>
      <c r="D183">
        <v>115</v>
      </c>
      <c r="E183">
        <v>240</v>
      </c>
      <c r="F183">
        <v>305</v>
      </c>
      <c r="G183">
        <v>297</v>
      </c>
      <c r="H183" s="7">
        <f t="shared" si="9"/>
        <v>12.016718913270637</v>
      </c>
      <c r="I183" s="7">
        <f t="shared" si="10"/>
        <v>25.078369905956109</v>
      </c>
      <c r="J183" s="7">
        <f t="shared" si="11"/>
        <v>31.870428422152557</v>
      </c>
      <c r="K183" s="7">
        <f t="shared" si="12"/>
        <v>31.03448275862069</v>
      </c>
    </row>
    <row r="184" spans="1:11" x14ac:dyDescent="0.35">
      <c r="A184">
        <v>2015</v>
      </c>
      <c r="B184">
        <v>3170651</v>
      </c>
      <c r="C184" t="str">
        <f>VLOOKUP(B184,SAEB!$A:$B,2,0)</f>
        <v>Vargem Grande do Rio Pardo</v>
      </c>
      <c r="D184">
        <v>225</v>
      </c>
      <c r="E184">
        <v>0</v>
      </c>
      <c r="F184">
        <v>122</v>
      </c>
      <c r="G184">
        <v>0</v>
      </c>
      <c r="H184" s="7">
        <f t="shared" si="9"/>
        <v>64.84149855907782</v>
      </c>
      <c r="I184" s="7">
        <f t="shared" si="10"/>
        <v>0</v>
      </c>
      <c r="J184" s="7">
        <f t="shared" si="11"/>
        <v>35.158501440922194</v>
      </c>
      <c r="K184" s="7">
        <f t="shared" si="12"/>
        <v>0</v>
      </c>
    </row>
    <row r="185" spans="1:11" x14ac:dyDescent="0.35">
      <c r="A185">
        <v>2015</v>
      </c>
      <c r="B185">
        <v>3170800</v>
      </c>
      <c r="C185" t="str">
        <f>VLOOKUP(B185,SAEB!$A:$B,2,0)</f>
        <v>Várzea da Palma</v>
      </c>
      <c r="D185">
        <v>1706</v>
      </c>
      <c r="E185">
        <v>0</v>
      </c>
      <c r="F185">
        <v>255</v>
      </c>
      <c r="G185">
        <v>132</v>
      </c>
      <c r="H185" s="7">
        <f t="shared" si="9"/>
        <v>81.509794553272812</v>
      </c>
      <c r="I185" s="7">
        <f t="shared" si="10"/>
        <v>0</v>
      </c>
      <c r="J185" s="7">
        <f t="shared" si="11"/>
        <v>12.183468705207835</v>
      </c>
      <c r="K185" s="7">
        <f t="shared" si="12"/>
        <v>6.3067367415193507</v>
      </c>
    </row>
    <row r="186" spans="1:11" x14ac:dyDescent="0.35">
      <c r="A186">
        <v>2015</v>
      </c>
      <c r="B186">
        <v>3171071</v>
      </c>
      <c r="C186" t="str">
        <f>VLOOKUP(B186,SAEB!$A:$B,2,0)</f>
        <v>Veredinha</v>
      </c>
      <c r="D186">
        <v>383</v>
      </c>
      <c r="E186">
        <v>0</v>
      </c>
      <c r="F186">
        <v>31</v>
      </c>
      <c r="G186">
        <v>0</v>
      </c>
      <c r="H186" s="7">
        <f t="shared" si="9"/>
        <v>92.512077294685994</v>
      </c>
      <c r="I186" s="7">
        <f t="shared" si="10"/>
        <v>0</v>
      </c>
      <c r="J186" s="7">
        <f t="shared" si="11"/>
        <v>7.4879227053140092</v>
      </c>
      <c r="K186" s="7">
        <f t="shared" si="12"/>
        <v>0</v>
      </c>
    </row>
    <row r="187" spans="1:11" x14ac:dyDescent="0.35">
      <c r="A187">
        <v>2015</v>
      </c>
      <c r="B187">
        <v>3171600</v>
      </c>
      <c r="C187" t="str">
        <f>VLOOKUP(B187,SAEB!$A:$B,2,0)</f>
        <v>Virgem da Lapa</v>
      </c>
      <c r="D187">
        <v>0</v>
      </c>
      <c r="E187">
        <v>0</v>
      </c>
      <c r="F187">
        <v>557</v>
      </c>
      <c r="G187">
        <v>0</v>
      </c>
      <c r="H187" s="7">
        <f t="shared" si="9"/>
        <v>0</v>
      </c>
      <c r="I187" s="7">
        <f t="shared" si="10"/>
        <v>0</v>
      </c>
      <c r="J187" s="7">
        <f t="shared" si="11"/>
        <v>100</v>
      </c>
      <c r="K187" s="7">
        <f t="shared" si="12"/>
        <v>0</v>
      </c>
    </row>
    <row r="188" spans="1:11" x14ac:dyDescent="0.35">
      <c r="A188">
        <v>2015</v>
      </c>
      <c r="B188">
        <v>3171808</v>
      </c>
      <c r="C188" t="str">
        <f>VLOOKUP(B188,SAEB!$A:$B,2,0)</f>
        <v>Virginópolis</v>
      </c>
      <c r="D188">
        <v>404</v>
      </c>
      <c r="E188">
        <v>0</v>
      </c>
      <c r="F188">
        <v>262</v>
      </c>
      <c r="G188">
        <v>0</v>
      </c>
      <c r="H188" s="7">
        <f t="shared" si="9"/>
        <v>60.66066066066066</v>
      </c>
      <c r="I188" s="7">
        <f t="shared" si="10"/>
        <v>0</v>
      </c>
      <c r="J188" s="7">
        <f t="shared" si="11"/>
        <v>39.33933933933934</v>
      </c>
      <c r="K188" s="7">
        <f t="shared" si="12"/>
        <v>0</v>
      </c>
    </row>
    <row r="189" spans="1:11" x14ac:dyDescent="0.35">
      <c r="A189">
        <v>2015</v>
      </c>
      <c r="B189">
        <v>3171907</v>
      </c>
      <c r="C189" t="str">
        <f>VLOOKUP(B189,SAEB!$A:$B,2,0)</f>
        <v>Virgolândia</v>
      </c>
      <c r="D189">
        <v>325</v>
      </c>
      <c r="E189">
        <v>0</v>
      </c>
      <c r="F189">
        <v>0</v>
      </c>
      <c r="G189">
        <v>0</v>
      </c>
      <c r="H189" s="7">
        <f t="shared" si="9"/>
        <v>100</v>
      </c>
      <c r="I189" s="7">
        <f t="shared" si="10"/>
        <v>0</v>
      </c>
      <c r="J189" s="7">
        <f t="shared" si="11"/>
        <v>0</v>
      </c>
      <c r="K189" s="7">
        <f t="shared" si="12"/>
        <v>0</v>
      </c>
    </row>
    <row r="190" spans="1:11" x14ac:dyDescent="0.35">
      <c r="A190">
        <v>2016</v>
      </c>
      <c r="B190">
        <v>3101003</v>
      </c>
      <c r="C190" t="str">
        <f>VLOOKUP(B190,SAEB!$A:$B,2,0)</f>
        <v>Águas Vermelhas</v>
      </c>
      <c r="D190">
        <v>328</v>
      </c>
      <c r="E190">
        <v>0</v>
      </c>
      <c r="F190">
        <v>74</v>
      </c>
      <c r="G190">
        <v>1</v>
      </c>
      <c r="H190" s="7">
        <f t="shared" si="9"/>
        <v>81.389578163771716</v>
      </c>
      <c r="I190" s="7">
        <f t="shared" si="10"/>
        <v>0</v>
      </c>
      <c r="J190" s="7">
        <f t="shared" si="11"/>
        <v>18.362282878411911</v>
      </c>
      <c r="K190" s="7">
        <f t="shared" si="12"/>
        <v>0.24813895781637718</v>
      </c>
    </row>
    <row r="191" spans="1:11" x14ac:dyDescent="0.35">
      <c r="A191">
        <v>2016</v>
      </c>
      <c r="B191">
        <v>3101102</v>
      </c>
      <c r="C191" t="str">
        <f>VLOOKUP(B191,SAEB!$A:$B,2,0)</f>
        <v>Aimorés</v>
      </c>
      <c r="D191">
        <v>715</v>
      </c>
      <c r="E191">
        <v>498</v>
      </c>
      <c r="F191">
        <v>78</v>
      </c>
      <c r="G191">
        <v>0</v>
      </c>
      <c r="H191" s="7">
        <f t="shared" si="9"/>
        <v>55.383423702556158</v>
      </c>
      <c r="I191" s="7">
        <f t="shared" si="10"/>
        <v>38.574748257164984</v>
      </c>
      <c r="J191" s="7">
        <f t="shared" si="11"/>
        <v>6.0418280402788538</v>
      </c>
      <c r="K191" s="7">
        <f t="shared" si="12"/>
        <v>0</v>
      </c>
    </row>
    <row r="192" spans="1:11" x14ac:dyDescent="0.35">
      <c r="A192">
        <v>2016</v>
      </c>
      <c r="B192">
        <v>3101706</v>
      </c>
      <c r="C192" t="str">
        <f>VLOOKUP(B192,SAEB!$A:$B,2,0)</f>
        <v>Almenara</v>
      </c>
      <c r="D192">
        <v>2385</v>
      </c>
      <c r="E192">
        <v>634</v>
      </c>
      <c r="F192">
        <v>534</v>
      </c>
      <c r="G192">
        <v>278</v>
      </c>
      <c r="H192" s="7">
        <f t="shared" si="9"/>
        <v>62.255285826155045</v>
      </c>
      <c r="I192" s="7">
        <f t="shared" si="10"/>
        <v>16.549203863221091</v>
      </c>
      <c r="J192" s="7">
        <f t="shared" si="11"/>
        <v>13.938919342208301</v>
      </c>
      <c r="K192" s="7">
        <f t="shared" si="12"/>
        <v>7.2565909684155576</v>
      </c>
    </row>
    <row r="193" spans="1:11" x14ac:dyDescent="0.35">
      <c r="A193">
        <v>2016</v>
      </c>
      <c r="B193">
        <v>3101805</v>
      </c>
      <c r="C193" t="str">
        <f>VLOOKUP(B193,SAEB!$A:$B,2,0)</f>
        <v>Alpercata</v>
      </c>
      <c r="D193">
        <v>461</v>
      </c>
      <c r="E193">
        <v>238</v>
      </c>
      <c r="F193">
        <v>80</v>
      </c>
      <c r="G193">
        <v>0</v>
      </c>
      <c r="H193" s="7">
        <f t="shared" si="9"/>
        <v>59.178433889602054</v>
      </c>
      <c r="I193" s="7">
        <f t="shared" si="10"/>
        <v>30.551989730423617</v>
      </c>
      <c r="J193" s="7">
        <f t="shared" si="11"/>
        <v>10.269576379974326</v>
      </c>
      <c r="K193" s="7">
        <f t="shared" si="12"/>
        <v>0</v>
      </c>
    </row>
    <row r="194" spans="1:11" x14ac:dyDescent="0.35">
      <c r="A194">
        <v>2016</v>
      </c>
      <c r="B194">
        <v>3102852</v>
      </c>
      <c r="C194" t="str">
        <f>VLOOKUP(B194,SAEB!$A:$B,2,0)</f>
        <v>Angelândia</v>
      </c>
      <c r="D194">
        <v>0</v>
      </c>
      <c r="E194">
        <v>0</v>
      </c>
      <c r="F194">
        <v>506</v>
      </c>
      <c r="G194">
        <v>0</v>
      </c>
      <c r="H194" s="7">
        <f t="shared" si="9"/>
        <v>0</v>
      </c>
      <c r="I194" s="7">
        <f t="shared" si="10"/>
        <v>0</v>
      </c>
      <c r="J194" s="7">
        <f t="shared" si="11"/>
        <v>100</v>
      </c>
      <c r="K194" s="7">
        <f t="shared" si="12"/>
        <v>0</v>
      </c>
    </row>
    <row r="195" spans="1:11" x14ac:dyDescent="0.35">
      <c r="A195">
        <v>2016</v>
      </c>
      <c r="B195">
        <v>3103405</v>
      </c>
      <c r="C195" t="str">
        <f>VLOOKUP(B195,SAEB!$A:$B,2,0)</f>
        <v>Araçuaí</v>
      </c>
      <c r="D195">
        <v>286</v>
      </c>
      <c r="E195">
        <v>0</v>
      </c>
      <c r="F195">
        <v>457</v>
      </c>
      <c r="G195">
        <v>362</v>
      </c>
      <c r="H195" s="7">
        <f t="shared" ref="H195:H258" si="13">D195/SUM($D195:$G195)*100</f>
        <v>25.882352941176475</v>
      </c>
      <c r="I195" s="7">
        <f t="shared" ref="I195:I258" si="14">E195/SUM($D195:$G195)*100</f>
        <v>0</v>
      </c>
      <c r="J195" s="7">
        <f t="shared" ref="J195:J258" si="15">F195/SUM($D195:$G195)*100</f>
        <v>41.357466063348411</v>
      </c>
      <c r="K195" s="7">
        <f t="shared" ref="K195:K258" si="16">G195/SUM($D195:$G195)*100</f>
        <v>32.76018099547511</v>
      </c>
    </row>
    <row r="196" spans="1:11" x14ac:dyDescent="0.35">
      <c r="A196">
        <v>2016</v>
      </c>
      <c r="B196">
        <v>3104452</v>
      </c>
      <c r="C196" t="str">
        <f>VLOOKUP(B196,SAEB!$A:$B,2,0)</f>
        <v>Aricanduva</v>
      </c>
      <c r="D196">
        <v>225</v>
      </c>
      <c r="E196">
        <v>0</v>
      </c>
      <c r="F196">
        <v>51</v>
      </c>
      <c r="G196">
        <v>0</v>
      </c>
      <c r="H196" s="7">
        <f t="shared" si="13"/>
        <v>81.521739130434781</v>
      </c>
      <c r="I196" s="7">
        <f t="shared" si="14"/>
        <v>0</v>
      </c>
      <c r="J196" s="7">
        <f t="shared" si="15"/>
        <v>18.478260869565215</v>
      </c>
      <c r="K196" s="7">
        <f t="shared" si="16"/>
        <v>0</v>
      </c>
    </row>
    <row r="197" spans="1:11" x14ac:dyDescent="0.35">
      <c r="A197">
        <v>2016</v>
      </c>
      <c r="B197">
        <v>3104502</v>
      </c>
      <c r="C197" t="str">
        <f>VLOOKUP(B197,SAEB!$A:$B,2,0)</f>
        <v>Arinos</v>
      </c>
      <c r="D197">
        <v>412</v>
      </c>
      <c r="E197">
        <v>0</v>
      </c>
      <c r="F197">
        <v>393</v>
      </c>
      <c r="G197">
        <v>263</v>
      </c>
      <c r="H197" s="7">
        <f t="shared" si="13"/>
        <v>38.576779026217231</v>
      </c>
      <c r="I197" s="7">
        <f t="shared" si="14"/>
        <v>0</v>
      </c>
      <c r="J197" s="7">
        <f t="shared" si="15"/>
        <v>36.797752808988768</v>
      </c>
      <c r="K197" s="7">
        <f t="shared" si="16"/>
        <v>24.625468164794007</v>
      </c>
    </row>
    <row r="198" spans="1:11" x14ac:dyDescent="0.35">
      <c r="A198">
        <v>2016</v>
      </c>
      <c r="B198">
        <v>3104700</v>
      </c>
      <c r="C198" t="str">
        <f>VLOOKUP(B198,SAEB!$A:$B,2,0)</f>
        <v>Ataléia</v>
      </c>
      <c r="D198">
        <v>222</v>
      </c>
      <c r="E198">
        <v>57</v>
      </c>
      <c r="F198">
        <v>229</v>
      </c>
      <c r="G198">
        <v>0</v>
      </c>
      <c r="H198" s="7">
        <f t="shared" si="13"/>
        <v>43.7007874015748</v>
      </c>
      <c r="I198" s="7">
        <f t="shared" si="14"/>
        <v>11.220472440944881</v>
      </c>
      <c r="J198" s="7">
        <f t="shared" si="15"/>
        <v>45.078740157480311</v>
      </c>
      <c r="K198" s="7">
        <f t="shared" si="16"/>
        <v>0</v>
      </c>
    </row>
    <row r="199" spans="1:11" x14ac:dyDescent="0.35">
      <c r="A199">
        <v>2016</v>
      </c>
      <c r="B199">
        <v>3105202</v>
      </c>
      <c r="C199" t="str">
        <f>VLOOKUP(B199,SAEB!$A:$B,2,0)</f>
        <v>Bandeira</v>
      </c>
      <c r="D199">
        <v>250</v>
      </c>
      <c r="E199">
        <v>0</v>
      </c>
      <c r="F199">
        <v>88</v>
      </c>
      <c r="G199">
        <v>69</v>
      </c>
      <c r="H199" s="7">
        <f t="shared" si="13"/>
        <v>61.425061425061422</v>
      </c>
      <c r="I199" s="7">
        <f t="shared" si="14"/>
        <v>0</v>
      </c>
      <c r="J199" s="7">
        <f t="shared" si="15"/>
        <v>21.621621621621621</v>
      </c>
      <c r="K199" s="7">
        <f t="shared" si="16"/>
        <v>16.953316953316953</v>
      </c>
    </row>
    <row r="200" spans="1:11" x14ac:dyDescent="0.35">
      <c r="A200">
        <v>2016</v>
      </c>
      <c r="B200">
        <v>3106655</v>
      </c>
      <c r="C200" t="str">
        <f>VLOOKUP(B200,SAEB!$A:$B,2,0)</f>
        <v>Berizal</v>
      </c>
      <c r="D200">
        <v>274</v>
      </c>
      <c r="E200">
        <v>0</v>
      </c>
      <c r="F200">
        <v>24</v>
      </c>
      <c r="G200">
        <v>0</v>
      </c>
      <c r="H200" s="7">
        <f t="shared" si="13"/>
        <v>91.946308724832221</v>
      </c>
      <c r="I200" s="7">
        <f t="shared" si="14"/>
        <v>0</v>
      </c>
      <c r="J200" s="7">
        <f t="shared" si="15"/>
        <v>8.0536912751677843</v>
      </c>
      <c r="K200" s="7">
        <f t="shared" si="16"/>
        <v>0</v>
      </c>
    </row>
    <row r="201" spans="1:11" x14ac:dyDescent="0.35">
      <c r="A201">
        <v>2016</v>
      </c>
      <c r="B201">
        <v>3107307</v>
      </c>
      <c r="C201" t="str">
        <f>VLOOKUP(B201,SAEB!$A:$B,2,0)</f>
        <v>Bocaiúva</v>
      </c>
      <c r="D201">
        <v>576</v>
      </c>
      <c r="E201">
        <v>407</v>
      </c>
      <c r="F201">
        <v>365</v>
      </c>
      <c r="G201">
        <v>199</v>
      </c>
      <c r="H201" s="7">
        <f t="shared" si="13"/>
        <v>37.233354880413707</v>
      </c>
      <c r="I201" s="7">
        <f t="shared" si="14"/>
        <v>26.308985132514547</v>
      </c>
      <c r="J201" s="7">
        <f t="shared" si="15"/>
        <v>23.59405300581771</v>
      </c>
      <c r="K201" s="7">
        <f t="shared" si="16"/>
        <v>12.863606981254039</v>
      </c>
    </row>
    <row r="202" spans="1:11" x14ac:dyDescent="0.35">
      <c r="A202">
        <v>2016</v>
      </c>
      <c r="B202">
        <v>3108206</v>
      </c>
      <c r="C202" t="str">
        <f>VLOOKUP(B202,SAEB!$A:$B,2,0)</f>
        <v>Bonfinópolis de Minas</v>
      </c>
      <c r="D202">
        <v>297</v>
      </c>
      <c r="E202">
        <v>196</v>
      </c>
      <c r="F202">
        <v>36</v>
      </c>
      <c r="G202">
        <v>0</v>
      </c>
      <c r="H202" s="7">
        <f t="shared" si="13"/>
        <v>56.14366729678639</v>
      </c>
      <c r="I202" s="7">
        <f t="shared" si="14"/>
        <v>37.051039697542535</v>
      </c>
      <c r="J202" s="7">
        <f t="shared" si="15"/>
        <v>6.8052930056710776</v>
      </c>
      <c r="K202" s="7">
        <f t="shared" si="16"/>
        <v>0</v>
      </c>
    </row>
    <row r="203" spans="1:11" x14ac:dyDescent="0.35">
      <c r="A203">
        <v>2016</v>
      </c>
      <c r="B203">
        <v>3108602</v>
      </c>
      <c r="C203" t="str">
        <f>VLOOKUP(B203,SAEB!$A:$B,2,0)</f>
        <v>Brasília de Minas</v>
      </c>
      <c r="D203">
        <v>0</v>
      </c>
      <c r="E203">
        <v>198</v>
      </c>
      <c r="F203">
        <v>448</v>
      </c>
      <c r="G203">
        <v>196</v>
      </c>
      <c r="H203" s="7">
        <f t="shared" si="13"/>
        <v>0</v>
      </c>
      <c r="I203" s="7">
        <f t="shared" si="14"/>
        <v>23.51543942992874</v>
      </c>
      <c r="J203" s="7">
        <f t="shared" si="15"/>
        <v>53.206650831353919</v>
      </c>
      <c r="K203" s="7">
        <f t="shared" si="16"/>
        <v>23.277909738717341</v>
      </c>
    </row>
    <row r="204" spans="1:11" x14ac:dyDescent="0.35">
      <c r="A204">
        <v>2016</v>
      </c>
      <c r="B204">
        <v>3109204</v>
      </c>
      <c r="C204" t="str">
        <f>VLOOKUP(B204,SAEB!$A:$B,2,0)</f>
        <v>Buenópolis</v>
      </c>
      <c r="D204">
        <v>532</v>
      </c>
      <c r="E204">
        <v>0</v>
      </c>
      <c r="F204">
        <v>67</v>
      </c>
      <c r="G204">
        <v>0</v>
      </c>
      <c r="H204" s="7">
        <f t="shared" si="13"/>
        <v>88.814691151919874</v>
      </c>
      <c r="I204" s="7">
        <f t="shared" si="14"/>
        <v>0</v>
      </c>
      <c r="J204" s="7">
        <f t="shared" si="15"/>
        <v>11.185308848080133</v>
      </c>
      <c r="K204" s="7">
        <f t="shared" si="16"/>
        <v>0</v>
      </c>
    </row>
    <row r="205" spans="1:11" x14ac:dyDescent="0.35">
      <c r="A205">
        <v>2016</v>
      </c>
      <c r="B205">
        <v>3109402</v>
      </c>
      <c r="C205" t="str">
        <f>VLOOKUP(B205,SAEB!$A:$B,2,0)</f>
        <v>Buritizeiro</v>
      </c>
      <c r="D205">
        <v>912</v>
      </c>
      <c r="E205">
        <v>0</v>
      </c>
      <c r="F205">
        <v>165</v>
      </c>
      <c r="G205">
        <v>0</v>
      </c>
      <c r="H205" s="7">
        <f t="shared" si="13"/>
        <v>84.67966573816156</v>
      </c>
      <c r="I205" s="7">
        <f t="shared" si="14"/>
        <v>0</v>
      </c>
      <c r="J205" s="7">
        <f t="shared" si="15"/>
        <v>15.32033426183844</v>
      </c>
      <c r="K205" s="7">
        <f t="shared" si="16"/>
        <v>0</v>
      </c>
    </row>
    <row r="206" spans="1:11" x14ac:dyDescent="0.35">
      <c r="A206">
        <v>2016</v>
      </c>
      <c r="B206">
        <v>3102704</v>
      </c>
      <c r="C206" t="str">
        <f>VLOOKUP(B206,SAEB!$A:$B,2,0)</f>
        <v>Cachoeira de Pajeú</v>
      </c>
      <c r="D206">
        <v>272</v>
      </c>
      <c r="E206">
        <v>0</v>
      </c>
      <c r="F206">
        <v>420</v>
      </c>
      <c r="G206">
        <v>137</v>
      </c>
      <c r="H206" s="7">
        <f t="shared" si="13"/>
        <v>32.810615199034984</v>
      </c>
      <c r="I206" s="7">
        <f t="shared" si="14"/>
        <v>0</v>
      </c>
      <c r="J206" s="7">
        <f t="shared" si="15"/>
        <v>50.663449939686366</v>
      </c>
      <c r="K206" s="7">
        <f t="shared" si="16"/>
        <v>16.52593486127865</v>
      </c>
    </row>
    <row r="207" spans="1:11" x14ac:dyDescent="0.35">
      <c r="A207">
        <v>2016</v>
      </c>
      <c r="B207">
        <v>3110806</v>
      </c>
      <c r="C207" t="str">
        <f>VLOOKUP(B207,SAEB!$A:$B,2,0)</f>
        <v>Campanário</v>
      </c>
      <c r="D207">
        <v>271</v>
      </c>
      <c r="E207">
        <v>0</v>
      </c>
      <c r="F207">
        <v>0</v>
      </c>
      <c r="G207">
        <v>0</v>
      </c>
      <c r="H207" s="7">
        <f t="shared" si="13"/>
        <v>100</v>
      </c>
      <c r="I207" s="7">
        <f t="shared" si="14"/>
        <v>0</v>
      </c>
      <c r="J207" s="7">
        <f t="shared" si="15"/>
        <v>0</v>
      </c>
      <c r="K207" s="7">
        <f t="shared" si="16"/>
        <v>0</v>
      </c>
    </row>
    <row r="208" spans="1:11" x14ac:dyDescent="0.35">
      <c r="A208">
        <v>2016</v>
      </c>
      <c r="B208">
        <v>3111150</v>
      </c>
      <c r="C208" t="str">
        <f>VLOOKUP(B208,SAEB!$A:$B,2,0)</f>
        <v>Campo Azul</v>
      </c>
      <c r="D208">
        <v>214</v>
      </c>
      <c r="E208">
        <v>0</v>
      </c>
      <c r="F208">
        <v>98</v>
      </c>
      <c r="G208">
        <v>67</v>
      </c>
      <c r="H208" s="7">
        <f t="shared" si="13"/>
        <v>56.464379947229546</v>
      </c>
      <c r="I208" s="7">
        <f t="shared" si="14"/>
        <v>0</v>
      </c>
      <c r="J208" s="7">
        <f t="shared" si="15"/>
        <v>25.857519788918204</v>
      </c>
      <c r="K208" s="7">
        <f t="shared" si="16"/>
        <v>17.678100263852244</v>
      </c>
    </row>
    <row r="209" spans="1:11" x14ac:dyDescent="0.35">
      <c r="A209">
        <v>2016</v>
      </c>
      <c r="B209">
        <v>3112059</v>
      </c>
      <c r="C209" t="str">
        <f>VLOOKUP(B209,SAEB!$A:$B,2,0)</f>
        <v>Cantagalo</v>
      </c>
      <c r="D209">
        <v>272</v>
      </c>
      <c r="E209">
        <v>0</v>
      </c>
      <c r="F209">
        <v>81</v>
      </c>
      <c r="G209">
        <v>0</v>
      </c>
      <c r="H209" s="7">
        <f t="shared" si="13"/>
        <v>77.053824362606221</v>
      </c>
      <c r="I209" s="7">
        <f t="shared" si="14"/>
        <v>0</v>
      </c>
      <c r="J209" s="7">
        <f t="shared" si="15"/>
        <v>22.946175637393768</v>
      </c>
      <c r="K209" s="7">
        <f t="shared" si="16"/>
        <v>0</v>
      </c>
    </row>
    <row r="210" spans="1:11" x14ac:dyDescent="0.35">
      <c r="A210">
        <v>2016</v>
      </c>
      <c r="B210">
        <v>3112307</v>
      </c>
      <c r="C210" t="str">
        <f>VLOOKUP(B210,SAEB!$A:$B,2,0)</f>
        <v>Capelinha</v>
      </c>
      <c r="D210">
        <v>0</v>
      </c>
      <c r="E210">
        <v>0</v>
      </c>
      <c r="F210">
        <v>1018</v>
      </c>
      <c r="G210">
        <v>0</v>
      </c>
      <c r="H210" s="7">
        <f t="shared" si="13"/>
        <v>0</v>
      </c>
      <c r="I210" s="7">
        <f t="shared" si="14"/>
        <v>0</v>
      </c>
      <c r="J210" s="7">
        <f t="shared" si="15"/>
        <v>100</v>
      </c>
      <c r="K210" s="7">
        <f t="shared" si="16"/>
        <v>0</v>
      </c>
    </row>
    <row r="211" spans="1:11" x14ac:dyDescent="0.35">
      <c r="A211">
        <v>2016</v>
      </c>
      <c r="B211">
        <v>3112703</v>
      </c>
      <c r="C211" t="str">
        <f>VLOOKUP(B211,SAEB!$A:$B,2,0)</f>
        <v>Capitão Enéas</v>
      </c>
      <c r="D211">
        <v>460</v>
      </c>
      <c r="E211">
        <v>304</v>
      </c>
      <c r="F211">
        <v>113</v>
      </c>
      <c r="G211">
        <v>49</v>
      </c>
      <c r="H211" s="7">
        <f t="shared" si="13"/>
        <v>49.676025917926566</v>
      </c>
      <c r="I211" s="7">
        <f t="shared" si="14"/>
        <v>32.829373650107989</v>
      </c>
      <c r="J211" s="7">
        <f t="shared" si="15"/>
        <v>12.203023758099352</v>
      </c>
      <c r="K211" s="7">
        <f t="shared" si="16"/>
        <v>5.291576673866091</v>
      </c>
    </row>
    <row r="212" spans="1:11" x14ac:dyDescent="0.35">
      <c r="A212">
        <v>2016</v>
      </c>
      <c r="B212">
        <v>3113008</v>
      </c>
      <c r="C212" t="str">
        <f>VLOOKUP(B212,SAEB!$A:$B,2,0)</f>
        <v>Caraí</v>
      </c>
      <c r="D212">
        <v>85</v>
      </c>
      <c r="E212">
        <v>198</v>
      </c>
      <c r="F212">
        <v>973</v>
      </c>
      <c r="G212">
        <v>421</v>
      </c>
      <c r="H212" s="7">
        <f t="shared" si="13"/>
        <v>5.0685748360166958</v>
      </c>
      <c r="I212" s="7">
        <f t="shared" si="14"/>
        <v>11.806797853309481</v>
      </c>
      <c r="J212" s="7">
        <f t="shared" si="15"/>
        <v>58.020274299344067</v>
      </c>
      <c r="K212" s="7">
        <f t="shared" si="16"/>
        <v>25.104353011329756</v>
      </c>
    </row>
    <row r="213" spans="1:11" x14ac:dyDescent="0.35">
      <c r="A213">
        <v>2016</v>
      </c>
      <c r="B213">
        <v>3113503</v>
      </c>
      <c r="C213" t="str">
        <f>VLOOKUP(B213,SAEB!$A:$B,2,0)</f>
        <v>Carbonita</v>
      </c>
      <c r="D213">
        <v>330</v>
      </c>
      <c r="E213">
        <v>0</v>
      </c>
      <c r="F213">
        <v>108</v>
      </c>
      <c r="G213">
        <v>134</v>
      </c>
      <c r="H213" s="7">
        <f t="shared" si="13"/>
        <v>57.692307692307686</v>
      </c>
      <c r="I213" s="7">
        <f t="shared" si="14"/>
        <v>0</v>
      </c>
      <c r="J213" s="7">
        <f t="shared" si="15"/>
        <v>18.88111888111888</v>
      </c>
      <c r="K213" s="7">
        <f t="shared" si="16"/>
        <v>23.426573426573427</v>
      </c>
    </row>
    <row r="214" spans="1:11" x14ac:dyDescent="0.35">
      <c r="A214">
        <v>2016</v>
      </c>
      <c r="B214">
        <v>3113701</v>
      </c>
      <c r="C214" t="str">
        <f>VLOOKUP(B214,SAEB!$A:$B,2,0)</f>
        <v>Carlos Chagas</v>
      </c>
      <c r="D214">
        <v>934</v>
      </c>
      <c r="E214">
        <v>222</v>
      </c>
      <c r="F214">
        <v>334</v>
      </c>
      <c r="G214">
        <v>151</v>
      </c>
      <c r="H214" s="7">
        <f t="shared" si="13"/>
        <v>56.916514320536258</v>
      </c>
      <c r="I214" s="7">
        <f t="shared" si="14"/>
        <v>13.528336380255942</v>
      </c>
      <c r="J214" s="7">
        <f t="shared" si="15"/>
        <v>20.353443022547228</v>
      </c>
      <c r="K214" s="7">
        <f t="shared" si="16"/>
        <v>9.2017062766605733</v>
      </c>
    </row>
    <row r="215" spans="1:11" x14ac:dyDescent="0.35">
      <c r="A215">
        <v>2016</v>
      </c>
      <c r="B215">
        <v>3113800</v>
      </c>
      <c r="C215" t="str">
        <f>VLOOKUP(B215,SAEB!$A:$B,2,0)</f>
        <v>Carmésia</v>
      </c>
      <c r="D215">
        <v>155</v>
      </c>
      <c r="E215">
        <v>160</v>
      </c>
      <c r="F215">
        <v>0</v>
      </c>
      <c r="G215">
        <v>0</v>
      </c>
      <c r="H215" s="7">
        <f t="shared" si="13"/>
        <v>49.206349206349202</v>
      </c>
      <c r="I215" s="7">
        <f t="shared" si="14"/>
        <v>50.793650793650791</v>
      </c>
      <c r="J215" s="7">
        <f t="shared" si="15"/>
        <v>0</v>
      </c>
      <c r="K215" s="7">
        <f t="shared" si="16"/>
        <v>0</v>
      </c>
    </row>
    <row r="216" spans="1:11" x14ac:dyDescent="0.35">
      <c r="A216">
        <v>2016</v>
      </c>
      <c r="B216">
        <v>3115458</v>
      </c>
      <c r="C216" t="str">
        <f>VLOOKUP(B216,SAEB!$A:$B,2,0)</f>
        <v>Catuji</v>
      </c>
      <c r="D216">
        <v>313</v>
      </c>
      <c r="E216">
        <v>0</v>
      </c>
      <c r="F216">
        <v>342</v>
      </c>
      <c r="G216">
        <v>0</v>
      </c>
      <c r="H216" s="7">
        <f t="shared" si="13"/>
        <v>47.786259541984734</v>
      </c>
      <c r="I216" s="7">
        <f t="shared" si="14"/>
        <v>0</v>
      </c>
      <c r="J216" s="7">
        <f t="shared" si="15"/>
        <v>52.213740458015266</v>
      </c>
      <c r="K216" s="7">
        <f t="shared" si="16"/>
        <v>0</v>
      </c>
    </row>
    <row r="217" spans="1:11" x14ac:dyDescent="0.35">
      <c r="A217">
        <v>2016</v>
      </c>
      <c r="B217">
        <v>3115474</v>
      </c>
      <c r="C217" t="str">
        <f>VLOOKUP(B217,SAEB!$A:$B,2,0)</f>
        <v>Catuti</v>
      </c>
      <c r="D217">
        <v>162</v>
      </c>
      <c r="E217">
        <v>0</v>
      </c>
      <c r="F217">
        <v>104</v>
      </c>
      <c r="G217">
        <v>82</v>
      </c>
      <c r="H217" s="7">
        <f t="shared" si="13"/>
        <v>46.551724137931032</v>
      </c>
      <c r="I217" s="7">
        <f t="shared" si="14"/>
        <v>0</v>
      </c>
      <c r="J217" s="7">
        <f t="shared" si="15"/>
        <v>29.885057471264371</v>
      </c>
      <c r="K217" s="7">
        <f t="shared" si="16"/>
        <v>23.563218390804597</v>
      </c>
    </row>
    <row r="218" spans="1:11" x14ac:dyDescent="0.35">
      <c r="A218">
        <v>2016</v>
      </c>
      <c r="B218">
        <v>3116100</v>
      </c>
      <c r="C218" t="str">
        <f>VLOOKUP(B218,SAEB!$A:$B,2,0)</f>
        <v>Chapada do Norte</v>
      </c>
      <c r="D218">
        <v>224</v>
      </c>
      <c r="E218">
        <v>0</v>
      </c>
      <c r="F218">
        <v>338</v>
      </c>
      <c r="G218">
        <v>0</v>
      </c>
      <c r="H218" s="7">
        <f t="shared" si="13"/>
        <v>39.857651245551601</v>
      </c>
      <c r="I218" s="7">
        <f t="shared" si="14"/>
        <v>0</v>
      </c>
      <c r="J218" s="7">
        <f t="shared" si="15"/>
        <v>60.142348754448392</v>
      </c>
      <c r="K218" s="7">
        <f t="shared" si="16"/>
        <v>0</v>
      </c>
    </row>
    <row r="219" spans="1:11" x14ac:dyDescent="0.35">
      <c r="A219">
        <v>2016</v>
      </c>
      <c r="B219">
        <v>3116159</v>
      </c>
      <c r="C219" t="str">
        <f>VLOOKUP(B219,SAEB!$A:$B,2,0)</f>
        <v>Chapada Gaúcha</v>
      </c>
      <c r="D219">
        <v>433</v>
      </c>
      <c r="E219">
        <v>112</v>
      </c>
      <c r="F219">
        <v>380</v>
      </c>
      <c r="G219">
        <v>294</v>
      </c>
      <c r="H219" s="7">
        <f t="shared" si="13"/>
        <v>35.520918785890075</v>
      </c>
      <c r="I219" s="7">
        <f t="shared" si="14"/>
        <v>9.1878589007383109</v>
      </c>
      <c r="J219" s="7">
        <f t="shared" si="15"/>
        <v>31.173092698933552</v>
      </c>
      <c r="K219" s="7">
        <f t="shared" si="16"/>
        <v>24.118129614438065</v>
      </c>
    </row>
    <row r="220" spans="1:11" x14ac:dyDescent="0.35">
      <c r="A220">
        <v>2016</v>
      </c>
      <c r="B220">
        <v>3116506</v>
      </c>
      <c r="C220" t="str">
        <f>VLOOKUP(B220,SAEB!$A:$B,2,0)</f>
        <v>Claro dos Poções</v>
      </c>
      <c r="D220">
        <v>381</v>
      </c>
      <c r="E220">
        <v>0</v>
      </c>
      <c r="F220">
        <v>19</v>
      </c>
      <c r="G220">
        <v>17</v>
      </c>
      <c r="H220" s="7">
        <f t="shared" si="13"/>
        <v>91.366906474820141</v>
      </c>
      <c r="I220" s="7">
        <f t="shared" si="14"/>
        <v>0</v>
      </c>
      <c r="J220" s="7">
        <f t="shared" si="15"/>
        <v>4.5563549160671464</v>
      </c>
      <c r="K220" s="7">
        <f t="shared" si="16"/>
        <v>4.0767386091127102</v>
      </c>
    </row>
    <row r="221" spans="1:11" x14ac:dyDescent="0.35">
      <c r="A221">
        <v>2016</v>
      </c>
      <c r="B221">
        <v>3116803</v>
      </c>
      <c r="C221" t="str">
        <f>VLOOKUP(B221,SAEB!$A:$B,2,0)</f>
        <v>Coluna</v>
      </c>
      <c r="D221">
        <v>120</v>
      </c>
      <c r="E221">
        <v>0</v>
      </c>
      <c r="F221">
        <v>291</v>
      </c>
      <c r="G221">
        <v>0</v>
      </c>
      <c r="H221" s="7">
        <f t="shared" si="13"/>
        <v>29.197080291970799</v>
      </c>
      <c r="I221" s="7">
        <f t="shared" si="14"/>
        <v>0</v>
      </c>
      <c r="J221" s="7">
        <f t="shared" si="15"/>
        <v>70.802919708029194</v>
      </c>
      <c r="K221" s="7">
        <f t="shared" si="16"/>
        <v>0</v>
      </c>
    </row>
    <row r="222" spans="1:11" x14ac:dyDescent="0.35">
      <c r="A222">
        <v>2016</v>
      </c>
      <c r="B222">
        <v>3117009</v>
      </c>
      <c r="C222" t="str">
        <f>VLOOKUP(B222,SAEB!$A:$B,2,0)</f>
        <v>Comercinho</v>
      </c>
      <c r="D222">
        <v>298</v>
      </c>
      <c r="E222">
        <v>0</v>
      </c>
      <c r="F222">
        <v>197</v>
      </c>
      <c r="G222">
        <v>104</v>
      </c>
      <c r="H222" s="7">
        <f t="shared" si="13"/>
        <v>49.749582637729553</v>
      </c>
      <c r="I222" s="7">
        <f t="shared" si="14"/>
        <v>0</v>
      </c>
      <c r="J222" s="7">
        <f t="shared" si="15"/>
        <v>32.8881469115192</v>
      </c>
      <c r="K222" s="7">
        <f t="shared" si="16"/>
        <v>17.362270450751254</v>
      </c>
    </row>
    <row r="223" spans="1:11" x14ac:dyDescent="0.35">
      <c r="A223">
        <v>2016</v>
      </c>
      <c r="B223">
        <v>3118403</v>
      </c>
      <c r="C223" t="str">
        <f>VLOOKUP(B223,SAEB!$A:$B,2,0)</f>
        <v>Conselheiro Pena</v>
      </c>
      <c r="D223">
        <v>843</v>
      </c>
      <c r="E223">
        <v>93</v>
      </c>
      <c r="F223">
        <v>92</v>
      </c>
      <c r="G223">
        <v>62</v>
      </c>
      <c r="H223" s="7">
        <f t="shared" si="13"/>
        <v>77.339449541284395</v>
      </c>
      <c r="I223" s="7">
        <f t="shared" si="14"/>
        <v>8.5321100917431192</v>
      </c>
      <c r="J223" s="7">
        <f t="shared" si="15"/>
        <v>8.4403669724770651</v>
      </c>
      <c r="K223" s="7">
        <f t="shared" si="16"/>
        <v>5.6880733944954134</v>
      </c>
    </row>
    <row r="224" spans="1:11" x14ac:dyDescent="0.35">
      <c r="A224">
        <v>2016</v>
      </c>
      <c r="B224">
        <v>3119104</v>
      </c>
      <c r="C224" t="str">
        <f>VLOOKUP(B224,SAEB!$A:$B,2,0)</f>
        <v>Corinto</v>
      </c>
      <c r="D224">
        <v>1479</v>
      </c>
      <c r="E224">
        <v>425</v>
      </c>
      <c r="F224">
        <v>14</v>
      </c>
      <c r="G224">
        <v>0</v>
      </c>
      <c r="H224" s="7">
        <f t="shared" si="13"/>
        <v>77.111574556830035</v>
      </c>
      <c r="I224" s="7">
        <f t="shared" si="14"/>
        <v>22.158498435870698</v>
      </c>
      <c r="J224" s="7">
        <f t="shared" si="15"/>
        <v>0.72992700729927007</v>
      </c>
      <c r="K224" s="7">
        <f t="shared" si="16"/>
        <v>0</v>
      </c>
    </row>
    <row r="225" spans="1:11" x14ac:dyDescent="0.35">
      <c r="A225">
        <v>2016</v>
      </c>
      <c r="B225">
        <v>3119203</v>
      </c>
      <c r="C225" t="str">
        <f>VLOOKUP(B225,SAEB!$A:$B,2,0)</f>
        <v>Coroaci</v>
      </c>
      <c r="D225">
        <v>410</v>
      </c>
      <c r="E225">
        <v>67</v>
      </c>
      <c r="F225">
        <v>233</v>
      </c>
      <c r="G225">
        <v>173</v>
      </c>
      <c r="H225" s="7">
        <f t="shared" si="13"/>
        <v>46.432616081540203</v>
      </c>
      <c r="I225" s="7">
        <f t="shared" si="14"/>
        <v>7.5877689694224228</v>
      </c>
      <c r="J225" s="7">
        <f t="shared" si="15"/>
        <v>26.387315968289922</v>
      </c>
      <c r="K225" s="7">
        <f t="shared" si="16"/>
        <v>19.592298980747451</v>
      </c>
    </row>
    <row r="226" spans="1:11" x14ac:dyDescent="0.35">
      <c r="A226">
        <v>2016</v>
      </c>
      <c r="B226">
        <v>3119500</v>
      </c>
      <c r="C226" t="str">
        <f>VLOOKUP(B226,SAEB!$A:$B,2,0)</f>
        <v>Coronel Murta</v>
      </c>
      <c r="D226">
        <v>454</v>
      </c>
      <c r="E226">
        <v>282</v>
      </c>
      <c r="F226">
        <v>53</v>
      </c>
      <c r="G226">
        <v>0</v>
      </c>
      <c r="H226" s="7">
        <f t="shared" si="13"/>
        <v>57.541191381495558</v>
      </c>
      <c r="I226" s="7">
        <f t="shared" si="14"/>
        <v>35.741444866920155</v>
      </c>
      <c r="J226" s="7">
        <f t="shared" si="15"/>
        <v>6.7173637515842834</v>
      </c>
      <c r="K226" s="7">
        <f t="shared" si="16"/>
        <v>0</v>
      </c>
    </row>
    <row r="227" spans="1:11" x14ac:dyDescent="0.35">
      <c r="A227">
        <v>2016</v>
      </c>
      <c r="B227">
        <v>3120151</v>
      </c>
      <c r="C227" t="str">
        <f>VLOOKUP(B227,SAEB!$A:$B,2,0)</f>
        <v>Crisólita</v>
      </c>
      <c r="D227">
        <v>440</v>
      </c>
      <c r="E227">
        <v>188</v>
      </c>
      <c r="F227">
        <v>12</v>
      </c>
      <c r="G227">
        <v>0</v>
      </c>
      <c r="H227" s="7">
        <f t="shared" si="13"/>
        <v>68.75</v>
      </c>
      <c r="I227" s="7">
        <f t="shared" si="14"/>
        <v>29.375</v>
      </c>
      <c r="J227" s="7">
        <f t="shared" si="15"/>
        <v>1.875</v>
      </c>
      <c r="K227" s="7">
        <f t="shared" si="16"/>
        <v>0</v>
      </c>
    </row>
    <row r="228" spans="1:11" x14ac:dyDescent="0.35">
      <c r="A228">
        <v>2016</v>
      </c>
      <c r="B228">
        <v>3120870</v>
      </c>
      <c r="C228" t="str">
        <f>VLOOKUP(B228,SAEB!$A:$B,2,0)</f>
        <v>Curral de Dentro</v>
      </c>
      <c r="D228">
        <v>483</v>
      </c>
      <c r="E228">
        <v>0</v>
      </c>
      <c r="F228">
        <v>165</v>
      </c>
      <c r="G228">
        <v>0</v>
      </c>
      <c r="H228" s="7">
        <f t="shared" si="13"/>
        <v>74.537037037037038</v>
      </c>
      <c r="I228" s="7">
        <f t="shared" si="14"/>
        <v>0</v>
      </c>
      <c r="J228" s="7">
        <f t="shared" si="15"/>
        <v>25.462962962962965</v>
      </c>
      <c r="K228" s="7">
        <f t="shared" si="16"/>
        <v>0</v>
      </c>
    </row>
    <row r="229" spans="1:11" x14ac:dyDescent="0.35">
      <c r="A229">
        <v>2016</v>
      </c>
      <c r="B229">
        <v>3120904</v>
      </c>
      <c r="C229" t="str">
        <f>VLOOKUP(B229,SAEB!$A:$B,2,0)</f>
        <v>Curvelo</v>
      </c>
      <c r="D229">
        <v>4102</v>
      </c>
      <c r="E229">
        <v>0</v>
      </c>
      <c r="F229">
        <v>464</v>
      </c>
      <c r="G229">
        <v>0</v>
      </c>
      <c r="H229" s="7">
        <f t="shared" si="13"/>
        <v>89.837932544897072</v>
      </c>
      <c r="I229" s="7">
        <f t="shared" si="14"/>
        <v>0</v>
      </c>
      <c r="J229" s="7">
        <f t="shared" si="15"/>
        <v>10.162067455102934</v>
      </c>
      <c r="K229" s="7">
        <f t="shared" si="16"/>
        <v>0</v>
      </c>
    </row>
    <row r="230" spans="1:11" x14ac:dyDescent="0.35">
      <c r="A230">
        <v>2016</v>
      </c>
      <c r="B230">
        <v>3121001</v>
      </c>
      <c r="C230" t="str">
        <f>VLOOKUP(B230,SAEB!$A:$B,2,0)</f>
        <v>Datas</v>
      </c>
      <c r="D230">
        <v>258</v>
      </c>
      <c r="E230">
        <v>0</v>
      </c>
      <c r="F230">
        <v>138</v>
      </c>
      <c r="G230">
        <v>0</v>
      </c>
      <c r="H230" s="7">
        <f t="shared" si="13"/>
        <v>65.151515151515156</v>
      </c>
      <c r="I230" s="7">
        <f t="shared" si="14"/>
        <v>0</v>
      </c>
      <c r="J230" s="7">
        <f t="shared" si="15"/>
        <v>34.848484848484851</v>
      </c>
      <c r="K230" s="7">
        <f t="shared" si="16"/>
        <v>0</v>
      </c>
    </row>
    <row r="231" spans="1:11" x14ac:dyDescent="0.35">
      <c r="A231">
        <v>2016</v>
      </c>
      <c r="B231">
        <v>3121605</v>
      </c>
      <c r="C231" t="str">
        <f>VLOOKUP(B231,SAEB!$A:$B,2,0)</f>
        <v>Diamantina</v>
      </c>
      <c r="D231">
        <v>679</v>
      </c>
      <c r="E231">
        <v>273</v>
      </c>
      <c r="F231">
        <v>388</v>
      </c>
      <c r="G231">
        <v>129</v>
      </c>
      <c r="H231" s="7">
        <f t="shared" si="13"/>
        <v>46.221919673247108</v>
      </c>
      <c r="I231" s="7">
        <f t="shared" si="14"/>
        <v>18.584070796460178</v>
      </c>
      <c r="J231" s="7">
        <f t="shared" si="15"/>
        <v>26.412525527569773</v>
      </c>
      <c r="K231" s="7">
        <f t="shared" si="16"/>
        <v>8.7814840027229408</v>
      </c>
    </row>
    <row r="232" spans="1:11" x14ac:dyDescent="0.35">
      <c r="A232">
        <v>2016</v>
      </c>
      <c r="B232">
        <v>3122108</v>
      </c>
      <c r="C232" t="str">
        <f>VLOOKUP(B232,SAEB!$A:$B,2,0)</f>
        <v>Divino das Laranjeiras</v>
      </c>
      <c r="D232">
        <v>161</v>
      </c>
      <c r="E232">
        <v>0</v>
      </c>
      <c r="F232">
        <v>2</v>
      </c>
      <c r="G232">
        <v>0</v>
      </c>
      <c r="H232" s="7">
        <f t="shared" si="13"/>
        <v>98.773006134969322</v>
      </c>
      <c r="I232" s="7">
        <f t="shared" si="14"/>
        <v>0</v>
      </c>
      <c r="J232" s="7">
        <f t="shared" si="15"/>
        <v>1.2269938650306749</v>
      </c>
      <c r="K232" s="7">
        <f t="shared" si="16"/>
        <v>0</v>
      </c>
    </row>
    <row r="233" spans="1:11" x14ac:dyDescent="0.35">
      <c r="A233">
        <v>2016</v>
      </c>
      <c r="B233">
        <v>3122207</v>
      </c>
      <c r="C233" t="str">
        <f>VLOOKUP(B233,SAEB!$A:$B,2,0)</f>
        <v>Divinolândia de Minas</v>
      </c>
      <c r="D233">
        <v>435</v>
      </c>
      <c r="E233">
        <v>0</v>
      </c>
      <c r="F233">
        <v>141</v>
      </c>
      <c r="G233">
        <v>0</v>
      </c>
      <c r="H233" s="7">
        <f t="shared" si="13"/>
        <v>75.520833333333343</v>
      </c>
      <c r="I233" s="7">
        <f t="shared" si="14"/>
        <v>0</v>
      </c>
      <c r="J233" s="7">
        <f t="shared" si="15"/>
        <v>24.479166666666664</v>
      </c>
      <c r="K233" s="7">
        <f t="shared" si="16"/>
        <v>0</v>
      </c>
    </row>
    <row r="234" spans="1:11" x14ac:dyDescent="0.35">
      <c r="A234">
        <v>2016</v>
      </c>
      <c r="B234">
        <v>3122454</v>
      </c>
      <c r="C234" t="str">
        <f>VLOOKUP(B234,SAEB!$A:$B,2,0)</f>
        <v>Divisópolis</v>
      </c>
      <c r="D234">
        <v>611</v>
      </c>
      <c r="E234">
        <v>0</v>
      </c>
      <c r="F234">
        <v>80</v>
      </c>
      <c r="G234">
        <v>15</v>
      </c>
      <c r="H234" s="7">
        <f t="shared" si="13"/>
        <v>86.543909348441929</v>
      </c>
      <c r="I234" s="7">
        <f t="shared" si="14"/>
        <v>0</v>
      </c>
      <c r="J234" s="7">
        <f t="shared" si="15"/>
        <v>11.3314447592068</v>
      </c>
      <c r="K234" s="7">
        <f t="shared" si="16"/>
        <v>2.1246458923512748</v>
      </c>
    </row>
    <row r="235" spans="1:11" x14ac:dyDescent="0.35">
      <c r="A235">
        <v>2016</v>
      </c>
      <c r="B235">
        <v>3122470</v>
      </c>
      <c r="C235" t="str">
        <f>VLOOKUP(B235,SAEB!$A:$B,2,0)</f>
        <v>Dom Bosco</v>
      </c>
      <c r="D235">
        <v>47</v>
      </c>
      <c r="E235">
        <v>55</v>
      </c>
      <c r="F235">
        <v>68</v>
      </c>
      <c r="G235">
        <v>0</v>
      </c>
      <c r="H235" s="7">
        <f t="shared" si="13"/>
        <v>27.647058823529413</v>
      </c>
      <c r="I235" s="7">
        <f t="shared" si="14"/>
        <v>32.352941176470587</v>
      </c>
      <c r="J235" s="7">
        <f t="shared" si="15"/>
        <v>40</v>
      </c>
      <c r="K235" s="7">
        <f t="shared" si="16"/>
        <v>0</v>
      </c>
    </row>
    <row r="236" spans="1:11" x14ac:dyDescent="0.35">
      <c r="A236">
        <v>2016</v>
      </c>
      <c r="B236">
        <v>3123106</v>
      </c>
      <c r="C236" t="str">
        <f>VLOOKUP(B236,SAEB!$A:$B,2,0)</f>
        <v>Dores de Guanhães</v>
      </c>
      <c r="D236">
        <v>247</v>
      </c>
      <c r="E236">
        <v>0</v>
      </c>
      <c r="F236">
        <v>87</v>
      </c>
      <c r="G236">
        <v>0</v>
      </c>
      <c r="H236" s="7">
        <f t="shared" si="13"/>
        <v>73.952095808383234</v>
      </c>
      <c r="I236" s="7">
        <f t="shared" si="14"/>
        <v>0</v>
      </c>
      <c r="J236" s="7">
        <f t="shared" si="15"/>
        <v>26.047904191616766</v>
      </c>
      <c r="K236" s="7">
        <f t="shared" si="16"/>
        <v>0</v>
      </c>
    </row>
    <row r="237" spans="1:11" x14ac:dyDescent="0.35">
      <c r="A237">
        <v>2016</v>
      </c>
      <c r="B237">
        <v>3123700</v>
      </c>
      <c r="C237" t="str">
        <f>VLOOKUP(B237,SAEB!$A:$B,2,0)</f>
        <v>Engenheiro Caldas</v>
      </c>
      <c r="D237">
        <v>776</v>
      </c>
      <c r="E237">
        <v>168</v>
      </c>
      <c r="F237">
        <v>0</v>
      </c>
      <c r="G237">
        <v>0</v>
      </c>
      <c r="H237" s="7">
        <f t="shared" si="13"/>
        <v>82.203389830508485</v>
      </c>
      <c r="I237" s="7">
        <f t="shared" si="14"/>
        <v>17.796610169491526</v>
      </c>
      <c r="J237" s="7">
        <f t="shared" si="15"/>
        <v>0</v>
      </c>
      <c r="K237" s="7">
        <f t="shared" si="16"/>
        <v>0</v>
      </c>
    </row>
    <row r="238" spans="1:11" x14ac:dyDescent="0.35">
      <c r="A238">
        <v>2016</v>
      </c>
      <c r="B238">
        <v>3123809</v>
      </c>
      <c r="C238" t="str">
        <f>VLOOKUP(B238,SAEB!$A:$B,2,0)</f>
        <v>Engenheiro Navarro</v>
      </c>
      <c r="D238">
        <v>426</v>
      </c>
      <c r="E238">
        <v>0</v>
      </c>
      <c r="F238">
        <v>52</v>
      </c>
      <c r="G238">
        <v>0</v>
      </c>
      <c r="H238" s="7">
        <f t="shared" si="13"/>
        <v>89.121338912133893</v>
      </c>
      <c r="I238" s="7">
        <f t="shared" si="14"/>
        <v>0</v>
      </c>
      <c r="J238" s="7">
        <f t="shared" si="15"/>
        <v>10.87866108786611</v>
      </c>
      <c r="K238" s="7">
        <f t="shared" si="16"/>
        <v>0</v>
      </c>
    </row>
    <row r="239" spans="1:11" x14ac:dyDescent="0.35">
      <c r="A239">
        <v>2016</v>
      </c>
      <c r="B239">
        <v>3124302</v>
      </c>
      <c r="C239" t="str">
        <f>VLOOKUP(B239,SAEB!$A:$B,2,0)</f>
        <v>Espinosa</v>
      </c>
      <c r="D239">
        <v>418</v>
      </c>
      <c r="E239">
        <v>0</v>
      </c>
      <c r="F239">
        <v>578</v>
      </c>
      <c r="G239">
        <v>0</v>
      </c>
      <c r="H239" s="7">
        <f t="shared" si="13"/>
        <v>41.967871485943775</v>
      </c>
      <c r="I239" s="7">
        <f t="shared" si="14"/>
        <v>0</v>
      </c>
      <c r="J239" s="7">
        <f t="shared" si="15"/>
        <v>58.032128514056225</v>
      </c>
      <c r="K239" s="7">
        <f t="shared" si="16"/>
        <v>0</v>
      </c>
    </row>
    <row r="240" spans="1:11" x14ac:dyDescent="0.35">
      <c r="A240">
        <v>2016</v>
      </c>
      <c r="B240">
        <v>3125408</v>
      </c>
      <c r="C240" t="str">
        <f>VLOOKUP(B240,SAEB!$A:$B,2,0)</f>
        <v>Felício dos Santos</v>
      </c>
      <c r="D240">
        <v>0</v>
      </c>
      <c r="E240">
        <v>0</v>
      </c>
      <c r="F240">
        <v>364</v>
      </c>
      <c r="G240">
        <v>0</v>
      </c>
      <c r="H240" s="7">
        <f t="shared" si="13"/>
        <v>0</v>
      </c>
      <c r="I240" s="7">
        <f t="shared" si="14"/>
        <v>0</v>
      </c>
      <c r="J240" s="7">
        <f t="shared" si="15"/>
        <v>100</v>
      </c>
      <c r="K240" s="7">
        <f t="shared" si="16"/>
        <v>0</v>
      </c>
    </row>
    <row r="241" spans="1:11" x14ac:dyDescent="0.35">
      <c r="A241">
        <v>2016</v>
      </c>
      <c r="B241">
        <v>3125705</v>
      </c>
      <c r="C241" t="str">
        <f>VLOOKUP(B241,SAEB!$A:$B,2,0)</f>
        <v>Felixlândia</v>
      </c>
      <c r="D241">
        <v>746</v>
      </c>
      <c r="E241">
        <v>491</v>
      </c>
      <c r="F241">
        <v>69</v>
      </c>
      <c r="G241">
        <v>0</v>
      </c>
      <c r="H241" s="7">
        <f t="shared" si="13"/>
        <v>57.120980091883609</v>
      </c>
      <c r="I241" s="7">
        <f t="shared" si="14"/>
        <v>37.595712098009187</v>
      </c>
      <c r="J241" s="7">
        <f t="shared" si="15"/>
        <v>5.283307810107198</v>
      </c>
      <c r="K241" s="7">
        <f t="shared" si="16"/>
        <v>0</v>
      </c>
    </row>
    <row r="242" spans="1:11" x14ac:dyDescent="0.35">
      <c r="A242">
        <v>2016</v>
      </c>
      <c r="B242">
        <v>3126604</v>
      </c>
      <c r="C242" t="str">
        <f>VLOOKUP(B242,SAEB!$A:$B,2,0)</f>
        <v>Francisco Dumont</v>
      </c>
      <c r="D242">
        <v>328</v>
      </c>
      <c r="E242">
        <v>0</v>
      </c>
      <c r="F242">
        <v>59</v>
      </c>
      <c r="G242">
        <v>34</v>
      </c>
      <c r="H242" s="7">
        <f t="shared" si="13"/>
        <v>77.909738717339678</v>
      </c>
      <c r="I242" s="7">
        <f t="shared" si="14"/>
        <v>0</v>
      </c>
      <c r="J242" s="7">
        <f t="shared" si="15"/>
        <v>14.014251781472684</v>
      </c>
      <c r="K242" s="7">
        <f t="shared" si="16"/>
        <v>8.0760095011876487</v>
      </c>
    </row>
    <row r="243" spans="1:11" x14ac:dyDescent="0.35">
      <c r="A243">
        <v>2016</v>
      </c>
      <c r="B243">
        <v>3126703</v>
      </c>
      <c r="C243" t="str">
        <f>VLOOKUP(B243,SAEB!$A:$B,2,0)</f>
        <v>Francisco Sá</v>
      </c>
      <c r="D243">
        <v>408</v>
      </c>
      <c r="E243">
        <v>128</v>
      </c>
      <c r="F243">
        <v>361</v>
      </c>
      <c r="G243">
        <v>79</v>
      </c>
      <c r="H243" s="7">
        <f t="shared" si="13"/>
        <v>41.803278688524593</v>
      </c>
      <c r="I243" s="7">
        <f t="shared" si="14"/>
        <v>13.114754098360656</v>
      </c>
      <c r="J243" s="7">
        <f t="shared" si="15"/>
        <v>36.98770491803279</v>
      </c>
      <c r="K243" s="7">
        <f t="shared" si="16"/>
        <v>8.0942622950819683</v>
      </c>
    </row>
    <row r="244" spans="1:11" x14ac:dyDescent="0.35">
      <c r="A244">
        <v>2016</v>
      </c>
      <c r="B244">
        <v>3126901</v>
      </c>
      <c r="C244" t="str">
        <f>VLOOKUP(B244,SAEB!$A:$B,2,0)</f>
        <v>Frei Inocêncio</v>
      </c>
      <c r="D244">
        <v>300</v>
      </c>
      <c r="E244">
        <v>0</v>
      </c>
      <c r="F244">
        <v>72</v>
      </c>
      <c r="G244">
        <v>44</v>
      </c>
      <c r="H244" s="7">
        <f t="shared" si="13"/>
        <v>72.115384615384613</v>
      </c>
      <c r="I244" s="7">
        <f t="shared" si="14"/>
        <v>0</v>
      </c>
      <c r="J244" s="7">
        <f t="shared" si="15"/>
        <v>17.307692307692307</v>
      </c>
      <c r="K244" s="7">
        <f t="shared" si="16"/>
        <v>10.576923076923077</v>
      </c>
    </row>
    <row r="245" spans="1:11" x14ac:dyDescent="0.35">
      <c r="A245">
        <v>2016</v>
      </c>
      <c r="B245">
        <v>3127073</v>
      </c>
      <c r="C245" t="str">
        <f>VLOOKUP(B245,SAEB!$A:$B,2,0)</f>
        <v>Fruta de Leite</v>
      </c>
      <c r="D245">
        <v>0</v>
      </c>
      <c r="E245">
        <v>0</v>
      </c>
      <c r="F245">
        <v>289</v>
      </c>
      <c r="G245">
        <v>0</v>
      </c>
      <c r="H245" s="7">
        <f t="shared" si="13"/>
        <v>0</v>
      </c>
      <c r="I245" s="7">
        <f t="shared" si="14"/>
        <v>0</v>
      </c>
      <c r="J245" s="7">
        <f t="shared" si="15"/>
        <v>100</v>
      </c>
      <c r="K245" s="7">
        <f t="shared" si="16"/>
        <v>0</v>
      </c>
    </row>
    <row r="246" spans="1:11" x14ac:dyDescent="0.35">
      <c r="A246">
        <v>2016</v>
      </c>
      <c r="B246">
        <v>3127354</v>
      </c>
      <c r="C246" t="str">
        <f>VLOOKUP(B246,SAEB!$A:$B,2,0)</f>
        <v>Glaucilândia</v>
      </c>
      <c r="D246">
        <v>106</v>
      </c>
      <c r="E246">
        <v>0</v>
      </c>
      <c r="F246">
        <v>92</v>
      </c>
      <c r="G246">
        <v>0</v>
      </c>
      <c r="H246" s="7">
        <f t="shared" si="13"/>
        <v>53.535353535353536</v>
      </c>
      <c r="I246" s="7">
        <f t="shared" si="14"/>
        <v>0</v>
      </c>
      <c r="J246" s="7">
        <f t="shared" si="15"/>
        <v>46.464646464646464</v>
      </c>
      <c r="K246" s="7">
        <f t="shared" si="16"/>
        <v>0</v>
      </c>
    </row>
    <row r="247" spans="1:11" x14ac:dyDescent="0.35">
      <c r="A247">
        <v>2016</v>
      </c>
      <c r="B247">
        <v>3127503</v>
      </c>
      <c r="C247" t="str">
        <f>VLOOKUP(B247,SAEB!$A:$B,2,0)</f>
        <v>Gonzaga</v>
      </c>
      <c r="D247">
        <v>315</v>
      </c>
      <c r="E247">
        <v>0</v>
      </c>
      <c r="F247">
        <v>135</v>
      </c>
      <c r="G247">
        <v>0</v>
      </c>
      <c r="H247" s="7">
        <f t="shared" si="13"/>
        <v>70</v>
      </c>
      <c r="I247" s="7">
        <f t="shared" si="14"/>
        <v>0</v>
      </c>
      <c r="J247" s="7">
        <f t="shared" si="15"/>
        <v>30</v>
      </c>
      <c r="K247" s="7">
        <f t="shared" si="16"/>
        <v>0</v>
      </c>
    </row>
    <row r="248" spans="1:11" x14ac:dyDescent="0.35">
      <c r="A248">
        <v>2016</v>
      </c>
      <c r="B248">
        <v>3127602</v>
      </c>
      <c r="C248" t="str">
        <f>VLOOKUP(B248,SAEB!$A:$B,2,0)</f>
        <v>Gouveia</v>
      </c>
      <c r="D248">
        <v>414</v>
      </c>
      <c r="E248">
        <v>0</v>
      </c>
      <c r="F248">
        <v>107</v>
      </c>
      <c r="G248">
        <v>97</v>
      </c>
      <c r="H248" s="7">
        <f t="shared" si="13"/>
        <v>66.990291262135926</v>
      </c>
      <c r="I248" s="7">
        <f t="shared" si="14"/>
        <v>0</v>
      </c>
      <c r="J248" s="7">
        <f t="shared" si="15"/>
        <v>17.313915857605178</v>
      </c>
      <c r="K248" s="7">
        <f t="shared" si="16"/>
        <v>15.6957928802589</v>
      </c>
    </row>
    <row r="249" spans="1:11" x14ac:dyDescent="0.35">
      <c r="A249">
        <v>2016</v>
      </c>
      <c r="B249">
        <v>3127701</v>
      </c>
      <c r="C249" t="str">
        <f>VLOOKUP(B249,SAEB!$A:$B,2,0)</f>
        <v>Governador Valadares</v>
      </c>
      <c r="D249">
        <v>6480</v>
      </c>
      <c r="E249">
        <v>3539</v>
      </c>
      <c r="F249">
        <v>396</v>
      </c>
      <c r="G249">
        <v>276</v>
      </c>
      <c r="H249" s="7">
        <f t="shared" si="13"/>
        <v>60.611729492096153</v>
      </c>
      <c r="I249" s="7">
        <f t="shared" si="14"/>
        <v>33.102609671686466</v>
      </c>
      <c r="J249" s="7">
        <f t="shared" si="15"/>
        <v>3.7040501356280986</v>
      </c>
      <c r="K249" s="7">
        <f t="shared" si="16"/>
        <v>2.5816107005892808</v>
      </c>
    </row>
    <row r="250" spans="1:11" x14ac:dyDescent="0.35">
      <c r="A250">
        <v>2016</v>
      </c>
      <c r="B250">
        <v>3128006</v>
      </c>
      <c r="C250" t="str">
        <f>VLOOKUP(B250,SAEB!$A:$B,2,0)</f>
        <v>Guanhães</v>
      </c>
      <c r="D250">
        <v>1075</v>
      </c>
      <c r="E250">
        <v>0</v>
      </c>
      <c r="F250">
        <v>180</v>
      </c>
      <c r="G250">
        <v>0</v>
      </c>
      <c r="H250" s="7">
        <f t="shared" si="13"/>
        <v>85.657370517928285</v>
      </c>
      <c r="I250" s="7">
        <f t="shared" si="14"/>
        <v>0</v>
      </c>
      <c r="J250" s="7">
        <f t="shared" si="15"/>
        <v>14.342629482071715</v>
      </c>
      <c r="K250" s="7">
        <f t="shared" si="16"/>
        <v>0</v>
      </c>
    </row>
    <row r="251" spans="1:11" x14ac:dyDescent="0.35">
      <c r="A251">
        <v>2016</v>
      </c>
      <c r="B251">
        <v>3128253</v>
      </c>
      <c r="C251" t="str">
        <f>VLOOKUP(B251,SAEB!$A:$B,2,0)</f>
        <v>Guaraciama</v>
      </c>
      <c r="D251">
        <v>369</v>
      </c>
      <c r="E251">
        <v>0</v>
      </c>
      <c r="F251">
        <v>10</v>
      </c>
      <c r="G251">
        <v>0</v>
      </c>
      <c r="H251" s="7">
        <f t="shared" si="13"/>
        <v>97.361477572559366</v>
      </c>
      <c r="I251" s="7">
        <f t="shared" si="14"/>
        <v>0</v>
      </c>
      <c r="J251" s="7">
        <f t="shared" si="15"/>
        <v>2.6385224274406331</v>
      </c>
      <c r="K251" s="7">
        <f t="shared" si="16"/>
        <v>0</v>
      </c>
    </row>
    <row r="252" spans="1:11" x14ac:dyDescent="0.35">
      <c r="A252">
        <v>2016</v>
      </c>
      <c r="B252">
        <v>3129657</v>
      </c>
      <c r="C252" t="str">
        <f>VLOOKUP(B252,SAEB!$A:$B,2,0)</f>
        <v>Ibiracatu</v>
      </c>
      <c r="D252">
        <v>152</v>
      </c>
      <c r="E252">
        <v>140</v>
      </c>
      <c r="F252">
        <v>119</v>
      </c>
      <c r="G252">
        <v>70</v>
      </c>
      <c r="H252" s="7">
        <f t="shared" si="13"/>
        <v>31.600831600831604</v>
      </c>
      <c r="I252" s="7">
        <f t="shared" si="14"/>
        <v>29.106029106029109</v>
      </c>
      <c r="J252" s="7">
        <f t="shared" si="15"/>
        <v>24.740124740124742</v>
      </c>
      <c r="K252" s="7">
        <f t="shared" si="16"/>
        <v>14.553014553014554</v>
      </c>
    </row>
    <row r="253" spans="1:11" x14ac:dyDescent="0.35">
      <c r="A253">
        <v>2016</v>
      </c>
      <c r="B253">
        <v>3130051</v>
      </c>
      <c r="C253" t="str">
        <f>VLOOKUP(B253,SAEB!$A:$B,2,0)</f>
        <v>Icaraí de Minas</v>
      </c>
      <c r="D253">
        <v>307</v>
      </c>
      <c r="E253">
        <v>0</v>
      </c>
      <c r="F253">
        <v>164</v>
      </c>
      <c r="G253">
        <v>0</v>
      </c>
      <c r="H253" s="7">
        <f t="shared" si="13"/>
        <v>65.180467091295114</v>
      </c>
      <c r="I253" s="7">
        <f t="shared" si="14"/>
        <v>0</v>
      </c>
      <c r="J253" s="7">
        <f t="shared" si="15"/>
        <v>34.819532908704879</v>
      </c>
      <c r="K253" s="7">
        <f t="shared" si="16"/>
        <v>0</v>
      </c>
    </row>
    <row r="254" spans="1:11" x14ac:dyDescent="0.35">
      <c r="A254">
        <v>2016</v>
      </c>
      <c r="B254">
        <v>3130556</v>
      </c>
      <c r="C254" t="str">
        <f>VLOOKUP(B254,SAEB!$A:$B,2,0)</f>
        <v>Imbé de Minas</v>
      </c>
      <c r="D254">
        <v>284</v>
      </c>
      <c r="E254">
        <v>0</v>
      </c>
      <c r="F254">
        <v>203</v>
      </c>
      <c r="G254">
        <v>0</v>
      </c>
      <c r="H254" s="7">
        <f t="shared" si="13"/>
        <v>58.316221765913753</v>
      </c>
      <c r="I254" s="7">
        <f t="shared" si="14"/>
        <v>0</v>
      </c>
      <c r="J254" s="7">
        <f t="shared" si="15"/>
        <v>41.683778234086247</v>
      </c>
      <c r="K254" s="7">
        <f t="shared" si="16"/>
        <v>0</v>
      </c>
    </row>
    <row r="255" spans="1:11" x14ac:dyDescent="0.35">
      <c r="A255">
        <v>2016</v>
      </c>
      <c r="B255">
        <v>3130655</v>
      </c>
      <c r="C255" t="str">
        <f>VLOOKUP(B255,SAEB!$A:$B,2,0)</f>
        <v>Indaiabira</v>
      </c>
      <c r="D255">
        <v>189</v>
      </c>
      <c r="E255">
        <v>0</v>
      </c>
      <c r="F255">
        <v>185</v>
      </c>
      <c r="G255">
        <v>83</v>
      </c>
      <c r="H255" s="7">
        <f t="shared" si="13"/>
        <v>41.356673960612689</v>
      </c>
      <c r="I255" s="7">
        <f t="shared" si="14"/>
        <v>0</v>
      </c>
      <c r="J255" s="7">
        <f t="shared" si="15"/>
        <v>40.481400437636758</v>
      </c>
      <c r="K255" s="7">
        <f t="shared" si="16"/>
        <v>18.161925601750546</v>
      </c>
    </row>
    <row r="256" spans="1:11" x14ac:dyDescent="0.35">
      <c r="A256">
        <v>2016</v>
      </c>
      <c r="B256">
        <v>3130903</v>
      </c>
      <c r="C256" t="str">
        <f>VLOOKUP(B256,SAEB!$A:$B,2,0)</f>
        <v>Inhapim</v>
      </c>
      <c r="D256">
        <v>362</v>
      </c>
      <c r="E256">
        <v>0</v>
      </c>
      <c r="F256">
        <v>545</v>
      </c>
      <c r="G256">
        <v>75</v>
      </c>
      <c r="H256" s="7">
        <f t="shared" si="13"/>
        <v>36.863543788187378</v>
      </c>
      <c r="I256" s="7">
        <f t="shared" si="14"/>
        <v>0</v>
      </c>
      <c r="J256" s="7">
        <f t="shared" si="15"/>
        <v>55.498981670061099</v>
      </c>
      <c r="K256" s="7">
        <f t="shared" si="16"/>
        <v>7.6374745417515282</v>
      </c>
    </row>
    <row r="257" spans="1:11" x14ac:dyDescent="0.35">
      <c r="A257">
        <v>2016</v>
      </c>
      <c r="B257">
        <v>3131109</v>
      </c>
      <c r="C257" t="str">
        <f>VLOOKUP(B257,SAEB!$A:$B,2,0)</f>
        <v>Inimutaba</v>
      </c>
      <c r="D257">
        <v>376</v>
      </c>
      <c r="E257">
        <v>0</v>
      </c>
      <c r="F257">
        <v>103</v>
      </c>
      <c r="G257">
        <v>0</v>
      </c>
      <c r="H257" s="7">
        <f t="shared" si="13"/>
        <v>78.496868475991661</v>
      </c>
      <c r="I257" s="7">
        <f t="shared" si="14"/>
        <v>0</v>
      </c>
      <c r="J257" s="7">
        <f t="shared" si="15"/>
        <v>21.503131524008349</v>
      </c>
      <c r="K257" s="7">
        <f t="shared" si="16"/>
        <v>0</v>
      </c>
    </row>
    <row r="258" spans="1:11" x14ac:dyDescent="0.35">
      <c r="A258">
        <v>2016</v>
      </c>
      <c r="B258">
        <v>3131208</v>
      </c>
      <c r="C258" t="str">
        <f>VLOOKUP(B258,SAEB!$A:$B,2,0)</f>
        <v>Ipanema</v>
      </c>
      <c r="D258">
        <v>648</v>
      </c>
      <c r="E258">
        <v>264</v>
      </c>
      <c r="F258">
        <v>78</v>
      </c>
      <c r="G258">
        <v>41</v>
      </c>
      <c r="H258" s="7">
        <f t="shared" si="13"/>
        <v>62.851600387972837</v>
      </c>
      <c r="I258" s="7">
        <f t="shared" si="14"/>
        <v>25.606207565470417</v>
      </c>
      <c r="J258" s="7">
        <f t="shared" si="15"/>
        <v>7.5654704170708049</v>
      </c>
      <c r="K258" s="7">
        <f t="shared" si="16"/>
        <v>3.9767216294859362</v>
      </c>
    </row>
    <row r="259" spans="1:11" x14ac:dyDescent="0.35">
      <c r="A259">
        <v>2016</v>
      </c>
      <c r="B259">
        <v>3131802</v>
      </c>
      <c r="C259" t="str">
        <f>VLOOKUP(B259,SAEB!$A:$B,2,0)</f>
        <v>Itabirinha</v>
      </c>
      <c r="D259">
        <v>522</v>
      </c>
      <c r="E259">
        <v>0</v>
      </c>
      <c r="F259">
        <v>142</v>
      </c>
      <c r="G259">
        <v>2</v>
      </c>
      <c r="H259" s="7">
        <f t="shared" ref="H259:H322" si="17">D259/SUM($D259:$G259)*100</f>
        <v>78.378378378378372</v>
      </c>
      <c r="I259" s="7">
        <f t="shared" ref="I259:I322" si="18">E259/SUM($D259:$G259)*100</f>
        <v>0</v>
      </c>
      <c r="J259" s="7">
        <f t="shared" ref="J259:J322" si="19">F259/SUM($D259:$G259)*100</f>
        <v>21.321321321321321</v>
      </c>
      <c r="K259" s="7">
        <f t="shared" ref="K259:K322" si="20">G259/SUM($D259:$G259)*100</f>
        <v>0.3003003003003003</v>
      </c>
    </row>
    <row r="260" spans="1:11" x14ac:dyDescent="0.35">
      <c r="A260">
        <v>2016</v>
      </c>
      <c r="B260">
        <v>3132107</v>
      </c>
      <c r="C260" t="str">
        <f>VLOOKUP(B260,SAEB!$A:$B,2,0)</f>
        <v>Itacarambi</v>
      </c>
      <c r="D260">
        <v>1044</v>
      </c>
      <c r="E260">
        <v>958</v>
      </c>
      <c r="F260">
        <v>176</v>
      </c>
      <c r="G260">
        <v>147</v>
      </c>
      <c r="H260" s="7">
        <f t="shared" si="17"/>
        <v>44.903225806451616</v>
      </c>
      <c r="I260" s="7">
        <f t="shared" si="18"/>
        <v>41.204301075268816</v>
      </c>
      <c r="J260" s="7">
        <f t="shared" si="19"/>
        <v>7.56989247311828</v>
      </c>
      <c r="K260" s="7">
        <f t="shared" si="20"/>
        <v>6.3225806451612909</v>
      </c>
    </row>
    <row r="261" spans="1:11" x14ac:dyDescent="0.35">
      <c r="A261">
        <v>2016</v>
      </c>
      <c r="B261">
        <v>3132305</v>
      </c>
      <c r="C261" t="str">
        <f>VLOOKUP(B261,SAEB!$A:$B,2,0)</f>
        <v>Itaipé</v>
      </c>
      <c r="D261">
        <v>275</v>
      </c>
      <c r="E261">
        <v>513</v>
      </c>
      <c r="F261">
        <v>456</v>
      </c>
      <c r="G261">
        <v>0</v>
      </c>
      <c r="H261" s="7">
        <f t="shared" si="17"/>
        <v>22.106109324758844</v>
      </c>
      <c r="I261" s="7">
        <f t="shared" si="18"/>
        <v>41.237942122186496</v>
      </c>
      <c r="J261" s="7">
        <f t="shared" si="19"/>
        <v>36.655948553054664</v>
      </c>
      <c r="K261" s="7">
        <f t="shared" si="20"/>
        <v>0</v>
      </c>
    </row>
    <row r="262" spans="1:11" x14ac:dyDescent="0.35">
      <c r="A262">
        <v>2016</v>
      </c>
      <c r="B262">
        <v>3132503</v>
      </c>
      <c r="C262" t="str">
        <f>VLOOKUP(B262,SAEB!$A:$B,2,0)</f>
        <v>Itamarandiba</v>
      </c>
      <c r="D262">
        <v>1158</v>
      </c>
      <c r="E262">
        <v>253</v>
      </c>
      <c r="F262">
        <v>373</v>
      </c>
      <c r="G262">
        <v>82</v>
      </c>
      <c r="H262" s="7">
        <f t="shared" si="17"/>
        <v>62.057877813504824</v>
      </c>
      <c r="I262" s="7">
        <f t="shared" si="18"/>
        <v>13.558413719185422</v>
      </c>
      <c r="J262" s="7">
        <f t="shared" si="19"/>
        <v>19.989281886387996</v>
      </c>
      <c r="K262" s="7">
        <f t="shared" si="20"/>
        <v>4.394426580921758</v>
      </c>
    </row>
    <row r="263" spans="1:11" x14ac:dyDescent="0.35">
      <c r="A263">
        <v>2016</v>
      </c>
      <c r="B263">
        <v>3132701</v>
      </c>
      <c r="C263" t="str">
        <f>VLOOKUP(B263,SAEB!$A:$B,2,0)</f>
        <v>Itambacuri</v>
      </c>
      <c r="D263">
        <v>249</v>
      </c>
      <c r="E263">
        <v>194</v>
      </c>
      <c r="F263">
        <v>513</v>
      </c>
      <c r="G263">
        <v>399</v>
      </c>
      <c r="H263" s="7">
        <f t="shared" si="17"/>
        <v>18.376383763837641</v>
      </c>
      <c r="I263" s="7">
        <f t="shared" si="18"/>
        <v>14.317343173431734</v>
      </c>
      <c r="J263" s="7">
        <f t="shared" si="19"/>
        <v>37.859778597785976</v>
      </c>
      <c r="K263" s="7">
        <f t="shared" si="20"/>
        <v>29.446494464944649</v>
      </c>
    </row>
    <row r="264" spans="1:11" x14ac:dyDescent="0.35">
      <c r="A264">
        <v>2016</v>
      </c>
      <c r="B264">
        <v>3133204</v>
      </c>
      <c r="C264" t="str">
        <f>VLOOKUP(B264,SAEB!$A:$B,2,0)</f>
        <v>Itanhomi</v>
      </c>
      <c r="D264">
        <v>759</v>
      </c>
      <c r="E264">
        <v>0</v>
      </c>
      <c r="F264">
        <v>25</v>
      </c>
      <c r="G264">
        <v>0</v>
      </c>
      <c r="H264" s="7">
        <f t="shared" si="17"/>
        <v>96.811224489795919</v>
      </c>
      <c r="I264" s="7">
        <f t="shared" si="18"/>
        <v>0</v>
      </c>
      <c r="J264" s="7">
        <f t="shared" si="19"/>
        <v>3.1887755102040818</v>
      </c>
      <c r="K264" s="7">
        <f t="shared" si="20"/>
        <v>0</v>
      </c>
    </row>
    <row r="265" spans="1:11" x14ac:dyDescent="0.35">
      <c r="A265">
        <v>2016</v>
      </c>
      <c r="B265">
        <v>3133303</v>
      </c>
      <c r="C265" t="str">
        <f>VLOOKUP(B265,SAEB!$A:$B,2,0)</f>
        <v>Itaobim</v>
      </c>
      <c r="D265">
        <v>464</v>
      </c>
      <c r="E265">
        <v>180</v>
      </c>
      <c r="F265">
        <v>309</v>
      </c>
      <c r="G265">
        <v>126</v>
      </c>
      <c r="H265" s="7">
        <f t="shared" si="17"/>
        <v>43.002780352177943</v>
      </c>
      <c r="I265" s="7">
        <f t="shared" si="18"/>
        <v>16.682113067655237</v>
      </c>
      <c r="J265" s="7">
        <f t="shared" si="19"/>
        <v>28.637627432808156</v>
      </c>
      <c r="K265" s="7">
        <f t="shared" si="20"/>
        <v>11.677479147358666</v>
      </c>
    </row>
    <row r="266" spans="1:11" x14ac:dyDescent="0.35">
      <c r="A266">
        <v>2016</v>
      </c>
      <c r="B266">
        <v>3134004</v>
      </c>
      <c r="C266" t="str">
        <f>VLOOKUP(B266,SAEB!$A:$B,2,0)</f>
        <v>Itinga</v>
      </c>
      <c r="D266">
        <v>110</v>
      </c>
      <c r="E266">
        <v>0</v>
      </c>
      <c r="F266">
        <v>405</v>
      </c>
      <c r="G266">
        <v>365</v>
      </c>
      <c r="H266" s="7">
        <f t="shared" si="17"/>
        <v>12.5</v>
      </c>
      <c r="I266" s="7">
        <f t="shared" si="18"/>
        <v>0</v>
      </c>
      <c r="J266" s="7">
        <f t="shared" si="19"/>
        <v>46.022727272727273</v>
      </c>
      <c r="K266" s="7">
        <f t="shared" si="20"/>
        <v>41.477272727272727</v>
      </c>
    </row>
    <row r="267" spans="1:11" x14ac:dyDescent="0.35">
      <c r="A267">
        <v>2016</v>
      </c>
      <c r="B267">
        <v>3134103</v>
      </c>
      <c r="C267" t="str">
        <f>VLOOKUP(B267,SAEB!$A:$B,2,0)</f>
        <v>Itueta</v>
      </c>
      <c r="D267">
        <v>137</v>
      </c>
      <c r="E267">
        <v>115</v>
      </c>
      <c r="F267">
        <v>120</v>
      </c>
      <c r="G267">
        <v>73</v>
      </c>
      <c r="H267" s="7">
        <f t="shared" si="17"/>
        <v>30.786516853932582</v>
      </c>
      <c r="I267" s="7">
        <f t="shared" si="18"/>
        <v>25.842696629213485</v>
      </c>
      <c r="J267" s="7">
        <f t="shared" si="19"/>
        <v>26.966292134831459</v>
      </c>
      <c r="K267" s="7">
        <f t="shared" si="20"/>
        <v>16.40449438202247</v>
      </c>
    </row>
    <row r="268" spans="1:11" x14ac:dyDescent="0.35">
      <c r="A268">
        <v>2016</v>
      </c>
      <c r="B268">
        <v>3134707</v>
      </c>
      <c r="C268" t="str">
        <f>VLOOKUP(B268,SAEB!$A:$B,2,0)</f>
        <v>Jacinto</v>
      </c>
      <c r="D268">
        <v>853</v>
      </c>
      <c r="E268">
        <v>0</v>
      </c>
      <c r="F268">
        <v>62</v>
      </c>
      <c r="G268">
        <v>39</v>
      </c>
      <c r="H268" s="7">
        <f t="shared" si="17"/>
        <v>89.412997903563934</v>
      </c>
      <c r="I268" s="7">
        <f t="shared" si="18"/>
        <v>0</v>
      </c>
      <c r="J268" s="7">
        <f t="shared" si="19"/>
        <v>6.498951781970649</v>
      </c>
      <c r="K268" s="7">
        <f t="shared" si="20"/>
        <v>4.0880503144654083</v>
      </c>
    </row>
    <row r="269" spans="1:11" x14ac:dyDescent="0.35">
      <c r="A269">
        <v>2016</v>
      </c>
      <c r="B269">
        <v>3135050</v>
      </c>
      <c r="C269" t="str">
        <f>VLOOKUP(B269,SAEB!$A:$B,2,0)</f>
        <v>Jaíba</v>
      </c>
      <c r="D269">
        <v>721</v>
      </c>
      <c r="E269">
        <v>0</v>
      </c>
      <c r="F269">
        <v>458</v>
      </c>
      <c r="G269">
        <v>311</v>
      </c>
      <c r="H269" s="7">
        <f t="shared" si="17"/>
        <v>48.389261744966447</v>
      </c>
      <c r="I269" s="7">
        <f t="shared" si="18"/>
        <v>0</v>
      </c>
      <c r="J269" s="7">
        <f t="shared" si="19"/>
        <v>30.738255033557049</v>
      </c>
      <c r="K269" s="7">
        <f t="shared" si="20"/>
        <v>20.872483221476511</v>
      </c>
    </row>
    <row r="270" spans="1:11" x14ac:dyDescent="0.35">
      <c r="A270">
        <v>2016</v>
      </c>
      <c r="B270">
        <v>3135100</v>
      </c>
      <c r="C270" t="str">
        <f>VLOOKUP(B270,SAEB!$A:$B,2,0)</f>
        <v>Janaúba</v>
      </c>
      <c r="D270">
        <v>1741</v>
      </c>
      <c r="E270">
        <v>564</v>
      </c>
      <c r="F270">
        <v>254</v>
      </c>
      <c r="G270">
        <v>255</v>
      </c>
      <c r="H270" s="7">
        <f t="shared" si="17"/>
        <v>61.869225302061125</v>
      </c>
      <c r="I270" s="7">
        <f t="shared" si="18"/>
        <v>20.042643923240938</v>
      </c>
      <c r="J270" s="7">
        <f t="shared" si="19"/>
        <v>9.0262970859985785</v>
      </c>
      <c r="K270" s="7">
        <f t="shared" si="20"/>
        <v>9.0618336886993589</v>
      </c>
    </row>
    <row r="271" spans="1:11" x14ac:dyDescent="0.35">
      <c r="A271">
        <v>2016</v>
      </c>
      <c r="B271">
        <v>3135209</v>
      </c>
      <c r="C271" t="str">
        <f>VLOOKUP(B271,SAEB!$A:$B,2,0)</f>
        <v>Januária</v>
      </c>
      <c r="D271">
        <v>627</v>
      </c>
      <c r="E271">
        <v>375</v>
      </c>
      <c r="F271">
        <v>1116</v>
      </c>
      <c r="G271">
        <v>603</v>
      </c>
      <c r="H271" s="7">
        <f t="shared" si="17"/>
        <v>23.042998897464166</v>
      </c>
      <c r="I271" s="7">
        <f t="shared" si="18"/>
        <v>13.78169790518192</v>
      </c>
      <c r="J271" s="7">
        <f t="shared" si="19"/>
        <v>41.014332965821389</v>
      </c>
      <c r="K271" s="7">
        <f t="shared" si="20"/>
        <v>22.160970231532527</v>
      </c>
    </row>
    <row r="272" spans="1:11" x14ac:dyDescent="0.35">
      <c r="A272">
        <v>2016</v>
      </c>
      <c r="B272">
        <v>3135357</v>
      </c>
      <c r="C272" t="str">
        <f>VLOOKUP(B272,SAEB!$A:$B,2,0)</f>
        <v>Japonvar</v>
      </c>
      <c r="D272">
        <v>138</v>
      </c>
      <c r="E272">
        <v>136</v>
      </c>
      <c r="F272">
        <v>196</v>
      </c>
      <c r="G272">
        <v>171</v>
      </c>
      <c r="H272" s="7">
        <f t="shared" si="17"/>
        <v>21.528861154446176</v>
      </c>
      <c r="I272" s="7">
        <f t="shared" si="18"/>
        <v>21.216848673946959</v>
      </c>
      <c r="J272" s="7">
        <f t="shared" si="19"/>
        <v>30.577223088923557</v>
      </c>
      <c r="K272" s="7">
        <f t="shared" si="20"/>
        <v>26.677067082683308</v>
      </c>
    </row>
    <row r="273" spans="1:11" x14ac:dyDescent="0.35">
      <c r="A273">
        <v>2016</v>
      </c>
      <c r="B273">
        <v>3135605</v>
      </c>
      <c r="C273" t="str">
        <f>VLOOKUP(B273,SAEB!$A:$B,2,0)</f>
        <v>Jequitaí</v>
      </c>
      <c r="D273">
        <v>337</v>
      </c>
      <c r="E273">
        <v>0</v>
      </c>
      <c r="F273">
        <v>51</v>
      </c>
      <c r="G273">
        <v>26</v>
      </c>
      <c r="H273" s="7">
        <f t="shared" si="17"/>
        <v>81.40096618357488</v>
      </c>
      <c r="I273" s="7">
        <f t="shared" si="18"/>
        <v>0</v>
      </c>
      <c r="J273" s="7">
        <f t="shared" si="19"/>
        <v>12.318840579710146</v>
      </c>
      <c r="K273" s="7">
        <f t="shared" si="20"/>
        <v>6.2801932367149762</v>
      </c>
    </row>
    <row r="274" spans="1:11" x14ac:dyDescent="0.35">
      <c r="A274">
        <v>2016</v>
      </c>
      <c r="B274">
        <v>3135803</v>
      </c>
      <c r="C274" t="str">
        <f>VLOOKUP(B274,SAEB!$A:$B,2,0)</f>
        <v>Jequitinhonha</v>
      </c>
      <c r="D274">
        <v>603</v>
      </c>
      <c r="E274">
        <v>0</v>
      </c>
      <c r="F274">
        <v>354</v>
      </c>
      <c r="G274">
        <v>177</v>
      </c>
      <c r="H274" s="7">
        <f t="shared" si="17"/>
        <v>53.174603174603178</v>
      </c>
      <c r="I274" s="7">
        <f t="shared" si="18"/>
        <v>0</v>
      </c>
      <c r="J274" s="7">
        <f t="shared" si="19"/>
        <v>31.216931216931215</v>
      </c>
      <c r="K274" s="7">
        <f t="shared" si="20"/>
        <v>15.608465608465607</v>
      </c>
    </row>
    <row r="275" spans="1:11" x14ac:dyDescent="0.35">
      <c r="A275">
        <v>2016</v>
      </c>
      <c r="B275">
        <v>3136009</v>
      </c>
      <c r="C275" t="str">
        <f>VLOOKUP(B275,SAEB!$A:$B,2,0)</f>
        <v>Joaíma</v>
      </c>
      <c r="D275">
        <v>626</v>
      </c>
      <c r="E275">
        <v>330</v>
      </c>
      <c r="F275">
        <v>299</v>
      </c>
      <c r="G275">
        <v>132</v>
      </c>
      <c r="H275" s="7">
        <f t="shared" si="17"/>
        <v>45.133381398702234</v>
      </c>
      <c r="I275" s="7">
        <f t="shared" si="18"/>
        <v>23.792357606344627</v>
      </c>
      <c r="J275" s="7">
        <f t="shared" si="19"/>
        <v>21.557317952415282</v>
      </c>
      <c r="K275" s="7">
        <f t="shared" si="20"/>
        <v>9.5169430425378501</v>
      </c>
    </row>
    <row r="276" spans="1:11" x14ac:dyDescent="0.35">
      <c r="A276">
        <v>2016</v>
      </c>
      <c r="B276">
        <v>3136405</v>
      </c>
      <c r="C276" t="str">
        <f>VLOOKUP(B276,SAEB!$A:$B,2,0)</f>
        <v>Joaquim Felício</v>
      </c>
      <c r="D276">
        <v>296</v>
      </c>
      <c r="E276">
        <v>251</v>
      </c>
      <c r="F276">
        <v>0</v>
      </c>
      <c r="G276">
        <v>0</v>
      </c>
      <c r="H276" s="7">
        <f t="shared" si="17"/>
        <v>54.113345521023767</v>
      </c>
      <c r="I276" s="7">
        <f t="shared" si="18"/>
        <v>45.886654478976233</v>
      </c>
      <c r="J276" s="7">
        <f t="shared" si="19"/>
        <v>0</v>
      </c>
      <c r="K276" s="7">
        <f t="shared" si="20"/>
        <v>0</v>
      </c>
    </row>
    <row r="277" spans="1:11" x14ac:dyDescent="0.35">
      <c r="A277">
        <v>2016</v>
      </c>
      <c r="B277">
        <v>3136553</v>
      </c>
      <c r="C277" t="str">
        <f>VLOOKUP(B277,SAEB!$A:$B,2,0)</f>
        <v>José Raydan</v>
      </c>
      <c r="D277">
        <v>170</v>
      </c>
      <c r="E277">
        <v>0</v>
      </c>
      <c r="F277">
        <v>138</v>
      </c>
      <c r="G277">
        <v>0</v>
      </c>
      <c r="H277" s="7">
        <f t="shared" si="17"/>
        <v>55.194805194805198</v>
      </c>
      <c r="I277" s="7">
        <f t="shared" si="18"/>
        <v>0</v>
      </c>
      <c r="J277" s="7">
        <f t="shared" si="19"/>
        <v>44.805194805194802</v>
      </c>
      <c r="K277" s="7">
        <f t="shared" si="20"/>
        <v>0</v>
      </c>
    </row>
    <row r="278" spans="1:11" x14ac:dyDescent="0.35">
      <c r="A278">
        <v>2016</v>
      </c>
      <c r="B278">
        <v>3136801</v>
      </c>
      <c r="C278" t="str">
        <f>VLOOKUP(B278,SAEB!$A:$B,2,0)</f>
        <v>Juramento</v>
      </c>
      <c r="D278">
        <v>226</v>
      </c>
      <c r="E278">
        <v>0</v>
      </c>
      <c r="F278">
        <v>59</v>
      </c>
      <c r="G278">
        <v>0</v>
      </c>
      <c r="H278" s="7">
        <f t="shared" si="17"/>
        <v>79.298245614035096</v>
      </c>
      <c r="I278" s="7">
        <f t="shared" si="18"/>
        <v>0</v>
      </c>
      <c r="J278" s="7">
        <f t="shared" si="19"/>
        <v>20.701754385964914</v>
      </c>
      <c r="K278" s="7">
        <f t="shared" si="20"/>
        <v>0</v>
      </c>
    </row>
    <row r="279" spans="1:11" x14ac:dyDescent="0.35">
      <c r="A279">
        <v>2016</v>
      </c>
      <c r="B279">
        <v>3136959</v>
      </c>
      <c r="C279" t="str">
        <f>VLOOKUP(B279,SAEB!$A:$B,2,0)</f>
        <v>Juvenília</v>
      </c>
      <c r="D279">
        <v>320</v>
      </c>
      <c r="E279">
        <v>146</v>
      </c>
      <c r="F279">
        <v>51</v>
      </c>
      <c r="G279">
        <v>30</v>
      </c>
      <c r="H279" s="7">
        <f t="shared" si="17"/>
        <v>58.50091407678245</v>
      </c>
      <c r="I279" s="7">
        <f t="shared" si="18"/>
        <v>26.691042047531994</v>
      </c>
      <c r="J279" s="7">
        <f t="shared" si="19"/>
        <v>9.3235831809872032</v>
      </c>
      <c r="K279" s="7">
        <f t="shared" si="20"/>
        <v>5.4844606946983543</v>
      </c>
    </row>
    <row r="280" spans="1:11" x14ac:dyDescent="0.35">
      <c r="A280">
        <v>2016</v>
      </c>
      <c r="B280">
        <v>3137007</v>
      </c>
      <c r="C280" t="str">
        <f>VLOOKUP(B280,SAEB!$A:$B,2,0)</f>
        <v>Ladainha</v>
      </c>
      <c r="D280">
        <v>0</v>
      </c>
      <c r="E280">
        <v>0</v>
      </c>
      <c r="F280">
        <v>778</v>
      </c>
      <c r="G280">
        <v>248</v>
      </c>
      <c r="H280" s="7">
        <f t="shared" si="17"/>
        <v>0</v>
      </c>
      <c r="I280" s="7">
        <f t="shared" si="18"/>
        <v>0</v>
      </c>
      <c r="J280" s="7">
        <f t="shared" si="19"/>
        <v>75.82846003898635</v>
      </c>
      <c r="K280" s="7">
        <f t="shared" si="20"/>
        <v>24.171539961013643</v>
      </c>
    </row>
    <row r="281" spans="1:11" x14ac:dyDescent="0.35">
      <c r="A281">
        <v>2016</v>
      </c>
      <c r="B281">
        <v>3137304</v>
      </c>
      <c r="C281" t="str">
        <f>VLOOKUP(B281,SAEB!$A:$B,2,0)</f>
        <v>Lagoa dos Patos</v>
      </c>
      <c r="D281">
        <v>305</v>
      </c>
      <c r="E281">
        <v>0</v>
      </c>
      <c r="F281">
        <v>17</v>
      </c>
      <c r="G281">
        <v>0</v>
      </c>
      <c r="H281" s="7">
        <f t="shared" si="17"/>
        <v>94.720496894409933</v>
      </c>
      <c r="I281" s="7">
        <f t="shared" si="18"/>
        <v>0</v>
      </c>
      <c r="J281" s="7">
        <f t="shared" si="19"/>
        <v>5.2795031055900621</v>
      </c>
      <c r="K281" s="7">
        <f t="shared" si="20"/>
        <v>0</v>
      </c>
    </row>
    <row r="282" spans="1:11" x14ac:dyDescent="0.35">
      <c r="A282">
        <v>2016</v>
      </c>
      <c r="B282">
        <v>3138104</v>
      </c>
      <c r="C282" t="str">
        <f>VLOOKUP(B282,SAEB!$A:$B,2,0)</f>
        <v>Lassance</v>
      </c>
      <c r="D282">
        <v>194</v>
      </c>
      <c r="E282">
        <v>0</v>
      </c>
      <c r="F282">
        <v>181</v>
      </c>
      <c r="G282">
        <v>114</v>
      </c>
      <c r="H282" s="7">
        <f t="shared" si="17"/>
        <v>39.672801635991824</v>
      </c>
      <c r="I282" s="7">
        <f t="shared" si="18"/>
        <v>0</v>
      </c>
      <c r="J282" s="7">
        <f t="shared" si="19"/>
        <v>37.014314928425357</v>
      </c>
      <c r="K282" s="7">
        <f t="shared" si="20"/>
        <v>23.312883435582819</v>
      </c>
    </row>
    <row r="283" spans="1:11" x14ac:dyDescent="0.35">
      <c r="A283">
        <v>2016</v>
      </c>
      <c r="B283">
        <v>3138351</v>
      </c>
      <c r="C283" t="str">
        <f>VLOOKUP(B283,SAEB!$A:$B,2,0)</f>
        <v>Leme do Prado</v>
      </c>
      <c r="D283">
        <v>18</v>
      </c>
      <c r="E283">
        <v>0</v>
      </c>
      <c r="F283">
        <v>100</v>
      </c>
      <c r="G283">
        <v>108</v>
      </c>
      <c r="H283" s="7">
        <f t="shared" si="17"/>
        <v>7.9646017699115044</v>
      </c>
      <c r="I283" s="7">
        <f t="shared" si="18"/>
        <v>0</v>
      </c>
      <c r="J283" s="7">
        <f t="shared" si="19"/>
        <v>44.247787610619469</v>
      </c>
      <c r="K283" s="7">
        <f t="shared" si="20"/>
        <v>47.787610619469028</v>
      </c>
    </row>
    <row r="284" spans="1:11" x14ac:dyDescent="0.35">
      <c r="A284">
        <v>2016</v>
      </c>
      <c r="B284">
        <v>3138658</v>
      </c>
      <c r="C284" t="str">
        <f>VLOOKUP(B284,SAEB!$A:$B,2,0)</f>
        <v>Lontra</v>
      </c>
      <c r="D284">
        <v>367</v>
      </c>
      <c r="E284">
        <v>241</v>
      </c>
      <c r="F284">
        <v>34</v>
      </c>
      <c r="G284">
        <v>0</v>
      </c>
      <c r="H284" s="7">
        <f t="shared" si="17"/>
        <v>57.165109034267914</v>
      </c>
      <c r="I284" s="7">
        <f t="shared" si="18"/>
        <v>37.53894080996885</v>
      </c>
      <c r="J284" s="7">
        <f t="shared" si="19"/>
        <v>5.29595015576324</v>
      </c>
      <c r="K284" s="7">
        <f t="shared" si="20"/>
        <v>0</v>
      </c>
    </row>
    <row r="285" spans="1:11" x14ac:dyDescent="0.35">
      <c r="A285">
        <v>2016</v>
      </c>
      <c r="B285">
        <v>3138906</v>
      </c>
      <c r="C285" t="str">
        <f>VLOOKUP(B285,SAEB!$A:$B,2,0)</f>
        <v>Machacalis</v>
      </c>
      <c r="D285">
        <v>398</v>
      </c>
      <c r="E285">
        <v>0</v>
      </c>
      <c r="F285">
        <v>51</v>
      </c>
      <c r="G285">
        <v>0</v>
      </c>
      <c r="H285" s="7">
        <f t="shared" si="17"/>
        <v>88.641425389755014</v>
      </c>
      <c r="I285" s="7">
        <f t="shared" si="18"/>
        <v>0</v>
      </c>
      <c r="J285" s="7">
        <f t="shared" si="19"/>
        <v>11.358574610244988</v>
      </c>
      <c r="K285" s="7">
        <f t="shared" si="20"/>
        <v>0</v>
      </c>
    </row>
    <row r="286" spans="1:11" x14ac:dyDescent="0.35">
      <c r="A286">
        <v>2016</v>
      </c>
      <c r="B286">
        <v>3139201</v>
      </c>
      <c r="C286" t="str">
        <f>VLOOKUP(B286,SAEB!$A:$B,2,0)</f>
        <v>Malacacheta</v>
      </c>
      <c r="D286">
        <v>159</v>
      </c>
      <c r="E286">
        <v>0</v>
      </c>
      <c r="F286">
        <v>236</v>
      </c>
      <c r="G286">
        <v>167</v>
      </c>
      <c r="H286" s="7">
        <f t="shared" si="17"/>
        <v>28.291814946619215</v>
      </c>
      <c r="I286" s="7">
        <f t="shared" si="18"/>
        <v>0</v>
      </c>
      <c r="J286" s="7">
        <f t="shared" si="19"/>
        <v>41.992882562277579</v>
      </c>
      <c r="K286" s="7">
        <f t="shared" si="20"/>
        <v>29.715302491103202</v>
      </c>
    </row>
    <row r="287" spans="1:11" x14ac:dyDescent="0.35">
      <c r="A287">
        <v>2016</v>
      </c>
      <c r="B287">
        <v>3139250</v>
      </c>
      <c r="C287" t="str">
        <f>VLOOKUP(B287,SAEB!$A:$B,2,0)</f>
        <v>Mamonas</v>
      </c>
      <c r="D287">
        <v>305</v>
      </c>
      <c r="E287">
        <v>0</v>
      </c>
      <c r="F287">
        <v>69</v>
      </c>
      <c r="G287">
        <v>0</v>
      </c>
      <c r="H287" s="7">
        <f t="shared" si="17"/>
        <v>81.550802139037444</v>
      </c>
      <c r="I287" s="7">
        <f t="shared" si="18"/>
        <v>0</v>
      </c>
      <c r="J287" s="7">
        <f t="shared" si="19"/>
        <v>18.449197860962567</v>
      </c>
      <c r="K287" s="7">
        <f t="shared" si="20"/>
        <v>0</v>
      </c>
    </row>
    <row r="288" spans="1:11" x14ac:dyDescent="0.35">
      <c r="A288">
        <v>2016</v>
      </c>
      <c r="B288">
        <v>3139300</v>
      </c>
      <c r="C288" t="str">
        <f>VLOOKUP(B288,SAEB!$A:$B,2,0)</f>
        <v>Manga</v>
      </c>
      <c r="D288">
        <v>704</v>
      </c>
      <c r="E288">
        <v>348</v>
      </c>
      <c r="F288">
        <v>365</v>
      </c>
      <c r="G288">
        <v>242</v>
      </c>
      <c r="H288" s="7">
        <f t="shared" si="17"/>
        <v>42.435201928872814</v>
      </c>
      <c r="I288" s="7">
        <f t="shared" si="18"/>
        <v>20.976491862567812</v>
      </c>
      <c r="J288" s="7">
        <f t="shared" si="19"/>
        <v>22.001205545509343</v>
      </c>
      <c r="K288" s="7">
        <f t="shared" si="20"/>
        <v>14.587100663050029</v>
      </c>
    </row>
    <row r="289" spans="1:11" x14ac:dyDescent="0.35">
      <c r="A289">
        <v>2016</v>
      </c>
      <c r="B289">
        <v>3139607</v>
      </c>
      <c r="C289" t="str">
        <f>VLOOKUP(B289,SAEB!$A:$B,2,0)</f>
        <v>Mantena</v>
      </c>
      <c r="D289">
        <v>1748</v>
      </c>
      <c r="E289">
        <v>576</v>
      </c>
      <c r="F289">
        <v>97</v>
      </c>
      <c r="G289">
        <v>80</v>
      </c>
      <c r="H289" s="7">
        <f t="shared" si="17"/>
        <v>69.892043182726908</v>
      </c>
      <c r="I289" s="7">
        <f t="shared" si="18"/>
        <v>23.030787684926029</v>
      </c>
      <c r="J289" s="7">
        <f t="shared" si="19"/>
        <v>3.878448620551779</v>
      </c>
      <c r="K289" s="7">
        <f t="shared" si="20"/>
        <v>3.1987205117952819</v>
      </c>
    </row>
    <row r="290" spans="1:11" x14ac:dyDescent="0.35">
      <c r="A290">
        <v>2016</v>
      </c>
      <c r="B290">
        <v>3140100</v>
      </c>
      <c r="C290" t="str">
        <f>VLOOKUP(B290,SAEB!$A:$B,2,0)</f>
        <v>Marilac</v>
      </c>
      <c r="D290">
        <v>320</v>
      </c>
      <c r="E290">
        <v>0</v>
      </c>
      <c r="F290">
        <v>0</v>
      </c>
      <c r="G290">
        <v>0</v>
      </c>
      <c r="H290" s="7">
        <f t="shared" si="17"/>
        <v>100</v>
      </c>
      <c r="I290" s="7">
        <f t="shared" si="18"/>
        <v>0</v>
      </c>
      <c r="J290" s="7">
        <f t="shared" si="19"/>
        <v>0</v>
      </c>
      <c r="K290" s="7">
        <f t="shared" si="20"/>
        <v>0</v>
      </c>
    </row>
    <row r="291" spans="1:11" x14ac:dyDescent="0.35">
      <c r="A291">
        <v>2016</v>
      </c>
      <c r="B291">
        <v>3140605</v>
      </c>
      <c r="C291" t="str">
        <f>VLOOKUP(B291,SAEB!$A:$B,2,0)</f>
        <v>Materlândia</v>
      </c>
      <c r="D291">
        <v>214</v>
      </c>
      <c r="E291">
        <v>0</v>
      </c>
      <c r="F291">
        <v>149</v>
      </c>
      <c r="G291">
        <v>59</v>
      </c>
      <c r="H291" s="7">
        <f t="shared" si="17"/>
        <v>50.710900473933648</v>
      </c>
      <c r="I291" s="7">
        <f t="shared" si="18"/>
        <v>0</v>
      </c>
      <c r="J291" s="7">
        <f t="shared" si="19"/>
        <v>35.308056872037916</v>
      </c>
      <c r="K291" s="7">
        <f t="shared" si="20"/>
        <v>13.981042654028435</v>
      </c>
    </row>
    <row r="292" spans="1:11" x14ac:dyDescent="0.35">
      <c r="A292">
        <v>2016</v>
      </c>
      <c r="B292">
        <v>3171501</v>
      </c>
      <c r="C292" t="str">
        <f>VLOOKUP(B292,SAEB!$A:$B,2,0)</f>
        <v>Mathias Lobato</v>
      </c>
      <c r="D292">
        <v>315</v>
      </c>
      <c r="E292">
        <v>0</v>
      </c>
      <c r="F292">
        <v>0</v>
      </c>
      <c r="G292">
        <v>0</v>
      </c>
      <c r="H292" s="7">
        <f t="shared" si="17"/>
        <v>100</v>
      </c>
      <c r="I292" s="7">
        <f t="shared" si="18"/>
        <v>0</v>
      </c>
      <c r="J292" s="7">
        <f t="shared" si="19"/>
        <v>0</v>
      </c>
      <c r="K292" s="7">
        <f t="shared" si="20"/>
        <v>0</v>
      </c>
    </row>
    <row r="293" spans="1:11" x14ac:dyDescent="0.35">
      <c r="A293">
        <v>2016</v>
      </c>
      <c r="B293">
        <v>3140852</v>
      </c>
      <c r="C293" t="str">
        <f>VLOOKUP(B293,SAEB!$A:$B,2,0)</f>
        <v>Matias Cardoso</v>
      </c>
      <c r="D293">
        <v>532</v>
      </c>
      <c r="E293">
        <v>220</v>
      </c>
      <c r="F293">
        <v>80</v>
      </c>
      <c r="G293">
        <v>0</v>
      </c>
      <c r="H293" s="7">
        <f t="shared" si="17"/>
        <v>63.942307692307686</v>
      </c>
      <c r="I293" s="7">
        <f t="shared" si="18"/>
        <v>26.442307692307693</v>
      </c>
      <c r="J293" s="7">
        <f t="shared" si="19"/>
        <v>9.6153846153846168</v>
      </c>
      <c r="K293" s="7">
        <f t="shared" si="20"/>
        <v>0</v>
      </c>
    </row>
    <row r="294" spans="1:11" x14ac:dyDescent="0.35">
      <c r="A294">
        <v>2016</v>
      </c>
      <c r="B294">
        <v>3141009</v>
      </c>
      <c r="C294" t="str">
        <f>VLOOKUP(B294,SAEB!$A:$B,2,0)</f>
        <v>Mato Verde</v>
      </c>
      <c r="D294">
        <v>0</v>
      </c>
      <c r="E294">
        <v>0</v>
      </c>
      <c r="F294">
        <v>424</v>
      </c>
      <c r="G294">
        <v>0</v>
      </c>
      <c r="H294" s="7">
        <f t="shared" si="17"/>
        <v>0</v>
      </c>
      <c r="I294" s="7">
        <f t="shared" si="18"/>
        <v>0</v>
      </c>
      <c r="J294" s="7">
        <f t="shared" si="19"/>
        <v>100</v>
      </c>
      <c r="K294" s="7">
        <f t="shared" si="20"/>
        <v>0</v>
      </c>
    </row>
    <row r="295" spans="1:11" x14ac:dyDescent="0.35">
      <c r="A295">
        <v>2016</v>
      </c>
      <c r="B295">
        <v>3141405</v>
      </c>
      <c r="C295" t="str">
        <f>VLOOKUP(B295,SAEB!$A:$B,2,0)</f>
        <v>Medina</v>
      </c>
      <c r="D295">
        <v>569</v>
      </c>
      <c r="E295">
        <v>0</v>
      </c>
      <c r="F295">
        <v>260</v>
      </c>
      <c r="G295">
        <v>0</v>
      </c>
      <c r="H295" s="7">
        <f t="shared" si="17"/>
        <v>68.636911942098905</v>
      </c>
      <c r="I295" s="7">
        <f t="shared" si="18"/>
        <v>0</v>
      </c>
      <c r="J295" s="7">
        <f t="shared" si="19"/>
        <v>31.363088057901084</v>
      </c>
      <c r="K295" s="7">
        <f t="shared" si="20"/>
        <v>0</v>
      </c>
    </row>
    <row r="296" spans="1:11" x14ac:dyDescent="0.35">
      <c r="A296">
        <v>2016</v>
      </c>
      <c r="B296">
        <v>3141504</v>
      </c>
      <c r="C296" t="str">
        <f>VLOOKUP(B296,SAEB!$A:$B,2,0)</f>
        <v>Mendes Pimentel</v>
      </c>
      <c r="D296">
        <v>244</v>
      </c>
      <c r="E296">
        <v>0</v>
      </c>
      <c r="F296">
        <v>105</v>
      </c>
      <c r="G296">
        <v>0</v>
      </c>
      <c r="H296" s="7">
        <f t="shared" si="17"/>
        <v>69.914040114613186</v>
      </c>
      <c r="I296" s="7">
        <f t="shared" si="18"/>
        <v>0</v>
      </c>
      <c r="J296" s="7">
        <f t="shared" si="19"/>
        <v>30.085959885386821</v>
      </c>
      <c r="K296" s="7">
        <f t="shared" si="20"/>
        <v>0</v>
      </c>
    </row>
    <row r="297" spans="1:11" x14ac:dyDescent="0.35">
      <c r="A297">
        <v>2016</v>
      </c>
      <c r="B297">
        <v>3141801</v>
      </c>
      <c r="C297" t="str">
        <f>VLOOKUP(B297,SAEB!$A:$B,2,0)</f>
        <v>Minas Novas</v>
      </c>
      <c r="D297">
        <v>248</v>
      </c>
      <c r="E297">
        <v>331</v>
      </c>
      <c r="F297">
        <v>614</v>
      </c>
      <c r="G297">
        <v>128</v>
      </c>
      <c r="H297" s="7">
        <f t="shared" si="17"/>
        <v>18.773656320968961</v>
      </c>
      <c r="I297" s="7">
        <f t="shared" si="18"/>
        <v>25.056775170325512</v>
      </c>
      <c r="J297" s="7">
        <f t="shared" si="19"/>
        <v>46.479939439818317</v>
      </c>
      <c r="K297" s="7">
        <f t="shared" si="20"/>
        <v>9.6896290688872071</v>
      </c>
    </row>
    <row r="298" spans="1:11" x14ac:dyDescent="0.35">
      <c r="A298">
        <v>2016</v>
      </c>
      <c r="B298">
        <v>3142007</v>
      </c>
      <c r="C298" t="str">
        <f>VLOOKUP(B298,SAEB!$A:$B,2,0)</f>
        <v>Mirabela</v>
      </c>
      <c r="D298">
        <v>437</v>
      </c>
      <c r="E298">
        <v>0</v>
      </c>
      <c r="F298">
        <v>123</v>
      </c>
      <c r="G298">
        <v>108</v>
      </c>
      <c r="H298" s="7">
        <f t="shared" si="17"/>
        <v>65.419161676646709</v>
      </c>
      <c r="I298" s="7">
        <f t="shared" si="18"/>
        <v>0</v>
      </c>
      <c r="J298" s="7">
        <f t="shared" si="19"/>
        <v>18.41317365269461</v>
      </c>
      <c r="K298" s="7">
        <f t="shared" si="20"/>
        <v>16.167664670658681</v>
      </c>
    </row>
    <row r="299" spans="1:11" x14ac:dyDescent="0.35">
      <c r="A299">
        <v>2016</v>
      </c>
      <c r="B299">
        <v>3142254</v>
      </c>
      <c r="C299" t="str">
        <f>VLOOKUP(B299,SAEB!$A:$B,2,0)</f>
        <v>Miravânia</v>
      </c>
      <c r="D299">
        <v>0</v>
      </c>
      <c r="E299">
        <v>0</v>
      </c>
      <c r="F299">
        <v>176</v>
      </c>
      <c r="G299">
        <v>220</v>
      </c>
      <c r="H299" s="7">
        <f t="shared" si="17"/>
        <v>0</v>
      </c>
      <c r="I299" s="7">
        <f t="shared" si="18"/>
        <v>0</v>
      </c>
      <c r="J299" s="7">
        <f t="shared" si="19"/>
        <v>44.444444444444443</v>
      </c>
      <c r="K299" s="7">
        <f t="shared" si="20"/>
        <v>55.555555555555557</v>
      </c>
    </row>
    <row r="300" spans="1:11" x14ac:dyDescent="0.35">
      <c r="A300">
        <v>2016</v>
      </c>
      <c r="B300">
        <v>3142502</v>
      </c>
      <c r="C300" t="str">
        <f>VLOOKUP(B300,SAEB!$A:$B,2,0)</f>
        <v>Monjolos</v>
      </c>
      <c r="D300">
        <v>104</v>
      </c>
      <c r="E300">
        <v>0</v>
      </c>
      <c r="F300">
        <v>10</v>
      </c>
      <c r="G300">
        <v>0</v>
      </c>
      <c r="H300" s="7">
        <f t="shared" si="17"/>
        <v>91.228070175438589</v>
      </c>
      <c r="I300" s="7">
        <f t="shared" si="18"/>
        <v>0</v>
      </c>
      <c r="J300" s="7">
        <f t="shared" si="19"/>
        <v>8.7719298245614024</v>
      </c>
      <c r="K300" s="7">
        <f t="shared" si="20"/>
        <v>0</v>
      </c>
    </row>
    <row r="301" spans="1:11" x14ac:dyDescent="0.35">
      <c r="A301">
        <v>2016</v>
      </c>
      <c r="B301">
        <v>3142700</v>
      </c>
      <c r="C301" t="str">
        <f>VLOOKUP(B301,SAEB!$A:$B,2,0)</f>
        <v>Montalvânia</v>
      </c>
      <c r="D301">
        <v>195</v>
      </c>
      <c r="E301">
        <v>67</v>
      </c>
      <c r="F301">
        <v>197</v>
      </c>
      <c r="G301">
        <v>39</v>
      </c>
      <c r="H301" s="7">
        <f t="shared" si="17"/>
        <v>39.156626506024097</v>
      </c>
      <c r="I301" s="7">
        <f t="shared" si="18"/>
        <v>13.453815261044177</v>
      </c>
      <c r="J301" s="7">
        <f t="shared" si="19"/>
        <v>39.558232931726906</v>
      </c>
      <c r="K301" s="7">
        <f t="shared" si="20"/>
        <v>7.8313253012048198</v>
      </c>
    </row>
    <row r="302" spans="1:11" x14ac:dyDescent="0.35">
      <c r="A302">
        <v>2016</v>
      </c>
      <c r="B302">
        <v>3143153</v>
      </c>
      <c r="C302" t="str">
        <f>VLOOKUP(B302,SAEB!$A:$B,2,0)</f>
        <v>Monte Formoso</v>
      </c>
      <c r="D302">
        <v>221</v>
      </c>
      <c r="E302">
        <v>0</v>
      </c>
      <c r="F302">
        <v>225</v>
      </c>
      <c r="G302">
        <v>0</v>
      </c>
      <c r="H302" s="7">
        <f t="shared" si="17"/>
        <v>49.551569506726459</v>
      </c>
      <c r="I302" s="7">
        <f t="shared" si="18"/>
        <v>0</v>
      </c>
      <c r="J302" s="7">
        <f t="shared" si="19"/>
        <v>50.448430493273541</v>
      </c>
      <c r="K302" s="7">
        <f t="shared" si="20"/>
        <v>0</v>
      </c>
    </row>
    <row r="303" spans="1:11" x14ac:dyDescent="0.35">
      <c r="A303">
        <v>2016</v>
      </c>
      <c r="B303">
        <v>3143302</v>
      </c>
      <c r="C303" t="str">
        <f>VLOOKUP(B303,SAEB!$A:$B,2,0)</f>
        <v>Montes Claros</v>
      </c>
      <c r="D303">
        <v>10277</v>
      </c>
      <c r="E303">
        <v>5403</v>
      </c>
      <c r="F303">
        <v>1088</v>
      </c>
      <c r="G303">
        <v>1378</v>
      </c>
      <c r="H303" s="7">
        <f t="shared" si="17"/>
        <v>56.635071090047397</v>
      </c>
      <c r="I303" s="7">
        <f t="shared" si="18"/>
        <v>29.775157059407032</v>
      </c>
      <c r="J303" s="7">
        <f t="shared" si="19"/>
        <v>5.9958117491458172</v>
      </c>
      <c r="K303" s="7">
        <f t="shared" si="20"/>
        <v>7.593960101399758</v>
      </c>
    </row>
    <row r="304" spans="1:11" x14ac:dyDescent="0.35">
      <c r="A304">
        <v>2016</v>
      </c>
      <c r="B304">
        <v>3143450</v>
      </c>
      <c r="C304" t="str">
        <f>VLOOKUP(B304,SAEB!$A:$B,2,0)</f>
        <v>Montezuma</v>
      </c>
      <c r="D304">
        <v>188</v>
      </c>
      <c r="E304">
        <v>0</v>
      </c>
      <c r="F304">
        <v>204</v>
      </c>
      <c r="G304">
        <v>0</v>
      </c>
      <c r="H304" s="7">
        <f t="shared" si="17"/>
        <v>47.959183673469383</v>
      </c>
      <c r="I304" s="7">
        <f t="shared" si="18"/>
        <v>0</v>
      </c>
      <c r="J304" s="7">
        <f t="shared" si="19"/>
        <v>52.040816326530617</v>
      </c>
      <c r="K304" s="7">
        <f t="shared" si="20"/>
        <v>0</v>
      </c>
    </row>
    <row r="305" spans="1:11" x14ac:dyDescent="0.35">
      <c r="A305">
        <v>2016</v>
      </c>
      <c r="B305">
        <v>3143609</v>
      </c>
      <c r="C305" t="str">
        <f>VLOOKUP(B305,SAEB!$A:$B,2,0)</f>
        <v>Morro da Garça</v>
      </c>
      <c r="D305">
        <v>184</v>
      </c>
      <c r="E305">
        <v>203</v>
      </c>
      <c r="F305">
        <v>29</v>
      </c>
      <c r="G305">
        <v>23</v>
      </c>
      <c r="H305" s="7">
        <f t="shared" si="17"/>
        <v>41.913439635535312</v>
      </c>
      <c r="I305" s="7">
        <f t="shared" si="18"/>
        <v>46.241457858769927</v>
      </c>
      <c r="J305" s="7">
        <f t="shared" si="19"/>
        <v>6.6059225512528474</v>
      </c>
      <c r="K305" s="7">
        <f t="shared" si="20"/>
        <v>5.239179954441914</v>
      </c>
    </row>
    <row r="306" spans="1:11" x14ac:dyDescent="0.35">
      <c r="A306">
        <v>2016</v>
      </c>
      <c r="B306">
        <v>3144003</v>
      </c>
      <c r="C306" t="str">
        <f>VLOOKUP(B306,SAEB!$A:$B,2,0)</f>
        <v>Mutum</v>
      </c>
      <c r="D306">
        <v>505</v>
      </c>
      <c r="E306">
        <v>0</v>
      </c>
      <c r="F306">
        <v>445</v>
      </c>
      <c r="G306">
        <v>117</v>
      </c>
      <c r="H306" s="7">
        <f t="shared" si="17"/>
        <v>47.328959700093719</v>
      </c>
      <c r="I306" s="7">
        <f t="shared" si="18"/>
        <v>0</v>
      </c>
      <c r="J306" s="7">
        <f t="shared" si="19"/>
        <v>41.705716963448921</v>
      </c>
      <c r="K306" s="7">
        <f t="shared" si="20"/>
        <v>10.965323336457358</v>
      </c>
    </row>
    <row r="307" spans="1:11" x14ac:dyDescent="0.35">
      <c r="A307">
        <v>2016</v>
      </c>
      <c r="B307">
        <v>3144201</v>
      </c>
      <c r="C307" t="str">
        <f>VLOOKUP(B307,SAEB!$A:$B,2,0)</f>
        <v>Nacip Raydan</v>
      </c>
      <c r="D307">
        <v>182</v>
      </c>
      <c r="E307">
        <v>0</v>
      </c>
      <c r="F307">
        <v>19</v>
      </c>
      <c r="G307">
        <v>0</v>
      </c>
      <c r="H307" s="7">
        <f t="shared" si="17"/>
        <v>90.547263681592042</v>
      </c>
      <c r="I307" s="7">
        <f t="shared" si="18"/>
        <v>0</v>
      </c>
      <c r="J307" s="7">
        <f t="shared" si="19"/>
        <v>9.4527363184079594</v>
      </c>
      <c r="K307" s="7">
        <f t="shared" si="20"/>
        <v>0</v>
      </c>
    </row>
    <row r="308" spans="1:11" x14ac:dyDescent="0.35">
      <c r="A308">
        <v>2016</v>
      </c>
      <c r="B308">
        <v>3144300</v>
      </c>
      <c r="C308" t="str">
        <f>VLOOKUP(B308,SAEB!$A:$B,2,0)</f>
        <v>Nanuque</v>
      </c>
      <c r="D308">
        <v>577</v>
      </c>
      <c r="E308">
        <v>372</v>
      </c>
      <c r="F308">
        <v>140</v>
      </c>
      <c r="G308">
        <v>130</v>
      </c>
      <c r="H308" s="7">
        <f t="shared" si="17"/>
        <v>47.333880229696476</v>
      </c>
      <c r="I308" s="7">
        <f t="shared" si="18"/>
        <v>30.516817063166528</v>
      </c>
      <c r="J308" s="7">
        <f t="shared" si="19"/>
        <v>11.484823625922887</v>
      </c>
      <c r="K308" s="7">
        <f t="shared" si="20"/>
        <v>10.664479081214109</v>
      </c>
    </row>
    <row r="309" spans="1:11" x14ac:dyDescent="0.35">
      <c r="A309">
        <v>2016</v>
      </c>
      <c r="B309">
        <v>3144359</v>
      </c>
      <c r="C309" t="str">
        <f>VLOOKUP(B309,SAEB!$A:$B,2,0)</f>
        <v>Naque</v>
      </c>
      <c r="D309">
        <v>544</v>
      </c>
      <c r="E309">
        <v>0</v>
      </c>
      <c r="F309">
        <v>0</v>
      </c>
      <c r="G309">
        <v>0</v>
      </c>
      <c r="H309" s="7">
        <f t="shared" si="17"/>
        <v>100</v>
      </c>
      <c r="I309" s="7">
        <f t="shared" si="18"/>
        <v>0</v>
      </c>
      <c r="J309" s="7">
        <f t="shared" si="19"/>
        <v>0</v>
      </c>
      <c r="K309" s="7">
        <f t="shared" si="20"/>
        <v>0</v>
      </c>
    </row>
    <row r="310" spans="1:11" x14ac:dyDescent="0.35">
      <c r="A310">
        <v>2016</v>
      </c>
      <c r="B310">
        <v>3144375</v>
      </c>
      <c r="C310" t="str">
        <f>VLOOKUP(B310,SAEB!$A:$B,2,0)</f>
        <v>Natalândia</v>
      </c>
      <c r="D310">
        <v>281</v>
      </c>
      <c r="E310">
        <v>0</v>
      </c>
      <c r="F310">
        <v>0</v>
      </c>
      <c r="G310">
        <v>0</v>
      </c>
      <c r="H310" s="7">
        <f t="shared" si="17"/>
        <v>100</v>
      </c>
      <c r="I310" s="7">
        <f t="shared" si="18"/>
        <v>0</v>
      </c>
      <c r="J310" s="7">
        <f t="shared" si="19"/>
        <v>0</v>
      </c>
      <c r="K310" s="7">
        <f t="shared" si="20"/>
        <v>0</v>
      </c>
    </row>
    <row r="311" spans="1:11" x14ac:dyDescent="0.35">
      <c r="A311">
        <v>2016</v>
      </c>
      <c r="B311">
        <v>3144656</v>
      </c>
      <c r="C311" t="str">
        <f>VLOOKUP(B311,SAEB!$A:$B,2,0)</f>
        <v>Ninheira</v>
      </c>
      <c r="D311">
        <v>297</v>
      </c>
      <c r="E311">
        <v>0</v>
      </c>
      <c r="F311">
        <v>325</v>
      </c>
      <c r="G311">
        <v>0</v>
      </c>
      <c r="H311" s="7">
        <f t="shared" si="17"/>
        <v>47.749196141479104</v>
      </c>
      <c r="I311" s="7">
        <f t="shared" si="18"/>
        <v>0</v>
      </c>
      <c r="J311" s="7">
        <f t="shared" si="19"/>
        <v>52.250803858520896</v>
      </c>
      <c r="K311" s="7">
        <f t="shared" si="20"/>
        <v>0</v>
      </c>
    </row>
    <row r="312" spans="1:11" x14ac:dyDescent="0.35">
      <c r="A312">
        <v>2016</v>
      </c>
      <c r="B312">
        <v>3144672</v>
      </c>
      <c r="C312" t="str">
        <f>VLOOKUP(B312,SAEB!$A:$B,2,0)</f>
        <v>Nova Belém</v>
      </c>
      <c r="D312">
        <v>170</v>
      </c>
      <c r="E312">
        <v>0</v>
      </c>
      <c r="F312">
        <v>122</v>
      </c>
      <c r="G312">
        <v>0</v>
      </c>
      <c r="H312" s="7">
        <f t="shared" si="17"/>
        <v>58.219178082191782</v>
      </c>
      <c r="I312" s="7">
        <f t="shared" si="18"/>
        <v>0</v>
      </c>
      <c r="J312" s="7">
        <f t="shared" si="19"/>
        <v>41.780821917808218</v>
      </c>
      <c r="K312" s="7">
        <f t="shared" si="20"/>
        <v>0</v>
      </c>
    </row>
    <row r="313" spans="1:11" x14ac:dyDescent="0.35">
      <c r="A313">
        <v>2016</v>
      </c>
      <c r="B313">
        <v>3145059</v>
      </c>
      <c r="C313" t="str">
        <f>VLOOKUP(B313,SAEB!$A:$B,2,0)</f>
        <v>Nova Porteirinha</v>
      </c>
      <c r="D313">
        <v>155</v>
      </c>
      <c r="E313">
        <v>86</v>
      </c>
      <c r="F313">
        <v>169</v>
      </c>
      <c r="G313">
        <v>0</v>
      </c>
      <c r="H313" s="7">
        <f t="shared" si="17"/>
        <v>37.804878048780488</v>
      </c>
      <c r="I313" s="7">
        <f t="shared" si="18"/>
        <v>20.975609756097562</v>
      </c>
      <c r="J313" s="7">
        <f t="shared" si="19"/>
        <v>41.219512195121951</v>
      </c>
      <c r="K313" s="7">
        <f t="shared" si="20"/>
        <v>0</v>
      </c>
    </row>
    <row r="314" spans="1:11" x14ac:dyDescent="0.35">
      <c r="A314">
        <v>2016</v>
      </c>
      <c r="B314">
        <v>3145356</v>
      </c>
      <c r="C314" t="str">
        <f>VLOOKUP(B314,SAEB!$A:$B,2,0)</f>
        <v>Novo Oriente de Minas</v>
      </c>
      <c r="D314">
        <v>208</v>
      </c>
      <c r="E314">
        <v>0</v>
      </c>
      <c r="F314">
        <v>318</v>
      </c>
      <c r="G314">
        <v>121</v>
      </c>
      <c r="H314" s="7">
        <f t="shared" si="17"/>
        <v>32.1483771251932</v>
      </c>
      <c r="I314" s="7">
        <f t="shared" si="18"/>
        <v>0</v>
      </c>
      <c r="J314" s="7">
        <f t="shared" si="19"/>
        <v>49.149922720247297</v>
      </c>
      <c r="K314" s="7">
        <f t="shared" si="20"/>
        <v>18.701700154559507</v>
      </c>
    </row>
    <row r="315" spans="1:11" x14ac:dyDescent="0.35">
      <c r="A315">
        <v>2016</v>
      </c>
      <c r="B315">
        <v>3145372</v>
      </c>
      <c r="C315" t="str">
        <f>VLOOKUP(B315,SAEB!$A:$B,2,0)</f>
        <v>Novorizonte</v>
      </c>
      <c r="D315">
        <v>0</v>
      </c>
      <c r="E315">
        <v>0</v>
      </c>
      <c r="F315">
        <v>322</v>
      </c>
      <c r="G315">
        <v>117</v>
      </c>
      <c r="H315" s="7">
        <f t="shared" si="17"/>
        <v>0</v>
      </c>
      <c r="I315" s="7">
        <f t="shared" si="18"/>
        <v>0</v>
      </c>
      <c r="J315" s="7">
        <f t="shared" si="19"/>
        <v>73.348519362186792</v>
      </c>
      <c r="K315" s="7">
        <f t="shared" si="20"/>
        <v>26.651480637813211</v>
      </c>
    </row>
    <row r="316" spans="1:11" x14ac:dyDescent="0.35">
      <c r="A316">
        <v>2016</v>
      </c>
      <c r="B316">
        <v>3145455</v>
      </c>
      <c r="C316" t="str">
        <f>VLOOKUP(B316,SAEB!$A:$B,2,0)</f>
        <v>Olhos-d'Água</v>
      </c>
      <c r="D316">
        <v>365</v>
      </c>
      <c r="E316">
        <v>0</v>
      </c>
      <c r="F316">
        <v>86</v>
      </c>
      <c r="G316">
        <v>0</v>
      </c>
      <c r="H316" s="7">
        <f t="shared" si="17"/>
        <v>80.931263858093132</v>
      </c>
      <c r="I316" s="7">
        <f t="shared" si="18"/>
        <v>0</v>
      </c>
      <c r="J316" s="7">
        <f t="shared" si="19"/>
        <v>19.068736141906871</v>
      </c>
      <c r="K316" s="7">
        <f t="shared" si="20"/>
        <v>0</v>
      </c>
    </row>
    <row r="317" spans="1:11" x14ac:dyDescent="0.35">
      <c r="A317">
        <v>2016</v>
      </c>
      <c r="B317">
        <v>3146305</v>
      </c>
      <c r="C317" t="str">
        <f>VLOOKUP(B317,SAEB!$A:$B,2,0)</f>
        <v>Padre Paraíso</v>
      </c>
      <c r="D317">
        <v>405</v>
      </c>
      <c r="E317">
        <v>0</v>
      </c>
      <c r="F317">
        <v>473</v>
      </c>
      <c r="G317">
        <v>534</v>
      </c>
      <c r="H317" s="7">
        <f t="shared" si="17"/>
        <v>28.682719546742209</v>
      </c>
      <c r="I317" s="7">
        <f t="shared" si="18"/>
        <v>0</v>
      </c>
      <c r="J317" s="7">
        <f t="shared" si="19"/>
        <v>33.498583569405099</v>
      </c>
      <c r="K317" s="7">
        <f t="shared" si="20"/>
        <v>37.818696883852695</v>
      </c>
    </row>
    <row r="318" spans="1:11" x14ac:dyDescent="0.35">
      <c r="A318">
        <v>2016</v>
      </c>
      <c r="B318">
        <v>3146552</v>
      </c>
      <c r="C318" t="str">
        <f>VLOOKUP(B318,SAEB!$A:$B,2,0)</f>
        <v>Pai Pedro</v>
      </c>
      <c r="D318">
        <v>302</v>
      </c>
      <c r="E318">
        <v>0</v>
      </c>
      <c r="F318">
        <v>175</v>
      </c>
      <c r="G318">
        <v>182</v>
      </c>
      <c r="H318" s="7">
        <f t="shared" si="17"/>
        <v>45.827010622154781</v>
      </c>
      <c r="I318" s="7">
        <f t="shared" si="18"/>
        <v>0</v>
      </c>
      <c r="J318" s="7">
        <f t="shared" si="19"/>
        <v>26.555386949924127</v>
      </c>
      <c r="K318" s="7">
        <f t="shared" si="20"/>
        <v>27.617602427921096</v>
      </c>
    </row>
    <row r="319" spans="1:11" x14ac:dyDescent="0.35">
      <c r="A319">
        <v>2016</v>
      </c>
      <c r="B319">
        <v>3146750</v>
      </c>
      <c r="C319" t="str">
        <f>VLOOKUP(B319,SAEB!$A:$B,2,0)</f>
        <v>Palmópolis</v>
      </c>
      <c r="D319">
        <v>389</v>
      </c>
      <c r="E319">
        <v>41</v>
      </c>
      <c r="F319">
        <v>32</v>
      </c>
      <c r="G319">
        <v>0</v>
      </c>
      <c r="H319" s="7">
        <f t="shared" si="17"/>
        <v>84.199134199134193</v>
      </c>
      <c r="I319" s="7">
        <f t="shared" si="18"/>
        <v>8.8744588744588757</v>
      </c>
      <c r="J319" s="7">
        <f t="shared" si="19"/>
        <v>6.9264069264069263</v>
      </c>
      <c r="K319" s="7">
        <f t="shared" si="20"/>
        <v>0</v>
      </c>
    </row>
    <row r="320" spans="1:11" x14ac:dyDescent="0.35">
      <c r="A320">
        <v>2016</v>
      </c>
      <c r="B320">
        <v>3147956</v>
      </c>
      <c r="C320" t="str">
        <f>VLOOKUP(B320,SAEB!$A:$B,2,0)</f>
        <v>Patis</v>
      </c>
      <c r="D320">
        <v>194</v>
      </c>
      <c r="E320">
        <v>119</v>
      </c>
      <c r="F320">
        <v>100</v>
      </c>
      <c r="G320">
        <v>112</v>
      </c>
      <c r="H320" s="7">
        <f t="shared" si="17"/>
        <v>36.952380952380956</v>
      </c>
      <c r="I320" s="7">
        <f t="shared" si="18"/>
        <v>22.666666666666664</v>
      </c>
      <c r="J320" s="7">
        <f t="shared" si="19"/>
        <v>19.047619047619047</v>
      </c>
      <c r="K320" s="7">
        <f t="shared" si="20"/>
        <v>21.333333333333336</v>
      </c>
    </row>
    <row r="321" spans="1:11" x14ac:dyDescent="0.35">
      <c r="A321">
        <v>2016</v>
      </c>
      <c r="B321">
        <v>3148608</v>
      </c>
      <c r="C321" t="str">
        <f>VLOOKUP(B321,SAEB!$A:$B,2,0)</f>
        <v>Peçanha</v>
      </c>
      <c r="D321">
        <v>0</v>
      </c>
      <c r="E321">
        <v>0</v>
      </c>
      <c r="F321">
        <v>516</v>
      </c>
      <c r="G321">
        <v>266</v>
      </c>
      <c r="H321" s="7">
        <f t="shared" si="17"/>
        <v>0</v>
      </c>
      <c r="I321" s="7">
        <f t="shared" si="18"/>
        <v>0</v>
      </c>
      <c r="J321" s="7">
        <f t="shared" si="19"/>
        <v>65.984654731457809</v>
      </c>
      <c r="K321" s="7">
        <f t="shared" si="20"/>
        <v>34.015345268542205</v>
      </c>
    </row>
    <row r="322" spans="1:11" x14ac:dyDescent="0.35">
      <c r="A322">
        <v>2016</v>
      </c>
      <c r="B322">
        <v>3148707</v>
      </c>
      <c r="C322" t="str">
        <f>VLOOKUP(B322,SAEB!$A:$B,2,0)</f>
        <v>Pedra Azul</v>
      </c>
      <c r="D322">
        <v>1315</v>
      </c>
      <c r="E322">
        <v>160</v>
      </c>
      <c r="F322">
        <v>176</v>
      </c>
      <c r="G322">
        <v>0</v>
      </c>
      <c r="H322" s="7">
        <f t="shared" si="17"/>
        <v>79.648697758933977</v>
      </c>
      <c r="I322" s="7">
        <f t="shared" si="18"/>
        <v>9.691096305269534</v>
      </c>
      <c r="J322" s="7">
        <f t="shared" si="19"/>
        <v>10.660205935796487</v>
      </c>
      <c r="K322" s="7">
        <f t="shared" si="20"/>
        <v>0</v>
      </c>
    </row>
    <row r="323" spans="1:11" x14ac:dyDescent="0.35">
      <c r="A323">
        <v>2016</v>
      </c>
      <c r="B323">
        <v>3149952</v>
      </c>
      <c r="C323" t="str">
        <f>VLOOKUP(B323,SAEB!$A:$B,2,0)</f>
        <v>Periquito</v>
      </c>
      <c r="D323">
        <v>580</v>
      </c>
      <c r="E323">
        <v>401</v>
      </c>
      <c r="F323">
        <v>0</v>
      </c>
      <c r="G323">
        <v>0</v>
      </c>
      <c r="H323" s="7">
        <f t="shared" ref="H323:H386" si="21">D323/SUM($D323:$G323)*100</f>
        <v>59.123343527013247</v>
      </c>
      <c r="I323" s="7">
        <f t="shared" ref="I323:I386" si="22">E323/SUM($D323:$G323)*100</f>
        <v>40.876656472986753</v>
      </c>
      <c r="J323" s="7">
        <f t="shared" ref="J323:J386" si="23">F323/SUM($D323:$G323)*100</f>
        <v>0</v>
      </c>
      <c r="K323" s="7">
        <f t="shared" ref="K323:K386" si="24">G323/SUM($D323:$G323)*100</f>
        <v>0</v>
      </c>
    </row>
    <row r="324" spans="1:11" x14ac:dyDescent="0.35">
      <c r="A324">
        <v>2016</v>
      </c>
      <c r="B324">
        <v>3150158</v>
      </c>
      <c r="C324" t="str">
        <f>VLOOKUP(B324,SAEB!$A:$B,2,0)</f>
        <v>Piedade de Caratinga</v>
      </c>
      <c r="D324">
        <v>613</v>
      </c>
      <c r="E324">
        <v>0</v>
      </c>
      <c r="F324">
        <v>79</v>
      </c>
      <c r="G324">
        <v>0</v>
      </c>
      <c r="H324" s="7">
        <f t="shared" si="21"/>
        <v>88.583815028901739</v>
      </c>
      <c r="I324" s="7">
        <f t="shared" si="22"/>
        <v>0</v>
      </c>
      <c r="J324" s="7">
        <f t="shared" si="23"/>
        <v>11.416184971098266</v>
      </c>
      <c r="K324" s="7">
        <f t="shared" si="24"/>
        <v>0</v>
      </c>
    </row>
    <row r="325" spans="1:11" x14ac:dyDescent="0.35">
      <c r="A325">
        <v>2016</v>
      </c>
      <c r="B325">
        <v>3150570</v>
      </c>
      <c r="C325" t="str">
        <f>VLOOKUP(B325,SAEB!$A:$B,2,0)</f>
        <v>Pintópolis</v>
      </c>
      <c r="D325">
        <v>412</v>
      </c>
      <c r="E325">
        <v>0</v>
      </c>
      <c r="F325">
        <v>263</v>
      </c>
      <c r="G325">
        <v>0</v>
      </c>
      <c r="H325" s="7">
        <f t="shared" si="21"/>
        <v>61.037037037037031</v>
      </c>
      <c r="I325" s="7">
        <f t="shared" si="22"/>
        <v>0</v>
      </c>
      <c r="J325" s="7">
        <f t="shared" si="23"/>
        <v>38.962962962962962</v>
      </c>
      <c r="K325" s="7">
        <f t="shared" si="24"/>
        <v>0</v>
      </c>
    </row>
    <row r="326" spans="1:11" x14ac:dyDescent="0.35">
      <c r="A326">
        <v>2016</v>
      </c>
      <c r="B326">
        <v>3151206</v>
      </c>
      <c r="C326" t="str">
        <f>VLOOKUP(B326,SAEB!$A:$B,2,0)</f>
        <v>Pirapora</v>
      </c>
      <c r="D326">
        <v>2837</v>
      </c>
      <c r="E326">
        <v>95</v>
      </c>
      <c r="F326">
        <v>0</v>
      </c>
      <c r="G326">
        <v>0</v>
      </c>
      <c r="H326" s="7">
        <f t="shared" si="21"/>
        <v>96.759890859481573</v>
      </c>
      <c r="I326" s="7">
        <f t="shared" si="22"/>
        <v>3.2401091405184177</v>
      </c>
      <c r="J326" s="7">
        <f t="shared" si="23"/>
        <v>0</v>
      </c>
      <c r="K326" s="7">
        <f t="shared" si="24"/>
        <v>0</v>
      </c>
    </row>
    <row r="327" spans="1:11" x14ac:dyDescent="0.35">
      <c r="A327">
        <v>2016</v>
      </c>
      <c r="B327">
        <v>3152170</v>
      </c>
      <c r="C327" t="str">
        <f>VLOOKUP(B327,SAEB!$A:$B,2,0)</f>
        <v>Ponto dos Volantes</v>
      </c>
      <c r="D327">
        <v>582</v>
      </c>
      <c r="E327">
        <v>340</v>
      </c>
      <c r="F327">
        <v>515</v>
      </c>
      <c r="G327">
        <v>388</v>
      </c>
      <c r="H327" s="7">
        <f t="shared" si="21"/>
        <v>31.890410958904109</v>
      </c>
      <c r="I327" s="7">
        <f t="shared" si="22"/>
        <v>18.63013698630137</v>
      </c>
      <c r="J327" s="7">
        <f t="shared" si="23"/>
        <v>28.219178082191782</v>
      </c>
      <c r="K327" s="7">
        <f t="shared" si="24"/>
        <v>21.260273972602739</v>
      </c>
    </row>
    <row r="328" spans="1:11" x14ac:dyDescent="0.35">
      <c r="A328">
        <v>2016</v>
      </c>
      <c r="B328">
        <v>3152402</v>
      </c>
      <c r="C328" t="str">
        <f>VLOOKUP(B328,SAEB!$A:$B,2,0)</f>
        <v>Poté</v>
      </c>
      <c r="D328">
        <v>620</v>
      </c>
      <c r="E328">
        <v>332</v>
      </c>
      <c r="F328">
        <v>144</v>
      </c>
      <c r="G328">
        <v>43</v>
      </c>
      <c r="H328" s="7">
        <f t="shared" si="21"/>
        <v>54.433713784021073</v>
      </c>
      <c r="I328" s="7">
        <f t="shared" si="22"/>
        <v>29.148375768217733</v>
      </c>
      <c r="J328" s="7">
        <f t="shared" si="23"/>
        <v>12.642669007901668</v>
      </c>
      <c r="K328" s="7">
        <f t="shared" si="24"/>
        <v>3.775241439859526</v>
      </c>
    </row>
    <row r="329" spans="1:11" x14ac:dyDescent="0.35">
      <c r="A329">
        <v>2016</v>
      </c>
      <c r="B329">
        <v>3153301</v>
      </c>
      <c r="C329" t="str">
        <f>VLOOKUP(B329,SAEB!$A:$B,2,0)</f>
        <v>Presidente Kubitschek</v>
      </c>
      <c r="D329">
        <v>332</v>
      </c>
      <c r="E329">
        <v>0</v>
      </c>
      <c r="F329">
        <v>0</v>
      </c>
      <c r="G329">
        <v>0</v>
      </c>
      <c r="H329" s="7">
        <f t="shared" si="21"/>
        <v>100</v>
      </c>
      <c r="I329" s="7">
        <f t="shared" si="22"/>
        <v>0</v>
      </c>
      <c r="J329" s="7">
        <f t="shared" si="23"/>
        <v>0</v>
      </c>
      <c r="K329" s="7">
        <f t="shared" si="24"/>
        <v>0</v>
      </c>
    </row>
    <row r="330" spans="1:11" x14ac:dyDescent="0.35">
      <c r="A330">
        <v>2016</v>
      </c>
      <c r="B330">
        <v>3154309</v>
      </c>
      <c r="C330" t="str">
        <f>VLOOKUP(B330,SAEB!$A:$B,2,0)</f>
        <v>Resplendor</v>
      </c>
      <c r="D330">
        <v>1089</v>
      </c>
      <c r="E330">
        <v>595</v>
      </c>
      <c r="F330">
        <v>0</v>
      </c>
      <c r="G330">
        <v>0</v>
      </c>
      <c r="H330" s="7">
        <f t="shared" si="21"/>
        <v>64.667458432304031</v>
      </c>
      <c r="I330" s="7">
        <f t="shared" si="22"/>
        <v>35.332541567695962</v>
      </c>
      <c r="J330" s="7">
        <f t="shared" si="23"/>
        <v>0</v>
      </c>
      <c r="K330" s="7">
        <f t="shared" si="24"/>
        <v>0</v>
      </c>
    </row>
    <row r="331" spans="1:11" x14ac:dyDescent="0.35">
      <c r="A331">
        <v>2016</v>
      </c>
      <c r="B331">
        <v>3155108</v>
      </c>
      <c r="C331" t="str">
        <f>VLOOKUP(B331,SAEB!$A:$B,2,0)</f>
        <v>Rio do Prado</v>
      </c>
      <c r="D331">
        <v>0</v>
      </c>
      <c r="E331">
        <v>0</v>
      </c>
      <c r="F331">
        <v>161</v>
      </c>
      <c r="G331">
        <v>153</v>
      </c>
      <c r="H331" s="7">
        <f t="shared" si="21"/>
        <v>0</v>
      </c>
      <c r="I331" s="7">
        <f t="shared" si="22"/>
        <v>0</v>
      </c>
      <c r="J331" s="7">
        <f t="shared" si="23"/>
        <v>51.273885350318473</v>
      </c>
      <c r="K331" s="7">
        <f t="shared" si="24"/>
        <v>48.726114649681527</v>
      </c>
    </row>
    <row r="332" spans="1:11" x14ac:dyDescent="0.35">
      <c r="A332">
        <v>2016</v>
      </c>
      <c r="B332">
        <v>3155603</v>
      </c>
      <c r="C332" t="str">
        <f>VLOOKUP(B332,SAEB!$A:$B,2,0)</f>
        <v>Rio Pardo de Minas</v>
      </c>
      <c r="D332">
        <v>814</v>
      </c>
      <c r="E332">
        <v>379</v>
      </c>
      <c r="F332">
        <v>527</v>
      </c>
      <c r="G332">
        <v>577</v>
      </c>
      <c r="H332" s="7">
        <f t="shared" si="21"/>
        <v>35.437527209403569</v>
      </c>
      <c r="I332" s="7">
        <f t="shared" si="22"/>
        <v>16.499782324771441</v>
      </c>
      <c r="J332" s="7">
        <f t="shared" si="23"/>
        <v>22.942969090117547</v>
      </c>
      <c r="K332" s="7">
        <f t="shared" si="24"/>
        <v>25.119721375707442</v>
      </c>
    </row>
    <row r="333" spans="1:11" x14ac:dyDescent="0.35">
      <c r="A333">
        <v>2016</v>
      </c>
      <c r="B333">
        <v>3156502</v>
      </c>
      <c r="C333" t="str">
        <f>VLOOKUP(B333,SAEB!$A:$B,2,0)</f>
        <v>Rubelita</v>
      </c>
      <c r="D333">
        <v>145</v>
      </c>
      <c r="E333">
        <v>0</v>
      </c>
      <c r="F333">
        <v>160</v>
      </c>
      <c r="G333">
        <v>0</v>
      </c>
      <c r="H333" s="7">
        <f t="shared" si="21"/>
        <v>47.540983606557376</v>
      </c>
      <c r="I333" s="7">
        <f t="shared" si="22"/>
        <v>0</v>
      </c>
      <c r="J333" s="7">
        <f t="shared" si="23"/>
        <v>52.459016393442624</v>
      </c>
      <c r="K333" s="7">
        <f t="shared" si="24"/>
        <v>0</v>
      </c>
    </row>
    <row r="334" spans="1:11" x14ac:dyDescent="0.35">
      <c r="A334">
        <v>2016</v>
      </c>
      <c r="B334">
        <v>3156601</v>
      </c>
      <c r="C334" t="str">
        <f>VLOOKUP(B334,SAEB!$A:$B,2,0)</f>
        <v>Rubim</v>
      </c>
      <c r="D334">
        <v>571</v>
      </c>
      <c r="E334">
        <v>405</v>
      </c>
      <c r="F334">
        <v>82</v>
      </c>
      <c r="G334">
        <v>0</v>
      </c>
      <c r="H334" s="7">
        <f t="shared" si="21"/>
        <v>53.969754253308132</v>
      </c>
      <c r="I334" s="7">
        <f t="shared" si="22"/>
        <v>38.279773156899807</v>
      </c>
      <c r="J334" s="7">
        <f t="shared" si="23"/>
        <v>7.7504725897920608</v>
      </c>
      <c r="K334" s="7">
        <f t="shared" si="24"/>
        <v>0</v>
      </c>
    </row>
    <row r="335" spans="1:11" x14ac:dyDescent="0.35">
      <c r="A335">
        <v>2016</v>
      </c>
      <c r="B335">
        <v>3156809</v>
      </c>
      <c r="C335" t="str">
        <f>VLOOKUP(B335,SAEB!$A:$B,2,0)</f>
        <v>Sabinópolis</v>
      </c>
      <c r="D335">
        <v>236</v>
      </c>
      <c r="E335">
        <v>0</v>
      </c>
      <c r="F335">
        <v>162</v>
      </c>
      <c r="G335">
        <v>0</v>
      </c>
      <c r="H335" s="7">
        <f t="shared" si="21"/>
        <v>59.2964824120603</v>
      </c>
      <c r="I335" s="7">
        <f t="shared" si="22"/>
        <v>0</v>
      </c>
      <c r="J335" s="7">
        <f t="shared" si="23"/>
        <v>40.7035175879397</v>
      </c>
      <c r="K335" s="7">
        <f t="shared" si="24"/>
        <v>0</v>
      </c>
    </row>
    <row r="336" spans="1:11" x14ac:dyDescent="0.35">
      <c r="A336">
        <v>2016</v>
      </c>
      <c r="B336">
        <v>3157005</v>
      </c>
      <c r="C336" t="str">
        <f>VLOOKUP(B336,SAEB!$A:$B,2,0)</f>
        <v>Salinas</v>
      </c>
      <c r="D336">
        <v>543</v>
      </c>
      <c r="E336">
        <v>0</v>
      </c>
      <c r="F336">
        <v>259</v>
      </c>
      <c r="G336">
        <v>104</v>
      </c>
      <c r="H336" s="7">
        <f t="shared" si="21"/>
        <v>59.933774834437081</v>
      </c>
      <c r="I336" s="7">
        <f t="shared" si="22"/>
        <v>0</v>
      </c>
      <c r="J336" s="7">
        <f t="shared" si="23"/>
        <v>28.58719646799117</v>
      </c>
      <c r="K336" s="7">
        <f t="shared" si="24"/>
        <v>11.479028697571744</v>
      </c>
    </row>
    <row r="337" spans="1:11" x14ac:dyDescent="0.35">
      <c r="A337">
        <v>2016</v>
      </c>
      <c r="B337">
        <v>3157104</v>
      </c>
      <c r="C337" t="str">
        <f>VLOOKUP(B337,SAEB!$A:$B,2,0)</f>
        <v>Salto da Divisa</v>
      </c>
      <c r="D337">
        <v>533</v>
      </c>
      <c r="E337">
        <v>0</v>
      </c>
      <c r="F337">
        <v>30</v>
      </c>
      <c r="G337">
        <v>0</v>
      </c>
      <c r="H337" s="7">
        <f t="shared" si="21"/>
        <v>94.671403197158071</v>
      </c>
      <c r="I337" s="7">
        <f t="shared" si="22"/>
        <v>0</v>
      </c>
      <c r="J337" s="7">
        <f t="shared" si="23"/>
        <v>5.3285968028419184</v>
      </c>
      <c r="K337" s="7">
        <f t="shared" si="24"/>
        <v>0</v>
      </c>
    </row>
    <row r="338" spans="1:11" x14ac:dyDescent="0.35">
      <c r="A338">
        <v>2016</v>
      </c>
      <c r="B338">
        <v>3157252</v>
      </c>
      <c r="C338" t="str">
        <f>VLOOKUP(B338,SAEB!$A:$B,2,0)</f>
        <v>Santa Bárbara do Leste</v>
      </c>
      <c r="D338">
        <v>155</v>
      </c>
      <c r="E338">
        <v>161</v>
      </c>
      <c r="F338">
        <v>203</v>
      </c>
      <c r="G338">
        <v>94</v>
      </c>
      <c r="H338" s="7">
        <f t="shared" si="21"/>
        <v>25.285481239804241</v>
      </c>
      <c r="I338" s="7">
        <f t="shared" si="22"/>
        <v>26.264274061990211</v>
      </c>
      <c r="J338" s="7">
        <f t="shared" si="23"/>
        <v>33.115823817292004</v>
      </c>
      <c r="K338" s="7">
        <f t="shared" si="24"/>
        <v>15.334420880913541</v>
      </c>
    </row>
    <row r="339" spans="1:11" x14ac:dyDescent="0.35">
      <c r="A339">
        <v>2016</v>
      </c>
      <c r="B339">
        <v>3157377</v>
      </c>
      <c r="C339" t="str">
        <f>VLOOKUP(B339,SAEB!$A:$B,2,0)</f>
        <v>Santa Cruz de Salinas</v>
      </c>
      <c r="D339">
        <v>177</v>
      </c>
      <c r="E339">
        <v>0</v>
      </c>
      <c r="F339">
        <v>194</v>
      </c>
      <c r="G339">
        <v>41</v>
      </c>
      <c r="H339" s="7">
        <f t="shared" si="21"/>
        <v>42.961165048543684</v>
      </c>
      <c r="I339" s="7">
        <f t="shared" si="22"/>
        <v>0</v>
      </c>
      <c r="J339" s="7">
        <f t="shared" si="23"/>
        <v>47.087378640776699</v>
      </c>
      <c r="K339" s="7">
        <f t="shared" si="24"/>
        <v>9.9514563106796121</v>
      </c>
    </row>
    <row r="340" spans="1:11" x14ac:dyDescent="0.35">
      <c r="A340">
        <v>2016</v>
      </c>
      <c r="B340">
        <v>3157500</v>
      </c>
      <c r="C340" t="str">
        <f>VLOOKUP(B340,SAEB!$A:$B,2,0)</f>
        <v>Santa Efigênia de Minas</v>
      </c>
      <c r="D340">
        <v>246</v>
      </c>
      <c r="E340">
        <v>0</v>
      </c>
      <c r="F340">
        <v>74</v>
      </c>
      <c r="G340">
        <v>0</v>
      </c>
      <c r="H340" s="7">
        <f t="shared" si="21"/>
        <v>76.875</v>
      </c>
      <c r="I340" s="7">
        <f t="shared" si="22"/>
        <v>0</v>
      </c>
      <c r="J340" s="7">
        <f t="shared" si="23"/>
        <v>23.125</v>
      </c>
      <c r="K340" s="7">
        <f t="shared" si="24"/>
        <v>0</v>
      </c>
    </row>
    <row r="341" spans="1:11" x14ac:dyDescent="0.35">
      <c r="A341">
        <v>2016</v>
      </c>
      <c r="B341">
        <v>3157658</v>
      </c>
      <c r="C341" t="str">
        <f>VLOOKUP(B341,SAEB!$A:$B,2,0)</f>
        <v>Santa Helena de Minas</v>
      </c>
      <c r="D341">
        <v>196</v>
      </c>
      <c r="E341">
        <v>0</v>
      </c>
      <c r="F341">
        <v>85</v>
      </c>
      <c r="G341">
        <v>69</v>
      </c>
      <c r="H341" s="7">
        <f t="shared" si="21"/>
        <v>56.000000000000007</v>
      </c>
      <c r="I341" s="7">
        <f t="shared" si="22"/>
        <v>0</v>
      </c>
      <c r="J341" s="7">
        <f t="shared" si="23"/>
        <v>24.285714285714285</v>
      </c>
      <c r="K341" s="7">
        <f t="shared" si="24"/>
        <v>19.714285714285715</v>
      </c>
    </row>
    <row r="342" spans="1:11" x14ac:dyDescent="0.35">
      <c r="A342">
        <v>2016</v>
      </c>
      <c r="B342">
        <v>3158201</v>
      </c>
      <c r="C342" t="str">
        <f>VLOOKUP(B342,SAEB!$A:$B,2,0)</f>
        <v>Santa Maria do Suaçuí</v>
      </c>
      <c r="D342">
        <v>102</v>
      </c>
      <c r="E342">
        <v>34</v>
      </c>
      <c r="F342">
        <v>388</v>
      </c>
      <c r="G342">
        <v>0</v>
      </c>
      <c r="H342" s="7">
        <f t="shared" si="21"/>
        <v>19.465648854961831</v>
      </c>
      <c r="I342" s="7">
        <f t="shared" si="22"/>
        <v>6.4885496183206106</v>
      </c>
      <c r="J342" s="7">
        <f t="shared" si="23"/>
        <v>74.045801526717554</v>
      </c>
      <c r="K342" s="7">
        <f t="shared" si="24"/>
        <v>0</v>
      </c>
    </row>
    <row r="343" spans="1:11" x14ac:dyDescent="0.35">
      <c r="A343">
        <v>2016</v>
      </c>
      <c r="B343">
        <v>3159357</v>
      </c>
      <c r="C343" t="str">
        <f>VLOOKUP(B343,SAEB!$A:$B,2,0)</f>
        <v>Santa Rita de Minas</v>
      </c>
      <c r="D343">
        <v>380</v>
      </c>
      <c r="E343">
        <v>0</v>
      </c>
      <c r="F343">
        <v>87</v>
      </c>
      <c r="G343">
        <v>0</v>
      </c>
      <c r="H343" s="7">
        <f t="shared" si="21"/>
        <v>81.370449678800867</v>
      </c>
      <c r="I343" s="7">
        <f t="shared" si="22"/>
        <v>0</v>
      </c>
      <c r="J343" s="7">
        <f t="shared" si="23"/>
        <v>18.629550321199144</v>
      </c>
      <c r="K343" s="7">
        <f t="shared" si="24"/>
        <v>0</v>
      </c>
    </row>
    <row r="344" spans="1:11" x14ac:dyDescent="0.35">
      <c r="A344">
        <v>2016</v>
      </c>
      <c r="B344">
        <v>3159506</v>
      </c>
      <c r="C344" t="str">
        <f>VLOOKUP(B344,SAEB!$A:$B,2,0)</f>
        <v>Santa Rita do Itueto</v>
      </c>
      <c r="D344">
        <v>141</v>
      </c>
      <c r="E344">
        <v>0</v>
      </c>
      <c r="F344">
        <v>189</v>
      </c>
      <c r="G344">
        <v>63</v>
      </c>
      <c r="H344" s="7">
        <f t="shared" si="21"/>
        <v>35.877862595419849</v>
      </c>
      <c r="I344" s="7">
        <f t="shared" si="22"/>
        <v>0</v>
      </c>
      <c r="J344" s="7">
        <f t="shared" si="23"/>
        <v>48.091603053435115</v>
      </c>
      <c r="K344" s="7">
        <f t="shared" si="24"/>
        <v>16.030534351145036</v>
      </c>
    </row>
    <row r="345" spans="1:11" x14ac:dyDescent="0.35">
      <c r="A345">
        <v>2016</v>
      </c>
      <c r="B345">
        <v>3160454</v>
      </c>
      <c r="C345" t="str">
        <f>VLOOKUP(B345,SAEB!$A:$B,2,0)</f>
        <v>Santo Antônio do Retiro</v>
      </c>
      <c r="D345">
        <v>290</v>
      </c>
      <c r="E345">
        <v>273</v>
      </c>
      <c r="F345">
        <v>181</v>
      </c>
      <c r="G345">
        <v>200</v>
      </c>
      <c r="H345" s="7">
        <f t="shared" si="21"/>
        <v>30.720338983050848</v>
      </c>
      <c r="I345" s="7">
        <f t="shared" si="22"/>
        <v>28.91949152542373</v>
      </c>
      <c r="J345" s="7">
        <f t="shared" si="23"/>
        <v>19.173728813559322</v>
      </c>
      <c r="K345" s="7">
        <f t="shared" si="24"/>
        <v>21.1864406779661</v>
      </c>
    </row>
    <row r="346" spans="1:11" x14ac:dyDescent="0.35">
      <c r="A346">
        <v>2016</v>
      </c>
      <c r="B346">
        <v>3160603</v>
      </c>
      <c r="C346" t="str">
        <f>VLOOKUP(B346,SAEB!$A:$B,2,0)</f>
        <v>Santo Hipólito</v>
      </c>
      <c r="D346">
        <v>191</v>
      </c>
      <c r="E346">
        <v>0</v>
      </c>
      <c r="F346">
        <v>8</v>
      </c>
      <c r="G346">
        <v>0</v>
      </c>
      <c r="H346" s="7">
        <f t="shared" si="21"/>
        <v>95.979899497487438</v>
      </c>
      <c r="I346" s="7">
        <f t="shared" si="22"/>
        <v>0</v>
      </c>
      <c r="J346" s="7">
        <f t="shared" si="23"/>
        <v>4.0201005025125625</v>
      </c>
      <c r="K346" s="7">
        <f t="shared" si="24"/>
        <v>0</v>
      </c>
    </row>
    <row r="347" spans="1:11" x14ac:dyDescent="0.35">
      <c r="A347">
        <v>2016</v>
      </c>
      <c r="B347">
        <v>3160959</v>
      </c>
      <c r="C347" t="str">
        <f>VLOOKUP(B347,SAEB!$A:$B,2,0)</f>
        <v>São Domingos das Dores</v>
      </c>
      <c r="D347">
        <v>317</v>
      </c>
      <c r="E347">
        <v>0</v>
      </c>
      <c r="F347">
        <v>225</v>
      </c>
      <c r="G347">
        <v>212</v>
      </c>
      <c r="H347" s="7">
        <f t="shared" si="21"/>
        <v>42.04244031830239</v>
      </c>
      <c r="I347" s="7">
        <f t="shared" si="22"/>
        <v>0</v>
      </c>
      <c r="J347" s="7">
        <f t="shared" si="23"/>
        <v>29.840848806366051</v>
      </c>
      <c r="K347" s="7">
        <f t="shared" si="24"/>
        <v>28.116710875331563</v>
      </c>
    </row>
    <row r="348" spans="1:11" x14ac:dyDescent="0.35">
      <c r="A348">
        <v>2016</v>
      </c>
      <c r="B348">
        <v>3161601</v>
      </c>
      <c r="C348" t="str">
        <f>VLOOKUP(B348,SAEB!$A:$B,2,0)</f>
        <v>São Geraldo da Piedade</v>
      </c>
      <c r="D348">
        <v>128</v>
      </c>
      <c r="E348">
        <v>0</v>
      </c>
      <c r="F348">
        <v>194</v>
      </c>
      <c r="G348">
        <v>122</v>
      </c>
      <c r="H348" s="7">
        <f t="shared" si="21"/>
        <v>28.828828828828829</v>
      </c>
      <c r="I348" s="7">
        <f t="shared" si="22"/>
        <v>0</v>
      </c>
      <c r="J348" s="7">
        <f t="shared" si="23"/>
        <v>43.693693693693689</v>
      </c>
      <c r="K348" s="7">
        <f t="shared" si="24"/>
        <v>27.477477477477478</v>
      </c>
    </row>
    <row r="349" spans="1:11" x14ac:dyDescent="0.35">
      <c r="A349">
        <v>2016</v>
      </c>
      <c r="B349">
        <v>3125507</v>
      </c>
      <c r="C349" t="str">
        <f>VLOOKUP(B349,SAEB!$A:$B,2,0)</f>
        <v>São Gonçalo do Rio Preto</v>
      </c>
      <c r="D349">
        <v>230</v>
      </c>
      <c r="E349">
        <v>0</v>
      </c>
      <c r="F349">
        <v>0</v>
      </c>
      <c r="G349">
        <v>0</v>
      </c>
      <c r="H349" s="7">
        <f t="shared" si="21"/>
        <v>100</v>
      </c>
      <c r="I349" s="7">
        <f t="shared" si="22"/>
        <v>0</v>
      </c>
      <c r="J349" s="7">
        <f t="shared" si="23"/>
        <v>0</v>
      </c>
      <c r="K349" s="7">
        <f t="shared" si="24"/>
        <v>0</v>
      </c>
    </row>
    <row r="350" spans="1:11" x14ac:dyDescent="0.35">
      <c r="A350">
        <v>2016</v>
      </c>
      <c r="B350">
        <v>3162252</v>
      </c>
      <c r="C350" t="str">
        <f>VLOOKUP(B350,SAEB!$A:$B,2,0)</f>
        <v>São João da Lagoa</v>
      </c>
      <c r="D350">
        <v>245</v>
      </c>
      <c r="E350">
        <v>0</v>
      </c>
      <c r="F350">
        <v>64</v>
      </c>
      <c r="G350">
        <v>74</v>
      </c>
      <c r="H350" s="7">
        <f t="shared" si="21"/>
        <v>63.968668407310702</v>
      </c>
      <c r="I350" s="7">
        <f t="shared" si="22"/>
        <v>0</v>
      </c>
      <c r="J350" s="7">
        <f t="shared" si="23"/>
        <v>16.710182767624023</v>
      </c>
      <c r="K350" s="7">
        <f t="shared" si="24"/>
        <v>19.321148825065272</v>
      </c>
    </row>
    <row r="351" spans="1:11" x14ac:dyDescent="0.35">
      <c r="A351">
        <v>2016</v>
      </c>
      <c r="B351">
        <v>3162401</v>
      </c>
      <c r="C351" t="str">
        <f>VLOOKUP(B351,SAEB!$A:$B,2,0)</f>
        <v>São João da Ponte</v>
      </c>
      <c r="D351">
        <v>260</v>
      </c>
      <c r="E351">
        <v>424</v>
      </c>
      <c r="F351">
        <v>1195</v>
      </c>
      <c r="G351">
        <v>722</v>
      </c>
      <c r="H351" s="7">
        <f t="shared" si="21"/>
        <v>9.9961553248750494</v>
      </c>
      <c r="I351" s="7">
        <f t="shared" si="22"/>
        <v>16.301422529796234</v>
      </c>
      <c r="J351" s="7">
        <f t="shared" si="23"/>
        <v>45.943867743175701</v>
      </c>
      <c r="K351" s="7">
        <f t="shared" si="24"/>
        <v>27.758554402153017</v>
      </c>
    </row>
    <row r="352" spans="1:11" x14ac:dyDescent="0.35">
      <c r="A352">
        <v>2016</v>
      </c>
      <c r="B352">
        <v>3162575</v>
      </c>
      <c r="C352" t="str">
        <f>VLOOKUP(B352,SAEB!$A:$B,2,0)</f>
        <v>São João do Manteninha</v>
      </c>
      <c r="D352">
        <v>280</v>
      </c>
      <c r="E352">
        <v>0</v>
      </c>
      <c r="F352">
        <v>145</v>
      </c>
      <c r="G352">
        <v>0</v>
      </c>
      <c r="H352" s="7">
        <f t="shared" si="21"/>
        <v>65.882352941176464</v>
      </c>
      <c r="I352" s="7">
        <f t="shared" si="22"/>
        <v>0</v>
      </c>
      <c r="J352" s="7">
        <f t="shared" si="23"/>
        <v>34.117647058823529</v>
      </c>
      <c r="K352" s="7">
        <f t="shared" si="24"/>
        <v>0</v>
      </c>
    </row>
    <row r="353" spans="1:11" x14ac:dyDescent="0.35">
      <c r="A353">
        <v>2016</v>
      </c>
      <c r="B353">
        <v>3162807</v>
      </c>
      <c r="C353" t="str">
        <f>VLOOKUP(B353,SAEB!$A:$B,2,0)</f>
        <v>São João Evangelista</v>
      </c>
      <c r="D353">
        <v>781</v>
      </c>
      <c r="E353">
        <v>0</v>
      </c>
      <c r="F353">
        <v>253</v>
      </c>
      <c r="G353">
        <v>66</v>
      </c>
      <c r="H353" s="7">
        <f t="shared" si="21"/>
        <v>71</v>
      </c>
      <c r="I353" s="7">
        <f t="shared" si="22"/>
        <v>0</v>
      </c>
      <c r="J353" s="7">
        <f t="shared" si="23"/>
        <v>23</v>
      </c>
      <c r="K353" s="7">
        <f t="shared" si="24"/>
        <v>6</v>
      </c>
    </row>
    <row r="354" spans="1:11" x14ac:dyDescent="0.35">
      <c r="A354">
        <v>2016</v>
      </c>
      <c r="B354">
        <v>3163508</v>
      </c>
      <c r="C354" t="str">
        <f>VLOOKUP(B354,SAEB!$A:$B,2,0)</f>
        <v>São José do Jacuri</v>
      </c>
      <c r="D354">
        <v>0</v>
      </c>
      <c r="E354">
        <v>0</v>
      </c>
      <c r="F354">
        <v>209</v>
      </c>
      <c r="G354">
        <v>121</v>
      </c>
      <c r="H354" s="7">
        <f t="shared" si="21"/>
        <v>0</v>
      </c>
      <c r="I354" s="7">
        <f t="shared" si="22"/>
        <v>0</v>
      </c>
      <c r="J354" s="7">
        <f t="shared" si="23"/>
        <v>63.333333333333329</v>
      </c>
      <c r="K354" s="7">
        <f t="shared" si="24"/>
        <v>36.666666666666664</v>
      </c>
    </row>
    <row r="355" spans="1:11" x14ac:dyDescent="0.35">
      <c r="A355">
        <v>2016</v>
      </c>
      <c r="B355">
        <v>3164100</v>
      </c>
      <c r="C355" t="str">
        <f>VLOOKUP(B355,SAEB!$A:$B,2,0)</f>
        <v>São Pedro do Suaçuí</v>
      </c>
      <c r="D355">
        <v>256</v>
      </c>
      <c r="E355">
        <v>0</v>
      </c>
      <c r="F355">
        <v>73</v>
      </c>
      <c r="G355">
        <v>0</v>
      </c>
      <c r="H355" s="7">
        <f t="shared" si="21"/>
        <v>77.81155015197568</v>
      </c>
      <c r="I355" s="7">
        <f t="shared" si="22"/>
        <v>0</v>
      </c>
      <c r="J355" s="7">
        <f t="shared" si="23"/>
        <v>22.188449848024316</v>
      </c>
      <c r="K355" s="7">
        <f t="shared" si="24"/>
        <v>0</v>
      </c>
    </row>
    <row r="356" spans="1:11" x14ac:dyDescent="0.35">
      <c r="A356">
        <v>2016</v>
      </c>
      <c r="B356">
        <v>3164472</v>
      </c>
      <c r="C356" t="str">
        <f>VLOOKUP(B356,SAEB!$A:$B,2,0)</f>
        <v>São Sebastião do Anta</v>
      </c>
      <c r="D356">
        <v>489</v>
      </c>
      <c r="E356">
        <v>296</v>
      </c>
      <c r="F356">
        <v>26</v>
      </c>
      <c r="G356">
        <v>0</v>
      </c>
      <c r="H356" s="7">
        <f t="shared" si="21"/>
        <v>60.295930949445129</v>
      </c>
      <c r="I356" s="7">
        <f t="shared" si="22"/>
        <v>36.498150431565968</v>
      </c>
      <c r="J356" s="7">
        <f t="shared" si="23"/>
        <v>3.2059186189889024</v>
      </c>
      <c r="K356" s="7">
        <f t="shared" si="24"/>
        <v>0</v>
      </c>
    </row>
    <row r="357" spans="1:11" x14ac:dyDescent="0.35">
      <c r="A357">
        <v>2016</v>
      </c>
      <c r="B357">
        <v>3165503</v>
      </c>
      <c r="C357" t="str">
        <f>VLOOKUP(B357,SAEB!$A:$B,2,0)</f>
        <v>Sardoá</v>
      </c>
      <c r="D357">
        <v>218</v>
      </c>
      <c r="E357">
        <v>0</v>
      </c>
      <c r="F357">
        <v>166</v>
      </c>
      <c r="G357">
        <v>161</v>
      </c>
      <c r="H357" s="7">
        <f t="shared" si="21"/>
        <v>40</v>
      </c>
      <c r="I357" s="7">
        <f t="shared" si="22"/>
        <v>0</v>
      </c>
      <c r="J357" s="7">
        <f t="shared" si="23"/>
        <v>30.458715596330276</v>
      </c>
      <c r="K357" s="7">
        <f t="shared" si="24"/>
        <v>29.541284403669728</v>
      </c>
    </row>
    <row r="358" spans="1:11" x14ac:dyDescent="0.35">
      <c r="A358">
        <v>2016</v>
      </c>
      <c r="B358">
        <v>3165909</v>
      </c>
      <c r="C358" t="str">
        <f>VLOOKUP(B358,SAEB!$A:$B,2,0)</f>
        <v>Senador Modestino Gonçalves</v>
      </c>
      <c r="D358">
        <v>191</v>
      </c>
      <c r="E358">
        <v>0</v>
      </c>
      <c r="F358">
        <v>103</v>
      </c>
      <c r="G358">
        <v>0</v>
      </c>
      <c r="H358" s="7">
        <f t="shared" si="21"/>
        <v>64.965986394557831</v>
      </c>
      <c r="I358" s="7">
        <f t="shared" si="22"/>
        <v>0</v>
      </c>
      <c r="J358" s="7">
        <f t="shared" si="23"/>
        <v>35.034013605442176</v>
      </c>
      <c r="K358" s="7">
        <f t="shared" si="24"/>
        <v>0</v>
      </c>
    </row>
    <row r="359" spans="1:11" x14ac:dyDescent="0.35">
      <c r="A359">
        <v>2016</v>
      </c>
      <c r="B359">
        <v>3166105</v>
      </c>
      <c r="C359" t="str">
        <f>VLOOKUP(B359,SAEB!$A:$B,2,0)</f>
        <v>Senhora do Porto</v>
      </c>
      <c r="D359">
        <v>266</v>
      </c>
      <c r="E359">
        <v>0</v>
      </c>
      <c r="F359">
        <v>18</v>
      </c>
      <c r="G359">
        <v>0</v>
      </c>
      <c r="H359" s="7">
        <f t="shared" si="21"/>
        <v>93.661971830985919</v>
      </c>
      <c r="I359" s="7">
        <f t="shared" si="22"/>
        <v>0</v>
      </c>
      <c r="J359" s="7">
        <f t="shared" si="23"/>
        <v>6.3380281690140841</v>
      </c>
      <c r="K359" s="7">
        <f t="shared" si="24"/>
        <v>0</v>
      </c>
    </row>
    <row r="360" spans="1:11" x14ac:dyDescent="0.35">
      <c r="A360">
        <v>2016</v>
      </c>
      <c r="B360">
        <v>3166709</v>
      </c>
      <c r="C360" t="str">
        <f>VLOOKUP(B360,SAEB!$A:$B,2,0)</f>
        <v>Serra dos Aimorés</v>
      </c>
      <c r="D360">
        <v>294</v>
      </c>
      <c r="E360">
        <v>0</v>
      </c>
      <c r="F360">
        <v>133</v>
      </c>
      <c r="G360">
        <v>21</v>
      </c>
      <c r="H360" s="7">
        <f t="shared" si="21"/>
        <v>65.625</v>
      </c>
      <c r="I360" s="7">
        <f t="shared" si="22"/>
        <v>0</v>
      </c>
      <c r="J360" s="7">
        <f t="shared" si="23"/>
        <v>29.6875</v>
      </c>
      <c r="K360" s="7">
        <f t="shared" si="24"/>
        <v>4.6875</v>
      </c>
    </row>
    <row r="361" spans="1:11" x14ac:dyDescent="0.35">
      <c r="A361">
        <v>2016</v>
      </c>
      <c r="B361">
        <v>3166956</v>
      </c>
      <c r="C361" t="str">
        <f>VLOOKUP(B361,SAEB!$A:$B,2,0)</f>
        <v>Serranópolis de Minas</v>
      </c>
      <c r="D361">
        <v>0</v>
      </c>
      <c r="E361">
        <v>0</v>
      </c>
      <c r="F361">
        <v>164</v>
      </c>
      <c r="G361">
        <v>132</v>
      </c>
      <c r="H361" s="7">
        <f t="shared" si="21"/>
        <v>0</v>
      </c>
      <c r="I361" s="7">
        <f t="shared" si="22"/>
        <v>0</v>
      </c>
      <c r="J361" s="7">
        <f t="shared" si="23"/>
        <v>55.405405405405403</v>
      </c>
      <c r="K361" s="7">
        <f t="shared" si="24"/>
        <v>44.594594594594597</v>
      </c>
    </row>
    <row r="362" spans="1:11" x14ac:dyDescent="0.35">
      <c r="A362">
        <v>2016</v>
      </c>
      <c r="B362">
        <v>3168002</v>
      </c>
      <c r="C362" t="str">
        <f>VLOOKUP(B362,SAEB!$A:$B,2,0)</f>
        <v>Taiobeiras</v>
      </c>
      <c r="D362">
        <v>951</v>
      </c>
      <c r="E362">
        <v>219</v>
      </c>
      <c r="F362">
        <v>138</v>
      </c>
      <c r="G362">
        <v>93</v>
      </c>
      <c r="H362" s="7">
        <f t="shared" si="21"/>
        <v>67.880085653104928</v>
      </c>
      <c r="I362" s="7">
        <f t="shared" si="22"/>
        <v>15.631691648822269</v>
      </c>
      <c r="J362" s="7">
        <f t="shared" si="23"/>
        <v>9.8501070663811561</v>
      </c>
      <c r="K362" s="7">
        <f t="shared" si="24"/>
        <v>6.6381156316916492</v>
      </c>
    </row>
    <row r="363" spans="1:11" x14ac:dyDescent="0.35">
      <c r="A363">
        <v>2016</v>
      </c>
      <c r="B363">
        <v>3168051</v>
      </c>
      <c r="C363" t="str">
        <f>VLOOKUP(B363,SAEB!$A:$B,2,0)</f>
        <v>Taparuba</v>
      </c>
      <c r="D363">
        <v>210</v>
      </c>
      <c r="E363">
        <v>47</v>
      </c>
      <c r="F363">
        <v>34</v>
      </c>
      <c r="G363">
        <v>0</v>
      </c>
      <c r="H363" s="7">
        <f t="shared" si="21"/>
        <v>72.164948453608247</v>
      </c>
      <c r="I363" s="7">
        <f t="shared" si="22"/>
        <v>16.151202749140893</v>
      </c>
      <c r="J363" s="7">
        <f t="shared" si="23"/>
        <v>11.683848797250858</v>
      </c>
      <c r="K363" s="7">
        <f t="shared" si="24"/>
        <v>0</v>
      </c>
    </row>
    <row r="364" spans="1:11" x14ac:dyDescent="0.35">
      <c r="A364">
        <v>2016</v>
      </c>
      <c r="B364">
        <v>3168408</v>
      </c>
      <c r="C364" t="str">
        <f>VLOOKUP(B364,SAEB!$A:$B,2,0)</f>
        <v>Tarumirim</v>
      </c>
      <c r="D364">
        <v>238</v>
      </c>
      <c r="E364">
        <v>93</v>
      </c>
      <c r="F364">
        <v>41</v>
      </c>
      <c r="G364">
        <v>15</v>
      </c>
      <c r="H364" s="7">
        <f t="shared" si="21"/>
        <v>61.498708010335911</v>
      </c>
      <c r="I364" s="7">
        <f t="shared" si="22"/>
        <v>24.031007751937985</v>
      </c>
      <c r="J364" s="7">
        <f t="shared" si="23"/>
        <v>10.594315245478036</v>
      </c>
      <c r="K364" s="7">
        <f t="shared" si="24"/>
        <v>3.8759689922480618</v>
      </c>
    </row>
    <row r="365" spans="1:11" x14ac:dyDescent="0.35">
      <c r="A365">
        <v>2016</v>
      </c>
      <c r="B365">
        <v>3168606</v>
      </c>
      <c r="C365" t="str">
        <f>VLOOKUP(B365,SAEB!$A:$B,2,0)</f>
        <v>Teófilo Otoni</v>
      </c>
      <c r="D365">
        <v>2917</v>
      </c>
      <c r="E365">
        <v>1489</v>
      </c>
      <c r="F365">
        <v>1112</v>
      </c>
      <c r="G365">
        <v>269</v>
      </c>
      <c r="H365" s="7">
        <f t="shared" si="21"/>
        <v>50.406082598928634</v>
      </c>
      <c r="I365" s="7">
        <f t="shared" si="22"/>
        <v>25.730084672541903</v>
      </c>
      <c r="J365" s="7">
        <f t="shared" si="23"/>
        <v>19.215482979091068</v>
      </c>
      <c r="K365" s="7">
        <f t="shared" si="24"/>
        <v>4.6483497494383963</v>
      </c>
    </row>
    <row r="366" spans="1:11" x14ac:dyDescent="0.35">
      <c r="A366">
        <v>2016</v>
      </c>
      <c r="B366">
        <v>3169505</v>
      </c>
      <c r="C366" t="str">
        <f>VLOOKUP(B366,SAEB!$A:$B,2,0)</f>
        <v>Tumiritinga</v>
      </c>
      <c r="D366">
        <v>450</v>
      </c>
      <c r="E366">
        <v>0</v>
      </c>
      <c r="F366">
        <v>25</v>
      </c>
      <c r="G366">
        <v>0</v>
      </c>
      <c r="H366" s="7">
        <f t="shared" si="21"/>
        <v>94.73684210526315</v>
      </c>
      <c r="I366" s="7">
        <f t="shared" si="22"/>
        <v>0</v>
      </c>
      <c r="J366" s="7">
        <f t="shared" si="23"/>
        <v>5.2631578947368416</v>
      </c>
      <c r="K366" s="7">
        <f t="shared" si="24"/>
        <v>0</v>
      </c>
    </row>
    <row r="367" spans="1:11" x14ac:dyDescent="0.35">
      <c r="A367">
        <v>2016</v>
      </c>
      <c r="B367">
        <v>3169703</v>
      </c>
      <c r="C367" t="str">
        <f>VLOOKUP(B367,SAEB!$A:$B,2,0)</f>
        <v>Turmalina</v>
      </c>
      <c r="D367">
        <v>249</v>
      </c>
      <c r="E367">
        <v>0</v>
      </c>
      <c r="F367">
        <v>241</v>
      </c>
      <c r="G367">
        <v>271</v>
      </c>
      <c r="H367" s="7">
        <f t="shared" si="21"/>
        <v>32.72010512483574</v>
      </c>
      <c r="I367" s="7">
        <f t="shared" si="22"/>
        <v>0</v>
      </c>
      <c r="J367" s="7">
        <f t="shared" si="23"/>
        <v>31.668856767411302</v>
      </c>
      <c r="K367" s="7">
        <f t="shared" si="24"/>
        <v>35.611038107752954</v>
      </c>
    </row>
    <row r="368" spans="1:11" x14ac:dyDescent="0.35">
      <c r="A368">
        <v>2016</v>
      </c>
      <c r="B368">
        <v>3170057</v>
      </c>
      <c r="C368" t="str">
        <f>VLOOKUP(B368,SAEB!$A:$B,2,0)</f>
        <v>Ubaporanga</v>
      </c>
      <c r="D368">
        <v>359</v>
      </c>
      <c r="E368">
        <v>0</v>
      </c>
      <c r="F368">
        <v>71</v>
      </c>
      <c r="G368">
        <v>0</v>
      </c>
      <c r="H368" s="7">
        <f t="shared" si="21"/>
        <v>83.488372093023258</v>
      </c>
      <c r="I368" s="7">
        <f t="shared" si="22"/>
        <v>0</v>
      </c>
      <c r="J368" s="7">
        <f t="shared" si="23"/>
        <v>16.511627906976745</v>
      </c>
      <c r="K368" s="7">
        <f t="shared" si="24"/>
        <v>0</v>
      </c>
    </row>
    <row r="369" spans="1:11" x14ac:dyDescent="0.35">
      <c r="A369">
        <v>2016</v>
      </c>
      <c r="B369">
        <v>3170305</v>
      </c>
      <c r="C369" t="str">
        <f>VLOOKUP(B369,SAEB!$A:$B,2,0)</f>
        <v>Umburatiba</v>
      </c>
      <c r="D369">
        <v>139</v>
      </c>
      <c r="E369">
        <v>0</v>
      </c>
      <c r="F369">
        <v>88</v>
      </c>
      <c r="G369">
        <v>83</v>
      </c>
      <c r="H369" s="7">
        <f t="shared" si="21"/>
        <v>44.838709677419352</v>
      </c>
      <c r="I369" s="7">
        <f t="shared" si="22"/>
        <v>0</v>
      </c>
      <c r="J369" s="7">
        <f t="shared" si="23"/>
        <v>28.387096774193548</v>
      </c>
      <c r="K369" s="7">
        <f t="shared" si="24"/>
        <v>26.7741935483871</v>
      </c>
    </row>
    <row r="370" spans="1:11" x14ac:dyDescent="0.35">
      <c r="A370">
        <v>2016</v>
      </c>
      <c r="B370">
        <v>3170479</v>
      </c>
      <c r="C370" t="str">
        <f>VLOOKUP(B370,SAEB!$A:$B,2,0)</f>
        <v>Uruana de Minas</v>
      </c>
      <c r="D370">
        <v>295</v>
      </c>
      <c r="E370">
        <v>285</v>
      </c>
      <c r="F370">
        <v>0</v>
      </c>
      <c r="G370">
        <v>0</v>
      </c>
      <c r="H370" s="7">
        <f t="shared" si="21"/>
        <v>50.862068965517238</v>
      </c>
      <c r="I370" s="7">
        <f t="shared" si="22"/>
        <v>49.137931034482754</v>
      </c>
      <c r="J370" s="7">
        <f t="shared" si="23"/>
        <v>0</v>
      </c>
      <c r="K370" s="7">
        <f t="shared" si="24"/>
        <v>0</v>
      </c>
    </row>
    <row r="371" spans="1:11" x14ac:dyDescent="0.35">
      <c r="A371">
        <v>2016</v>
      </c>
      <c r="B371">
        <v>3170529</v>
      </c>
      <c r="C371" t="str">
        <f>VLOOKUP(B371,SAEB!$A:$B,2,0)</f>
        <v>Urucuia</v>
      </c>
      <c r="D371">
        <v>362</v>
      </c>
      <c r="E371">
        <v>209</v>
      </c>
      <c r="F371">
        <v>301</v>
      </c>
      <c r="G371">
        <v>355</v>
      </c>
      <c r="H371" s="7">
        <f t="shared" si="21"/>
        <v>29.502852485737574</v>
      </c>
      <c r="I371" s="7">
        <f t="shared" si="22"/>
        <v>17.033414832925835</v>
      </c>
      <c r="J371" s="7">
        <f t="shared" si="23"/>
        <v>24.531377343113284</v>
      </c>
      <c r="K371" s="7">
        <f t="shared" si="24"/>
        <v>28.93235533822331</v>
      </c>
    </row>
    <row r="372" spans="1:11" x14ac:dyDescent="0.35">
      <c r="A372">
        <v>2016</v>
      </c>
      <c r="B372">
        <v>3170651</v>
      </c>
      <c r="C372" t="str">
        <f>VLOOKUP(B372,SAEB!$A:$B,2,0)</f>
        <v>Vargem Grande do Rio Pardo</v>
      </c>
      <c r="D372">
        <v>238</v>
      </c>
      <c r="E372">
        <v>0</v>
      </c>
      <c r="F372">
        <v>108</v>
      </c>
      <c r="G372">
        <v>0</v>
      </c>
      <c r="H372" s="7">
        <f t="shared" si="21"/>
        <v>68.786127167630056</v>
      </c>
      <c r="I372" s="7">
        <f t="shared" si="22"/>
        <v>0</v>
      </c>
      <c r="J372" s="7">
        <f t="shared" si="23"/>
        <v>31.213872832369944</v>
      </c>
      <c r="K372" s="7">
        <f t="shared" si="24"/>
        <v>0</v>
      </c>
    </row>
    <row r="373" spans="1:11" x14ac:dyDescent="0.35">
      <c r="A373">
        <v>2016</v>
      </c>
      <c r="B373">
        <v>3170800</v>
      </c>
      <c r="C373" t="str">
        <f>VLOOKUP(B373,SAEB!$A:$B,2,0)</f>
        <v>Várzea da Palma</v>
      </c>
      <c r="D373">
        <v>1488</v>
      </c>
      <c r="E373">
        <v>0</v>
      </c>
      <c r="F373">
        <v>207</v>
      </c>
      <c r="G373">
        <v>157</v>
      </c>
      <c r="H373" s="7">
        <f t="shared" si="21"/>
        <v>80.345572354211654</v>
      </c>
      <c r="I373" s="7">
        <f t="shared" si="22"/>
        <v>0</v>
      </c>
      <c r="J373" s="7">
        <f t="shared" si="23"/>
        <v>11.177105831533478</v>
      </c>
      <c r="K373" s="7">
        <f t="shared" si="24"/>
        <v>8.477321814254859</v>
      </c>
    </row>
    <row r="374" spans="1:11" x14ac:dyDescent="0.35">
      <c r="A374">
        <v>2016</v>
      </c>
      <c r="B374">
        <v>3171071</v>
      </c>
      <c r="C374" t="str">
        <f>VLOOKUP(B374,SAEB!$A:$B,2,0)</f>
        <v>Veredinha</v>
      </c>
      <c r="D374">
        <v>349</v>
      </c>
      <c r="E374">
        <v>0</v>
      </c>
      <c r="F374">
        <v>28</v>
      </c>
      <c r="G374">
        <v>0</v>
      </c>
      <c r="H374" s="7">
        <f t="shared" si="21"/>
        <v>92.57294429708223</v>
      </c>
      <c r="I374" s="7">
        <f t="shared" si="22"/>
        <v>0</v>
      </c>
      <c r="J374" s="7">
        <f t="shared" si="23"/>
        <v>7.4270557029177713</v>
      </c>
      <c r="K374" s="7">
        <f t="shared" si="24"/>
        <v>0</v>
      </c>
    </row>
    <row r="375" spans="1:11" x14ac:dyDescent="0.35">
      <c r="A375">
        <v>2016</v>
      </c>
      <c r="B375">
        <v>3171600</v>
      </c>
      <c r="C375" t="str">
        <f>VLOOKUP(B375,SAEB!$A:$B,2,0)</f>
        <v>Virgem da Lapa</v>
      </c>
      <c r="D375">
        <v>366</v>
      </c>
      <c r="E375">
        <v>0</v>
      </c>
      <c r="F375">
        <v>128</v>
      </c>
      <c r="G375">
        <v>0</v>
      </c>
      <c r="H375" s="7">
        <f t="shared" si="21"/>
        <v>74.089068825910928</v>
      </c>
      <c r="I375" s="7">
        <f t="shared" si="22"/>
        <v>0</v>
      </c>
      <c r="J375" s="7">
        <f t="shared" si="23"/>
        <v>25.910931174089068</v>
      </c>
      <c r="K375" s="7">
        <f t="shared" si="24"/>
        <v>0</v>
      </c>
    </row>
    <row r="376" spans="1:11" x14ac:dyDescent="0.35">
      <c r="A376">
        <v>2016</v>
      </c>
      <c r="B376">
        <v>3171808</v>
      </c>
      <c r="C376" t="str">
        <f>VLOOKUP(B376,SAEB!$A:$B,2,0)</f>
        <v>Virginópolis</v>
      </c>
      <c r="D376">
        <v>416</v>
      </c>
      <c r="E376">
        <v>0</v>
      </c>
      <c r="F376">
        <v>254</v>
      </c>
      <c r="G376">
        <v>0</v>
      </c>
      <c r="H376" s="7">
        <f t="shared" si="21"/>
        <v>62.089552238805965</v>
      </c>
      <c r="I376" s="7">
        <f t="shared" si="22"/>
        <v>0</v>
      </c>
      <c r="J376" s="7">
        <f t="shared" si="23"/>
        <v>37.910447761194028</v>
      </c>
      <c r="K376" s="7">
        <f t="shared" si="24"/>
        <v>0</v>
      </c>
    </row>
    <row r="377" spans="1:11" x14ac:dyDescent="0.35">
      <c r="A377">
        <v>2016</v>
      </c>
      <c r="B377">
        <v>3171907</v>
      </c>
      <c r="C377" t="str">
        <f>VLOOKUP(B377,SAEB!$A:$B,2,0)</f>
        <v>Virgolândia</v>
      </c>
      <c r="D377">
        <v>349</v>
      </c>
      <c r="E377">
        <v>0</v>
      </c>
      <c r="F377">
        <v>0</v>
      </c>
      <c r="G377">
        <v>0</v>
      </c>
      <c r="H377" s="7">
        <f t="shared" si="21"/>
        <v>100</v>
      </c>
      <c r="I377" s="7">
        <f t="shared" si="22"/>
        <v>0</v>
      </c>
      <c r="J377" s="7">
        <f t="shared" si="23"/>
        <v>0</v>
      </c>
      <c r="K377" s="7">
        <f t="shared" si="24"/>
        <v>0</v>
      </c>
    </row>
    <row r="378" spans="1:11" x14ac:dyDescent="0.35">
      <c r="A378">
        <v>2017</v>
      </c>
      <c r="B378">
        <v>3101003</v>
      </c>
      <c r="C378" t="str">
        <f>VLOOKUP(B378,SAEB!$A:$B,2,0)</f>
        <v>Águas Vermelhas</v>
      </c>
      <c r="D378">
        <v>343</v>
      </c>
      <c r="E378">
        <v>0</v>
      </c>
      <c r="F378">
        <v>67</v>
      </c>
      <c r="G378">
        <v>0</v>
      </c>
      <c r="H378" s="7">
        <f t="shared" si="21"/>
        <v>83.658536585365852</v>
      </c>
      <c r="I378" s="7">
        <f t="shared" si="22"/>
        <v>0</v>
      </c>
      <c r="J378" s="7">
        <f t="shared" si="23"/>
        <v>16.341463414634148</v>
      </c>
      <c r="K378" s="7">
        <f t="shared" si="24"/>
        <v>0</v>
      </c>
    </row>
    <row r="379" spans="1:11" x14ac:dyDescent="0.35">
      <c r="A379">
        <v>2017</v>
      </c>
      <c r="B379">
        <v>3101102</v>
      </c>
      <c r="C379" t="str">
        <f>VLOOKUP(B379,SAEB!$A:$B,2,0)</f>
        <v>Aimorés</v>
      </c>
      <c r="D379">
        <v>664</v>
      </c>
      <c r="E379">
        <v>544</v>
      </c>
      <c r="F379">
        <v>67</v>
      </c>
      <c r="G379">
        <v>0</v>
      </c>
      <c r="H379" s="7">
        <f t="shared" si="21"/>
        <v>52.078431372549019</v>
      </c>
      <c r="I379" s="7">
        <f t="shared" si="22"/>
        <v>42.666666666666671</v>
      </c>
      <c r="J379" s="7">
        <f t="shared" si="23"/>
        <v>5.2549019607843137</v>
      </c>
      <c r="K379" s="7">
        <f t="shared" si="24"/>
        <v>0</v>
      </c>
    </row>
    <row r="380" spans="1:11" x14ac:dyDescent="0.35">
      <c r="A380">
        <v>2017</v>
      </c>
      <c r="B380">
        <v>3101706</v>
      </c>
      <c r="C380" t="str">
        <f>VLOOKUP(B380,SAEB!$A:$B,2,0)</f>
        <v>Almenara</v>
      </c>
      <c r="D380">
        <v>2445</v>
      </c>
      <c r="E380">
        <v>554</v>
      </c>
      <c r="F380">
        <v>507</v>
      </c>
      <c r="G380">
        <v>278</v>
      </c>
      <c r="H380" s="7">
        <f t="shared" si="21"/>
        <v>64.614164904862577</v>
      </c>
      <c r="I380" s="7">
        <f t="shared" si="22"/>
        <v>14.640591966173361</v>
      </c>
      <c r="J380" s="7">
        <f t="shared" si="23"/>
        <v>13.398520084566595</v>
      </c>
      <c r="K380" s="7">
        <f t="shared" si="24"/>
        <v>7.3467230443974625</v>
      </c>
    </row>
    <row r="381" spans="1:11" x14ac:dyDescent="0.35">
      <c r="A381">
        <v>2017</v>
      </c>
      <c r="B381">
        <v>3101805</v>
      </c>
      <c r="C381" t="str">
        <f>VLOOKUP(B381,SAEB!$A:$B,2,0)</f>
        <v>Alpercata</v>
      </c>
      <c r="D381">
        <v>413</v>
      </c>
      <c r="E381">
        <v>215</v>
      </c>
      <c r="F381">
        <v>84</v>
      </c>
      <c r="G381">
        <v>0</v>
      </c>
      <c r="H381" s="7">
        <f t="shared" si="21"/>
        <v>58.00561797752809</v>
      </c>
      <c r="I381" s="7">
        <f t="shared" si="22"/>
        <v>30.196629213483146</v>
      </c>
      <c r="J381" s="7">
        <f t="shared" si="23"/>
        <v>11.797752808988763</v>
      </c>
      <c r="K381" s="7">
        <f t="shared" si="24"/>
        <v>0</v>
      </c>
    </row>
    <row r="382" spans="1:11" x14ac:dyDescent="0.35">
      <c r="A382">
        <v>2017</v>
      </c>
      <c r="B382">
        <v>3102852</v>
      </c>
      <c r="C382" t="str">
        <f>VLOOKUP(B382,SAEB!$A:$B,2,0)</f>
        <v>Angelândia</v>
      </c>
      <c r="D382">
        <v>0</v>
      </c>
      <c r="E382">
        <v>0</v>
      </c>
      <c r="F382">
        <v>463</v>
      </c>
      <c r="G382">
        <v>0</v>
      </c>
      <c r="H382" s="7">
        <f t="shared" si="21"/>
        <v>0</v>
      </c>
      <c r="I382" s="7">
        <f t="shared" si="22"/>
        <v>0</v>
      </c>
      <c r="J382" s="7">
        <f t="shared" si="23"/>
        <v>100</v>
      </c>
      <c r="K382" s="7">
        <f t="shared" si="24"/>
        <v>0</v>
      </c>
    </row>
    <row r="383" spans="1:11" x14ac:dyDescent="0.35">
      <c r="A383">
        <v>2017</v>
      </c>
      <c r="B383">
        <v>3103405</v>
      </c>
      <c r="C383" t="str">
        <f>VLOOKUP(B383,SAEB!$A:$B,2,0)</f>
        <v>Araçuaí</v>
      </c>
      <c r="D383">
        <v>423</v>
      </c>
      <c r="E383">
        <v>0</v>
      </c>
      <c r="F383">
        <v>452</v>
      </c>
      <c r="G383">
        <v>319</v>
      </c>
      <c r="H383" s="7">
        <f t="shared" si="21"/>
        <v>35.427135678391956</v>
      </c>
      <c r="I383" s="7">
        <f t="shared" si="22"/>
        <v>0</v>
      </c>
      <c r="J383" s="7">
        <f t="shared" si="23"/>
        <v>37.855946398659967</v>
      </c>
      <c r="K383" s="7">
        <f t="shared" si="24"/>
        <v>26.716917922948074</v>
      </c>
    </row>
    <row r="384" spans="1:11" x14ac:dyDescent="0.35">
      <c r="A384">
        <v>2017</v>
      </c>
      <c r="B384">
        <v>3104452</v>
      </c>
      <c r="C384" t="str">
        <f>VLOOKUP(B384,SAEB!$A:$B,2,0)</f>
        <v>Aricanduva</v>
      </c>
      <c r="D384">
        <v>237</v>
      </c>
      <c r="E384">
        <v>0</v>
      </c>
      <c r="F384">
        <v>46</v>
      </c>
      <c r="G384">
        <v>0</v>
      </c>
      <c r="H384" s="7">
        <f t="shared" si="21"/>
        <v>83.745583038869256</v>
      </c>
      <c r="I384" s="7">
        <f t="shared" si="22"/>
        <v>0</v>
      </c>
      <c r="J384" s="7">
        <f t="shared" si="23"/>
        <v>16.25441696113074</v>
      </c>
      <c r="K384" s="7">
        <f t="shared" si="24"/>
        <v>0</v>
      </c>
    </row>
    <row r="385" spans="1:11" x14ac:dyDescent="0.35">
      <c r="A385">
        <v>2017</v>
      </c>
      <c r="B385">
        <v>3104502</v>
      </c>
      <c r="C385" t="str">
        <f>VLOOKUP(B385,SAEB!$A:$B,2,0)</f>
        <v>Arinos</v>
      </c>
      <c r="D385">
        <v>397</v>
      </c>
      <c r="E385">
        <v>0</v>
      </c>
      <c r="F385">
        <v>368</v>
      </c>
      <c r="G385">
        <v>255</v>
      </c>
      <c r="H385" s="7">
        <f t="shared" si="21"/>
        <v>38.921568627450981</v>
      </c>
      <c r="I385" s="7">
        <f t="shared" si="22"/>
        <v>0</v>
      </c>
      <c r="J385" s="7">
        <f t="shared" si="23"/>
        <v>36.078431372549019</v>
      </c>
      <c r="K385" s="7">
        <f t="shared" si="24"/>
        <v>25</v>
      </c>
    </row>
    <row r="386" spans="1:11" x14ac:dyDescent="0.35">
      <c r="A386">
        <v>2017</v>
      </c>
      <c r="B386">
        <v>3104700</v>
      </c>
      <c r="C386" t="str">
        <f>VLOOKUP(B386,SAEB!$A:$B,2,0)</f>
        <v>Ataléia</v>
      </c>
      <c r="D386">
        <v>208</v>
      </c>
      <c r="E386">
        <v>50</v>
      </c>
      <c r="F386">
        <v>234</v>
      </c>
      <c r="G386">
        <v>0</v>
      </c>
      <c r="H386" s="7">
        <f t="shared" si="21"/>
        <v>42.276422764227647</v>
      </c>
      <c r="I386" s="7">
        <f t="shared" si="22"/>
        <v>10.16260162601626</v>
      </c>
      <c r="J386" s="7">
        <f t="shared" si="23"/>
        <v>47.560975609756099</v>
      </c>
      <c r="K386" s="7">
        <f t="shared" si="24"/>
        <v>0</v>
      </c>
    </row>
    <row r="387" spans="1:11" x14ac:dyDescent="0.35">
      <c r="A387">
        <v>2017</v>
      </c>
      <c r="B387">
        <v>3105202</v>
      </c>
      <c r="C387" t="str">
        <f>VLOOKUP(B387,SAEB!$A:$B,2,0)</f>
        <v>Bandeira</v>
      </c>
      <c r="D387">
        <v>225</v>
      </c>
      <c r="E387">
        <v>0</v>
      </c>
      <c r="F387">
        <v>83</v>
      </c>
      <c r="G387">
        <v>66</v>
      </c>
      <c r="H387" s="7">
        <f t="shared" ref="H387:H450" si="25">D387/SUM($D387:$G387)*100</f>
        <v>60.160427807486627</v>
      </c>
      <c r="I387" s="7">
        <f t="shared" ref="I387:I450" si="26">E387/SUM($D387:$G387)*100</f>
        <v>0</v>
      </c>
      <c r="J387" s="7">
        <f t="shared" ref="J387:J450" si="27">F387/SUM($D387:$G387)*100</f>
        <v>22.192513368983956</v>
      </c>
      <c r="K387" s="7">
        <f t="shared" ref="K387:K450" si="28">G387/SUM($D387:$G387)*100</f>
        <v>17.647058823529413</v>
      </c>
    </row>
    <row r="388" spans="1:11" x14ac:dyDescent="0.35">
      <c r="A388">
        <v>2017</v>
      </c>
      <c r="B388">
        <v>3106655</v>
      </c>
      <c r="C388" t="str">
        <f>VLOOKUP(B388,SAEB!$A:$B,2,0)</f>
        <v>Berizal</v>
      </c>
      <c r="D388">
        <v>267</v>
      </c>
      <c r="E388">
        <v>0</v>
      </c>
      <c r="F388">
        <v>28</v>
      </c>
      <c r="G388">
        <v>0</v>
      </c>
      <c r="H388" s="7">
        <f t="shared" si="25"/>
        <v>90.508474576271198</v>
      </c>
      <c r="I388" s="7">
        <f t="shared" si="26"/>
        <v>0</v>
      </c>
      <c r="J388" s="7">
        <f t="shared" si="27"/>
        <v>9.4915254237288131</v>
      </c>
      <c r="K388" s="7">
        <f t="shared" si="28"/>
        <v>0</v>
      </c>
    </row>
    <row r="389" spans="1:11" x14ac:dyDescent="0.35">
      <c r="A389">
        <v>2017</v>
      </c>
      <c r="B389">
        <v>3107307</v>
      </c>
      <c r="C389" t="str">
        <f>VLOOKUP(B389,SAEB!$A:$B,2,0)</f>
        <v>Bocaiúva</v>
      </c>
      <c r="D389">
        <v>478</v>
      </c>
      <c r="E389">
        <v>364</v>
      </c>
      <c r="F389">
        <v>389</v>
      </c>
      <c r="G389">
        <v>190</v>
      </c>
      <c r="H389" s="7">
        <f t="shared" si="25"/>
        <v>33.638282899366644</v>
      </c>
      <c r="I389" s="7">
        <f t="shared" si="26"/>
        <v>25.615763546798032</v>
      </c>
      <c r="J389" s="7">
        <f t="shared" si="27"/>
        <v>27.375087966220974</v>
      </c>
      <c r="K389" s="7">
        <f t="shared" si="28"/>
        <v>13.370865587614356</v>
      </c>
    </row>
    <row r="390" spans="1:11" x14ac:dyDescent="0.35">
      <c r="A390">
        <v>2017</v>
      </c>
      <c r="B390">
        <v>3108206</v>
      </c>
      <c r="C390" t="str">
        <f>VLOOKUP(B390,SAEB!$A:$B,2,0)</f>
        <v>Bonfinópolis de Minas</v>
      </c>
      <c r="D390">
        <v>319</v>
      </c>
      <c r="E390">
        <v>182</v>
      </c>
      <c r="F390">
        <v>47</v>
      </c>
      <c r="G390">
        <v>0</v>
      </c>
      <c r="H390" s="7">
        <f t="shared" si="25"/>
        <v>58.211678832116789</v>
      </c>
      <c r="I390" s="7">
        <f t="shared" si="26"/>
        <v>33.211678832116789</v>
      </c>
      <c r="J390" s="7">
        <f t="shared" si="27"/>
        <v>8.5766423357664241</v>
      </c>
      <c r="K390" s="7">
        <f t="shared" si="28"/>
        <v>0</v>
      </c>
    </row>
    <row r="391" spans="1:11" x14ac:dyDescent="0.35">
      <c r="A391">
        <v>2017</v>
      </c>
      <c r="B391">
        <v>3108602</v>
      </c>
      <c r="C391" t="str">
        <f>VLOOKUP(B391,SAEB!$A:$B,2,0)</f>
        <v>Brasília de Minas</v>
      </c>
      <c r="D391">
        <v>0</v>
      </c>
      <c r="E391">
        <v>172</v>
      </c>
      <c r="F391">
        <v>408</v>
      </c>
      <c r="G391">
        <v>209</v>
      </c>
      <c r="H391" s="7">
        <f t="shared" si="25"/>
        <v>0</v>
      </c>
      <c r="I391" s="7">
        <f t="shared" si="26"/>
        <v>21.799746514575414</v>
      </c>
      <c r="J391" s="7">
        <f t="shared" si="27"/>
        <v>51.71102661596958</v>
      </c>
      <c r="K391" s="7">
        <f t="shared" si="28"/>
        <v>26.489226869455006</v>
      </c>
    </row>
    <row r="392" spans="1:11" x14ac:dyDescent="0.35">
      <c r="A392">
        <v>2017</v>
      </c>
      <c r="B392">
        <v>3109204</v>
      </c>
      <c r="C392" t="str">
        <f>VLOOKUP(B392,SAEB!$A:$B,2,0)</f>
        <v>Buenópolis</v>
      </c>
      <c r="D392">
        <v>523</v>
      </c>
      <c r="E392">
        <v>0</v>
      </c>
      <c r="F392">
        <v>57</v>
      </c>
      <c r="G392">
        <v>0</v>
      </c>
      <c r="H392" s="7">
        <f t="shared" si="25"/>
        <v>90.172413793103445</v>
      </c>
      <c r="I392" s="7">
        <f t="shared" si="26"/>
        <v>0</v>
      </c>
      <c r="J392" s="7">
        <f t="shared" si="27"/>
        <v>9.8275862068965516</v>
      </c>
      <c r="K392" s="7">
        <f t="shared" si="28"/>
        <v>0</v>
      </c>
    </row>
    <row r="393" spans="1:11" x14ac:dyDescent="0.35">
      <c r="A393">
        <v>2017</v>
      </c>
      <c r="B393">
        <v>3109402</v>
      </c>
      <c r="C393" t="str">
        <f>VLOOKUP(B393,SAEB!$A:$B,2,0)</f>
        <v>Buritizeiro</v>
      </c>
      <c r="D393">
        <v>930</v>
      </c>
      <c r="E393">
        <v>0</v>
      </c>
      <c r="F393">
        <v>182</v>
      </c>
      <c r="G393">
        <v>0</v>
      </c>
      <c r="H393" s="7">
        <f t="shared" si="25"/>
        <v>83.633093525179859</v>
      </c>
      <c r="I393" s="7">
        <f t="shared" si="26"/>
        <v>0</v>
      </c>
      <c r="J393" s="7">
        <f t="shared" si="27"/>
        <v>16.366906474820144</v>
      </c>
      <c r="K393" s="7">
        <f t="shared" si="28"/>
        <v>0</v>
      </c>
    </row>
    <row r="394" spans="1:11" x14ac:dyDescent="0.35">
      <c r="A394">
        <v>2017</v>
      </c>
      <c r="B394">
        <v>3102704</v>
      </c>
      <c r="C394" t="str">
        <f>VLOOKUP(B394,SAEB!$A:$B,2,0)</f>
        <v>Cachoeira de Pajeú</v>
      </c>
      <c r="D394">
        <v>249</v>
      </c>
      <c r="E394">
        <v>0</v>
      </c>
      <c r="F394">
        <v>422</v>
      </c>
      <c r="G394">
        <v>122</v>
      </c>
      <c r="H394" s="7">
        <f t="shared" si="25"/>
        <v>31.399747793190414</v>
      </c>
      <c r="I394" s="7">
        <f t="shared" si="26"/>
        <v>0</v>
      </c>
      <c r="J394" s="7">
        <f t="shared" si="27"/>
        <v>53.215636822194199</v>
      </c>
      <c r="K394" s="7">
        <f t="shared" si="28"/>
        <v>15.384615384615385</v>
      </c>
    </row>
    <row r="395" spans="1:11" x14ac:dyDescent="0.35">
      <c r="A395">
        <v>2017</v>
      </c>
      <c r="B395">
        <v>3110806</v>
      </c>
      <c r="C395" t="str">
        <f>VLOOKUP(B395,SAEB!$A:$B,2,0)</f>
        <v>Campanário</v>
      </c>
      <c r="D395">
        <v>252</v>
      </c>
      <c r="E395">
        <v>0</v>
      </c>
      <c r="F395">
        <v>0</v>
      </c>
      <c r="G395">
        <v>0</v>
      </c>
      <c r="H395" s="7">
        <f t="shared" si="25"/>
        <v>100</v>
      </c>
      <c r="I395" s="7">
        <f t="shared" si="26"/>
        <v>0</v>
      </c>
      <c r="J395" s="7">
        <f t="shared" si="27"/>
        <v>0</v>
      </c>
      <c r="K395" s="7">
        <f t="shared" si="28"/>
        <v>0</v>
      </c>
    </row>
    <row r="396" spans="1:11" x14ac:dyDescent="0.35">
      <c r="A396">
        <v>2017</v>
      </c>
      <c r="B396">
        <v>3111150</v>
      </c>
      <c r="C396" t="str">
        <f>VLOOKUP(B396,SAEB!$A:$B,2,0)</f>
        <v>Campo Azul</v>
      </c>
      <c r="D396">
        <v>195</v>
      </c>
      <c r="E396">
        <v>0</v>
      </c>
      <c r="F396">
        <v>122</v>
      </c>
      <c r="G396">
        <v>55</v>
      </c>
      <c r="H396" s="7">
        <f t="shared" si="25"/>
        <v>52.419354838709673</v>
      </c>
      <c r="I396" s="7">
        <f t="shared" si="26"/>
        <v>0</v>
      </c>
      <c r="J396" s="7">
        <f t="shared" si="27"/>
        <v>32.795698924731184</v>
      </c>
      <c r="K396" s="7">
        <f t="shared" si="28"/>
        <v>14.78494623655914</v>
      </c>
    </row>
    <row r="397" spans="1:11" x14ac:dyDescent="0.35">
      <c r="A397">
        <v>2017</v>
      </c>
      <c r="B397">
        <v>3112059</v>
      </c>
      <c r="C397" t="str">
        <f>VLOOKUP(B397,SAEB!$A:$B,2,0)</f>
        <v>Cantagalo</v>
      </c>
      <c r="D397">
        <v>269</v>
      </c>
      <c r="E397">
        <v>0</v>
      </c>
      <c r="F397">
        <v>76</v>
      </c>
      <c r="G397">
        <v>0</v>
      </c>
      <c r="H397" s="7">
        <f t="shared" si="25"/>
        <v>77.971014492753625</v>
      </c>
      <c r="I397" s="7">
        <f t="shared" si="26"/>
        <v>0</v>
      </c>
      <c r="J397" s="7">
        <f t="shared" si="27"/>
        <v>22.028985507246375</v>
      </c>
      <c r="K397" s="7">
        <f t="shared" si="28"/>
        <v>0</v>
      </c>
    </row>
    <row r="398" spans="1:11" x14ac:dyDescent="0.35">
      <c r="A398">
        <v>2017</v>
      </c>
      <c r="B398">
        <v>3112307</v>
      </c>
      <c r="C398" t="str">
        <f>VLOOKUP(B398,SAEB!$A:$B,2,0)</f>
        <v>Capelinha</v>
      </c>
      <c r="D398">
        <v>0</v>
      </c>
      <c r="E398">
        <v>0</v>
      </c>
      <c r="F398">
        <v>1043</v>
      </c>
      <c r="G398">
        <v>0</v>
      </c>
      <c r="H398" s="7">
        <f t="shared" si="25"/>
        <v>0</v>
      </c>
      <c r="I398" s="7">
        <f t="shared" si="26"/>
        <v>0</v>
      </c>
      <c r="J398" s="7">
        <f t="shared" si="27"/>
        <v>100</v>
      </c>
      <c r="K398" s="7">
        <f t="shared" si="28"/>
        <v>0</v>
      </c>
    </row>
    <row r="399" spans="1:11" x14ac:dyDescent="0.35">
      <c r="A399">
        <v>2017</v>
      </c>
      <c r="B399">
        <v>3112703</v>
      </c>
      <c r="C399" t="str">
        <f>VLOOKUP(B399,SAEB!$A:$B,2,0)</f>
        <v>Capitão Enéas</v>
      </c>
      <c r="D399">
        <v>434</v>
      </c>
      <c r="E399">
        <v>275</v>
      </c>
      <c r="F399">
        <v>99</v>
      </c>
      <c r="G399">
        <v>45</v>
      </c>
      <c r="H399" s="7">
        <f t="shared" si="25"/>
        <v>50.87924970691676</v>
      </c>
      <c r="I399" s="7">
        <f t="shared" si="26"/>
        <v>32.239155920281362</v>
      </c>
      <c r="J399" s="7">
        <f t="shared" si="27"/>
        <v>11.606096131301289</v>
      </c>
      <c r="K399" s="7">
        <f t="shared" si="28"/>
        <v>5.2754982415005864</v>
      </c>
    </row>
    <row r="400" spans="1:11" x14ac:dyDescent="0.35">
      <c r="A400">
        <v>2017</v>
      </c>
      <c r="B400">
        <v>3113008</v>
      </c>
      <c r="C400" t="str">
        <f>VLOOKUP(B400,SAEB!$A:$B,2,0)</f>
        <v>Caraí</v>
      </c>
      <c r="D400">
        <v>80</v>
      </c>
      <c r="E400">
        <v>176</v>
      </c>
      <c r="F400">
        <v>875</v>
      </c>
      <c r="G400">
        <v>398</v>
      </c>
      <c r="H400" s="7">
        <f t="shared" si="25"/>
        <v>5.2321778940483972</v>
      </c>
      <c r="I400" s="7">
        <f t="shared" si="26"/>
        <v>11.510791366906476</v>
      </c>
      <c r="J400" s="7">
        <f t="shared" si="27"/>
        <v>57.226945716154354</v>
      </c>
      <c r="K400" s="7">
        <f t="shared" si="28"/>
        <v>26.030085022890781</v>
      </c>
    </row>
    <row r="401" spans="1:11" x14ac:dyDescent="0.35">
      <c r="A401">
        <v>2017</v>
      </c>
      <c r="B401">
        <v>3113503</v>
      </c>
      <c r="C401" t="str">
        <f>VLOOKUP(B401,SAEB!$A:$B,2,0)</f>
        <v>Carbonita</v>
      </c>
      <c r="D401">
        <v>377</v>
      </c>
      <c r="E401">
        <v>0</v>
      </c>
      <c r="F401">
        <v>98</v>
      </c>
      <c r="G401">
        <v>115</v>
      </c>
      <c r="H401" s="7">
        <f t="shared" si="25"/>
        <v>63.898305084745765</v>
      </c>
      <c r="I401" s="7">
        <f t="shared" si="26"/>
        <v>0</v>
      </c>
      <c r="J401" s="7">
        <f t="shared" si="27"/>
        <v>16.610169491525422</v>
      </c>
      <c r="K401" s="7">
        <f t="shared" si="28"/>
        <v>19.491525423728813</v>
      </c>
    </row>
    <row r="402" spans="1:11" x14ac:dyDescent="0.35">
      <c r="A402">
        <v>2017</v>
      </c>
      <c r="B402">
        <v>3113701</v>
      </c>
      <c r="C402" t="str">
        <f>VLOOKUP(B402,SAEB!$A:$B,2,0)</f>
        <v>Carlos Chagas</v>
      </c>
      <c r="D402">
        <v>966</v>
      </c>
      <c r="E402">
        <v>210</v>
      </c>
      <c r="F402">
        <v>331</v>
      </c>
      <c r="G402">
        <v>161</v>
      </c>
      <c r="H402" s="7">
        <f t="shared" si="25"/>
        <v>57.913669064748198</v>
      </c>
      <c r="I402" s="7">
        <f t="shared" si="26"/>
        <v>12.589928057553957</v>
      </c>
      <c r="J402" s="7">
        <f t="shared" si="27"/>
        <v>19.844124700239806</v>
      </c>
      <c r="K402" s="7">
        <f t="shared" si="28"/>
        <v>9.6522781774580331</v>
      </c>
    </row>
    <row r="403" spans="1:11" x14ac:dyDescent="0.35">
      <c r="A403">
        <v>2017</v>
      </c>
      <c r="B403">
        <v>3113800</v>
      </c>
      <c r="C403" t="str">
        <f>VLOOKUP(B403,SAEB!$A:$B,2,0)</f>
        <v>Carmésia</v>
      </c>
      <c r="D403">
        <v>164</v>
      </c>
      <c r="E403">
        <v>146</v>
      </c>
      <c r="F403">
        <v>0</v>
      </c>
      <c r="G403">
        <v>0</v>
      </c>
      <c r="H403" s="7">
        <f t="shared" si="25"/>
        <v>52.903225806451616</v>
      </c>
      <c r="I403" s="7">
        <f t="shared" si="26"/>
        <v>47.096774193548384</v>
      </c>
      <c r="J403" s="7">
        <f t="shared" si="27"/>
        <v>0</v>
      </c>
      <c r="K403" s="7">
        <f t="shared" si="28"/>
        <v>0</v>
      </c>
    </row>
    <row r="404" spans="1:11" x14ac:dyDescent="0.35">
      <c r="A404">
        <v>2017</v>
      </c>
      <c r="B404">
        <v>3115458</v>
      </c>
      <c r="C404" t="str">
        <f>VLOOKUP(B404,SAEB!$A:$B,2,0)</f>
        <v>Catuji</v>
      </c>
      <c r="D404">
        <v>325</v>
      </c>
      <c r="E404">
        <v>0</v>
      </c>
      <c r="F404">
        <v>316</v>
      </c>
      <c r="G404">
        <v>0</v>
      </c>
      <c r="H404" s="7">
        <f t="shared" si="25"/>
        <v>50.702028081123238</v>
      </c>
      <c r="I404" s="7">
        <f t="shared" si="26"/>
        <v>0</v>
      </c>
      <c r="J404" s="7">
        <f t="shared" si="27"/>
        <v>49.297971918876755</v>
      </c>
      <c r="K404" s="7">
        <f t="shared" si="28"/>
        <v>0</v>
      </c>
    </row>
    <row r="405" spans="1:11" x14ac:dyDescent="0.35">
      <c r="A405">
        <v>2017</v>
      </c>
      <c r="B405">
        <v>3115474</v>
      </c>
      <c r="C405" t="str">
        <f>VLOOKUP(B405,SAEB!$A:$B,2,0)</f>
        <v>Catuti</v>
      </c>
      <c r="D405">
        <v>174</v>
      </c>
      <c r="E405">
        <v>0</v>
      </c>
      <c r="F405">
        <v>128</v>
      </c>
      <c r="G405">
        <v>77</v>
      </c>
      <c r="H405" s="7">
        <f t="shared" si="25"/>
        <v>45.910290237467017</v>
      </c>
      <c r="I405" s="7">
        <f t="shared" si="26"/>
        <v>0</v>
      </c>
      <c r="J405" s="7">
        <f t="shared" si="27"/>
        <v>33.773087071240106</v>
      </c>
      <c r="K405" s="7">
        <f t="shared" si="28"/>
        <v>20.316622691292878</v>
      </c>
    </row>
    <row r="406" spans="1:11" x14ac:dyDescent="0.35">
      <c r="A406">
        <v>2017</v>
      </c>
      <c r="B406">
        <v>3116100</v>
      </c>
      <c r="C406" t="str">
        <f>VLOOKUP(B406,SAEB!$A:$B,2,0)</f>
        <v>Chapada do Norte</v>
      </c>
      <c r="D406">
        <v>206</v>
      </c>
      <c r="E406">
        <v>0</v>
      </c>
      <c r="F406">
        <v>313</v>
      </c>
      <c r="G406">
        <v>0</v>
      </c>
      <c r="H406" s="7">
        <f t="shared" si="25"/>
        <v>39.691714836223504</v>
      </c>
      <c r="I406" s="7">
        <f t="shared" si="26"/>
        <v>0</v>
      </c>
      <c r="J406" s="7">
        <f t="shared" si="27"/>
        <v>60.308285163776496</v>
      </c>
      <c r="K406" s="7">
        <f t="shared" si="28"/>
        <v>0</v>
      </c>
    </row>
    <row r="407" spans="1:11" x14ac:dyDescent="0.35">
      <c r="A407">
        <v>2017</v>
      </c>
      <c r="B407">
        <v>3116159</v>
      </c>
      <c r="C407" t="str">
        <f>VLOOKUP(B407,SAEB!$A:$B,2,0)</f>
        <v>Chapada Gaúcha</v>
      </c>
      <c r="D407">
        <v>434</v>
      </c>
      <c r="E407">
        <v>111</v>
      </c>
      <c r="F407">
        <v>363</v>
      </c>
      <c r="G407">
        <v>273</v>
      </c>
      <c r="H407" s="7">
        <f t="shared" si="25"/>
        <v>36.748518204911093</v>
      </c>
      <c r="I407" s="7">
        <f t="shared" si="26"/>
        <v>9.3988145639288749</v>
      </c>
      <c r="J407" s="7">
        <f t="shared" si="27"/>
        <v>30.736663844199828</v>
      </c>
      <c r="K407" s="7">
        <f t="shared" si="28"/>
        <v>23.116003386960205</v>
      </c>
    </row>
    <row r="408" spans="1:11" x14ac:dyDescent="0.35">
      <c r="A408">
        <v>2017</v>
      </c>
      <c r="B408">
        <v>3116506</v>
      </c>
      <c r="C408" t="str">
        <f>VLOOKUP(B408,SAEB!$A:$B,2,0)</f>
        <v>Claro dos Poções</v>
      </c>
      <c r="D408">
        <v>376</v>
      </c>
      <c r="E408">
        <v>0</v>
      </c>
      <c r="F408">
        <v>22</v>
      </c>
      <c r="G408">
        <v>16</v>
      </c>
      <c r="H408" s="7">
        <f t="shared" si="25"/>
        <v>90.821256038647348</v>
      </c>
      <c r="I408" s="7">
        <f t="shared" si="26"/>
        <v>0</v>
      </c>
      <c r="J408" s="7">
        <f t="shared" si="27"/>
        <v>5.3140096618357484</v>
      </c>
      <c r="K408" s="7">
        <f t="shared" si="28"/>
        <v>3.8647342995169081</v>
      </c>
    </row>
    <row r="409" spans="1:11" x14ac:dyDescent="0.35">
      <c r="A409">
        <v>2017</v>
      </c>
      <c r="B409">
        <v>3116803</v>
      </c>
      <c r="C409" t="str">
        <f>VLOOKUP(B409,SAEB!$A:$B,2,0)</f>
        <v>Coluna</v>
      </c>
      <c r="D409">
        <v>126</v>
      </c>
      <c r="E409">
        <v>0</v>
      </c>
      <c r="F409">
        <v>275</v>
      </c>
      <c r="G409">
        <v>0</v>
      </c>
      <c r="H409" s="7">
        <f t="shared" si="25"/>
        <v>31.421446384039903</v>
      </c>
      <c r="I409" s="7">
        <f t="shared" si="26"/>
        <v>0</v>
      </c>
      <c r="J409" s="7">
        <f t="shared" si="27"/>
        <v>68.578553615960104</v>
      </c>
      <c r="K409" s="7">
        <f t="shared" si="28"/>
        <v>0</v>
      </c>
    </row>
    <row r="410" spans="1:11" x14ac:dyDescent="0.35">
      <c r="A410">
        <v>2017</v>
      </c>
      <c r="B410">
        <v>3117009</v>
      </c>
      <c r="C410" t="str">
        <f>VLOOKUP(B410,SAEB!$A:$B,2,0)</f>
        <v>Comercinho</v>
      </c>
      <c r="D410">
        <v>287</v>
      </c>
      <c r="E410">
        <v>0</v>
      </c>
      <c r="F410">
        <v>190</v>
      </c>
      <c r="G410">
        <v>96</v>
      </c>
      <c r="H410" s="7">
        <f t="shared" si="25"/>
        <v>50.087260034904013</v>
      </c>
      <c r="I410" s="7">
        <f t="shared" si="26"/>
        <v>0</v>
      </c>
      <c r="J410" s="7">
        <f t="shared" si="27"/>
        <v>33.158813263525303</v>
      </c>
      <c r="K410" s="7">
        <f t="shared" si="28"/>
        <v>16.753926701570681</v>
      </c>
    </row>
    <row r="411" spans="1:11" x14ac:dyDescent="0.35">
      <c r="A411">
        <v>2017</v>
      </c>
      <c r="B411">
        <v>3118403</v>
      </c>
      <c r="C411" t="str">
        <f>VLOOKUP(B411,SAEB!$A:$B,2,0)</f>
        <v>Conselheiro Pena</v>
      </c>
      <c r="D411">
        <v>850</v>
      </c>
      <c r="E411">
        <v>91</v>
      </c>
      <c r="F411">
        <v>103</v>
      </c>
      <c r="G411">
        <v>58</v>
      </c>
      <c r="H411" s="7">
        <f t="shared" si="25"/>
        <v>77.132486388384763</v>
      </c>
      <c r="I411" s="7">
        <f t="shared" si="26"/>
        <v>8.2577132486388383</v>
      </c>
      <c r="J411" s="7">
        <f t="shared" si="27"/>
        <v>9.3466424682395655</v>
      </c>
      <c r="K411" s="7">
        <f t="shared" si="28"/>
        <v>5.2631578947368416</v>
      </c>
    </row>
    <row r="412" spans="1:11" x14ac:dyDescent="0.35">
      <c r="A412">
        <v>2017</v>
      </c>
      <c r="B412">
        <v>3119104</v>
      </c>
      <c r="C412" t="str">
        <f>VLOOKUP(B412,SAEB!$A:$B,2,0)</f>
        <v>Corinto</v>
      </c>
      <c r="D412">
        <v>1476</v>
      </c>
      <c r="E412">
        <v>432</v>
      </c>
      <c r="F412">
        <v>12</v>
      </c>
      <c r="G412">
        <v>0</v>
      </c>
      <c r="H412" s="7">
        <f t="shared" si="25"/>
        <v>76.875</v>
      </c>
      <c r="I412" s="7">
        <f t="shared" si="26"/>
        <v>22.5</v>
      </c>
      <c r="J412" s="7">
        <f t="shared" si="27"/>
        <v>0.625</v>
      </c>
      <c r="K412" s="7">
        <f t="shared" si="28"/>
        <v>0</v>
      </c>
    </row>
    <row r="413" spans="1:11" x14ac:dyDescent="0.35">
      <c r="A413">
        <v>2017</v>
      </c>
      <c r="B413">
        <v>3119203</v>
      </c>
      <c r="C413" t="str">
        <f>VLOOKUP(B413,SAEB!$A:$B,2,0)</f>
        <v>Coroaci</v>
      </c>
      <c r="D413">
        <v>429</v>
      </c>
      <c r="E413">
        <v>73</v>
      </c>
      <c r="F413">
        <v>226</v>
      </c>
      <c r="G413">
        <v>190</v>
      </c>
      <c r="H413" s="7">
        <f t="shared" si="25"/>
        <v>46.732026143790847</v>
      </c>
      <c r="I413" s="7">
        <f t="shared" si="26"/>
        <v>7.9520697167755987</v>
      </c>
      <c r="J413" s="7">
        <f t="shared" si="27"/>
        <v>24.618736383442265</v>
      </c>
      <c r="K413" s="7">
        <f t="shared" si="28"/>
        <v>20.697167755991288</v>
      </c>
    </row>
    <row r="414" spans="1:11" x14ac:dyDescent="0.35">
      <c r="A414">
        <v>2017</v>
      </c>
      <c r="B414">
        <v>3119500</v>
      </c>
      <c r="C414" t="str">
        <f>VLOOKUP(B414,SAEB!$A:$B,2,0)</f>
        <v>Coronel Murta</v>
      </c>
      <c r="D414">
        <v>432</v>
      </c>
      <c r="E414">
        <v>249</v>
      </c>
      <c r="F414">
        <v>46</v>
      </c>
      <c r="G414">
        <v>0</v>
      </c>
      <c r="H414" s="7">
        <f t="shared" si="25"/>
        <v>59.422283356258596</v>
      </c>
      <c r="I414" s="7">
        <f t="shared" si="26"/>
        <v>34.25034387895461</v>
      </c>
      <c r="J414" s="7">
        <f t="shared" si="27"/>
        <v>6.3273727647867952</v>
      </c>
      <c r="K414" s="7">
        <f t="shared" si="28"/>
        <v>0</v>
      </c>
    </row>
    <row r="415" spans="1:11" x14ac:dyDescent="0.35">
      <c r="A415">
        <v>2017</v>
      </c>
      <c r="B415">
        <v>3120151</v>
      </c>
      <c r="C415" t="str">
        <f>VLOOKUP(B415,SAEB!$A:$B,2,0)</f>
        <v>Crisólita</v>
      </c>
      <c r="D415">
        <v>428</v>
      </c>
      <c r="E415">
        <v>176</v>
      </c>
      <c r="F415">
        <v>10</v>
      </c>
      <c r="G415">
        <v>0</v>
      </c>
      <c r="H415" s="7">
        <f t="shared" si="25"/>
        <v>69.706840390879478</v>
      </c>
      <c r="I415" s="7">
        <f t="shared" si="26"/>
        <v>28.664495114006517</v>
      </c>
      <c r="J415" s="7">
        <f t="shared" si="27"/>
        <v>1.6286644951140066</v>
      </c>
      <c r="K415" s="7">
        <f t="shared" si="28"/>
        <v>0</v>
      </c>
    </row>
    <row r="416" spans="1:11" x14ac:dyDescent="0.35">
      <c r="A416">
        <v>2017</v>
      </c>
      <c r="B416">
        <v>3120870</v>
      </c>
      <c r="C416" t="str">
        <f>VLOOKUP(B416,SAEB!$A:$B,2,0)</f>
        <v>Curral de Dentro</v>
      </c>
      <c r="D416">
        <v>482</v>
      </c>
      <c r="E416">
        <v>0</v>
      </c>
      <c r="F416">
        <v>181</v>
      </c>
      <c r="G416">
        <v>0</v>
      </c>
      <c r="H416" s="7">
        <f t="shared" si="25"/>
        <v>72.699849170437403</v>
      </c>
      <c r="I416" s="7">
        <f t="shared" si="26"/>
        <v>0</v>
      </c>
      <c r="J416" s="7">
        <f t="shared" si="27"/>
        <v>27.300150829562593</v>
      </c>
      <c r="K416" s="7">
        <f t="shared" si="28"/>
        <v>0</v>
      </c>
    </row>
    <row r="417" spans="1:11" x14ac:dyDescent="0.35">
      <c r="A417">
        <v>2017</v>
      </c>
      <c r="B417">
        <v>3120904</v>
      </c>
      <c r="C417" t="str">
        <f>VLOOKUP(B417,SAEB!$A:$B,2,0)</f>
        <v>Curvelo</v>
      </c>
      <c r="D417">
        <v>4030</v>
      </c>
      <c r="E417">
        <v>11</v>
      </c>
      <c r="F417">
        <v>446</v>
      </c>
      <c r="G417">
        <v>0</v>
      </c>
      <c r="H417" s="7">
        <f t="shared" si="25"/>
        <v>89.815021172275465</v>
      </c>
      <c r="I417" s="7">
        <f t="shared" si="26"/>
        <v>0.24515266324938714</v>
      </c>
      <c r="J417" s="7">
        <f t="shared" si="27"/>
        <v>9.93982616447515</v>
      </c>
      <c r="K417" s="7">
        <f t="shared" si="28"/>
        <v>0</v>
      </c>
    </row>
    <row r="418" spans="1:11" x14ac:dyDescent="0.35">
      <c r="A418">
        <v>2017</v>
      </c>
      <c r="B418">
        <v>3121001</v>
      </c>
      <c r="C418" t="str">
        <f>VLOOKUP(B418,SAEB!$A:$B,2,0)</f>
        <v>Datas</v>
      </c>
      <c r="D418">
        <v>289</v>
      </c>
      <c r="E418">
        <v>0</v>
      </c>
      <c r="F418">
        <v>143</v>
      </c>
      <c r="G418">
        <v>0</v>
      </c>
      <c r="H418" s="7">
        <f t="shared" si="25"/>
        <v>66.898148148148152</v>
      </c>
      <c r="I418" s="7">
        <f t="shared" si="26"/>
        <v>0</v>
      </c>
      <c r="J418" s="7">
        <f t="shared" si="27"/>
        <v>33.101851851851855</v>
      </c>
      <c r="K418" s="7">
        <f t="shared" si="28"/>
        <v>0</v>
      </c>
    </row>
    <row r="419" spans="1:11" x14ac:dyDescent="0.35">
      <c r="A419">
        <v>2017</v>
      </c>
      <c r="B419">
        <v>3121605</v>
      </c>
      <c r="C419" t="str">
        <f>VLOOKUP(B419,SAEB!$A:$B,2,0)</f>
        <v>Diamantina</v>
      </c>
      <c r="D419">
        <v>637</v>
      </c>
      <c r="E419">
        <v>61</v>
      </c>
      <c r="F419">
        <v>404</v>
      </c>
      <c r="G419">
        <v>91</v>
      </c>
      <c r="H419" s="7">
        <f t="shared" si="25"/>
        <v>53.39480301760269</v>
      </c>
      <c r="I419" s="7">
        <f t="shared" si="26"/>
        <v>5.1131601005867564</v>
      </c>
      <c r="J419" s="7">
        <f t="shared" si="27"/>
        <v>33.86420787929589</v>
      </c>
      <c r="K419" s="7">
        <f t="shared" si="28"/>
        <v>7.6278290025146687</v>
      </c>
    </row>
    <row r="420" spans="1:11" x14ac:dyDescent="0.35">
      <c r="A420">
        <v>2017</v>
      </c>
      <c r="B420">
        <v>3122108</v>
      </c>
      <c r="C420" t="str">
        <f>VLOOKUP(B420,SAEB!$A:$B,2,0)</f>
        <v>Divino das Laranjeiras</v>
      </c>
      <c r="D420">
        <v>181</v>
      </c>
      <c r="E420">
        <v>0</v>
      </c>
      <c r="F420">
        <v>0</v>
      </c>
      <c r="G420">
        <v>0</v>
      </c>
      <c r="H420" s="7">
        <f t="shared" si="25"/>
        <v>100</v>
      </c>
      <c r="I420" s="7">
        <f t="shared" si="26"/>
        <v>0</v>
      </c>
      <c r="J420" s="7">
        <f t="shared" si="27"/>
        <v>0</v>
      </c>
      <c r="K420" s="7">
        <f t="shared" si="28"/>
        <v>0</v>
      </c>
    </row>
    <row r="421" spans="1:11" x14ac:dyDescent="0.35">
      <c r="A421">
        <v>2017</v>
      </c>
      <c r="B421">
        <v>3122207</v>
      </c>
      <c r="C421" t="str">
        <f>VLOOKUP(B421,SAEB!$A:$B,2,0)</f>
        <v>Divinolândia de Minas</v>
      </c>
      <c r="D421">
        <v>435</v>
      </c>
      <c r="E421">
        <v>0</v>
      </c>
      <c r="F421">
        <v>149</v>
      </c>
      <c r="G421">
        <v>0</v>
      </c>
      <c r="H421" s="7">
        <f t="shared" si="25"/>
        <v>74.486301369863014</v>
      </c>
      <c r="I421" s="7">
        <f t="shared" si="26"/>
        <v>0</v>
      </c>
      <c r="J421" s="7">
        <f t="shared" si="27"/>
        <v>25.513698630136989</v>
      </c>
      <c r="K421" s="7">
        <f t="shared" si="28"/>
        <v>0</v>
      </c>
    </row>
    <row r="422" spans="1:11" x14ac:dyDescent="0.35">
      <c r="A422">
        <v>2017</v>
      </c>
      <c r="B422">
        <v>3122454</v>
      </c>
      <c r="C422" t="str">
        <f>VLOOKUP(B422,SAEB!$A:$B,2,0)</f>
        <v>Divisópolis</v>
      </c>
      <c r="D422">
        <v>618</v>
      </c>
      <c r="E422">
        <v>0</v>
      </c>
      <c r="F422">
        <v>86</v>
      </c>
      <c r="G422">
        <v>0</v>
      </c>
      <c r="H422" s="7">
        <f t="shared" si="25"/>
        <v>87.784090909090907</v>
      </c>
      <c r="I422" s="7">
        <f t="shared" si="26"/>
        <v>0</v>
      </c>
      <c r="J422" s="7">
        <f t="shared" si="27"/>
        <v>12.215909090909092</v>
      </c>
      <c r="K422" s="7">
        <f t="shared" si="28"/>
        <v>0</v>
      </c>
    </row>
    <row r="423" spans="1:11" x14ac:dyDescent="0.35">
      <c r="A423">
        <v>2017</v>
      </c>
      <c r="B423">
        <v>3122470</v>
      </c>
      <c r="C423" t="str">
        <f>VLOOKUP(B423,SAEB!$A:$B,2,0)</f>
        <v>Dom Bosco</v>
      </c>
      <c r="D423">
        <v>45</v>
      </c>
      <c r="E423">
        <v>45</v>
      </c>
      <c r="F423">
        <v>76</v>
      </c>
      <c r="G423">
        <v>0</v>
      </c>
      <c r="H423" s="7">
        <f t="shared" si="25"/>
        <v>27.108433734939759</v>
      </c>
      <c r="I423" s="7">
        <f t="shared" si="26"/>
        <v>27.108433734939759</v>
      </c>
      <c r="J423" s="7">
        <f t="shared" si="27"/>
        <v>45.783132530120483</v>
      </c>
      <c r="K423" s="7">
        <f t="shared" si="28"/>
        <v>0</v>
      </c>
    </row>
    <row r="424" spans="1:11" x14ac:dyDescent="0.35">
      <c r="A424">
        <v>2017</v>
      </c>
      <c r="B424">
        <v>3123106</v>
      </c>
      <c r="C424" t="str">
        <f>VLOOKUP(B424,SAEB!$A:$B,2,0)</f>
        <v>Dores de Guanhães</v>
      </c>
      <c r="D424">
        <v>228</v>
      </c>
      <c r="E424">
        <v>0</v>
      </c>
      <c r="F424">
        <v>97</v>
      </c>
      <c r="G424">
        <v>0</v>
      </c>
      <c r="H424" s="7">
        <f t="shared" si="25"/>
        <v>70.15384615384616</v>
      </c>
      <c r="I424" s="7">
        <f t="shared" si="26"/>
        <v>0</v>
      </c>
      <c r="J424" s="7">
        <f t="shared" si="27"/>
        <v>29.846153846153843</v>
      </c>
      <c r="K424" s="7">
        <f t="shared" si="28"/>
        <v>0</v>
      </c>
    </row>
    <row r="425" spans="1:11" x14ac:dyDescent="0.35">
      <c r="A425">
        <v>2017</v>
      </c>
      <c r="B425">
        <v>3123700</v>
      </c>
      <c r="C425" t="str">
        <f>VLOOKUP(B425,SAEB!$A:$B,2,0)</f>
        <v>Engenheiro Caldas</v>
      </c>
      <c r="D425">
        <v>738</v>
      </c>
      <c r="E425">
        <v>167</v>
      </c>
      <c r="F425">
        <v>0</v>
      </c>
      <c r="G425">
        <v>0</v>
      </c>
      <c r="H425" s="7">
        <f t="shared" si="25"/>
        <v>81.546961325966848</v>
      </c>
      <c r="I425" s="7">
        <f t="shared" si="26"/>
        <v>18.453038674033149</v>
      </c>
      <c r="J425" s="7">
        <f t="shared" si="27"/>
        <v>0</v>
      </c>
      <c r="K425" s="7">
        <f t="shared" si="28"/>
        <v>0</v>
      </c>
    </row>
    <row r="426" spans="1:11" x14ac:dyDescent="0.35">
      <c r="A426">
        <v>2017</v>
      </c>
      <c r="B426">
        <v>3123809</v>
      </c>
      <c r="C426" t="str">
        <f>VLOOKUP(B426,SAEB!$A:$B,2,0)</f>
        <v>Engenheiro Navarro</v>
      </c>
      <c r="D426">
        <v>436</v>
      </c>
      <c r="E426">
        <v>0</v>
      </c>
      <c r="F426">
        <v>52</v>
      </c>
      <c r="G426">
        <v>0</v>
      </c>
      <c r="H426" s="7">
        <f t="shared" si="25"/>
        <v>89.344262295081961</v>
      </c>
      <c r="I426" s="7">
        <f t="shared" si="26"/>
        <v>0</v>
      </c>
      <c r="J426" s="7">
        <f t="shared" si="27"/>
        <v>10.655737704918032</v>
      </c>
      <c r="K426" s="7">
        <f t="shared" si="28"/>
        <v>0</v>
      </c>
    </row>
    <row r="427" spans="1:11" x14ac:dyDescent="0.35">
      <c r="A427">
        <v>2017</v>
      </c>
      <c r="B427">
        <v>3124302</v>
      </c>
      <c r="C427" t="str">
        <f>VLOOKUP(B427,SAEB!$A:$B,2,0)</f>
        <v>Espinosa</v>
      </c>
      <c r="D427">
        <v>420</v>
      </c>
      <c r="E427">
        <v>0</v>
      </c>
      <c r="F427">
        <v>595</v>
      </c>
      <c r="G427">
        <v>0</v>
      </c>
      <c r="H427" s="7">
        <f t="shared" si="25"/>
        <v>41.379310344827587</v>
      </c>
      <c r="I427" s="7">
        <f t="shared" si="26"/>
        <v>0</v>
      </c>
      <c r="J427" s="7">
        <f t="shared" si="27"/>
        <v>58.620689655172406</v>
      </c>
      <c r="K427" s="7">
        <f t="shared" si="28"/>
        <v>0</v>
      </c>
    </row>
    <row r="428" spans="1:11" x14ac:dyDescent="0.35">
      <c r="A428">
        <v>2017</v>
      </c>
      <c r="B428">
        <v>3125408</v>
      </c>
      <c r="C428" t="str">
        <f>VLOOKUP(B428,SAEB!$A:$B,2,0)</f>
        <v>Felício dos Santos</v>
      </c>
      <c r="D428">
        <v>0</v>
      </c>
      <c r="E428">
        <v>0</v>
      </c>
      <c r="F428">
        <v>377</v>
      </c>
      <c r="G428">
        <v>0</v>
      </c>
      <c r="H428" s="7">
        <f t="shared" si="25"/>
        <v>0</v>
      </c>
      <c r="I428" s="7">
        <f t="shared" si="26"/>
        <v>0</v>
      </c>
      <c r="J428" s="7">
        <f t="shared" si="27"/>
        <v>100</v>
      </c>
      <c r="K428" s="7">
        <f t="shared" si="28"/>
        <v>0</v>
      </c>
    </row>
    <row r="429" spans="1:11" x14ac:dyDescent="0.35">
      <c r="A429">
        <v>2017</v>
      </c>
      <c r="B429">
        <v>3125705</v>
      </c>
      <c r="C429" t="str">
        <f>VLOOKUP(B429,SAEB!$A:$B,2,0)</f>
        <v>Felixlândia</v>
      </c>
      <c r="D429">
        <v>756</v>
      </c>
      <c r="E429">
        <v>454</v>
      </c>
      <c r="F429">
        <v>77</v>
      </c>
      <c r="G429">
        <v>0</v>
      </c>
      <c r="H429" s="7">
        <f t="shared" si="25"/>
        <v>58.74125874125874</v>
      </c>
      <c r="I429" s="7">
        <f t="shared" si="26"/>
        <v>35.275835275835277</v>
      </c>
      <c r="J429" s="7">
        <f t="shared" si="27"/>
        <v>5.982905982905983</v>
      </c>
      <c r="K429" s="7">
        <f t="shared" si="28"/>
        <v>0</v>
      </c>
    </row>
    <row r="430" spans="1:11" x14ac:dyDescent="0.35">
      <c r="A430">
        <v>2017</v>
      </c>
      <c r="B430">
        <v>3126604</v>
      </c>
      <c r="C430" t="str">
        <f>VLOOKUP(B430,SAEB!$A:$B,2,0)</f>
        <v>Francisco Dumont</v>
      </c>
      <c r="D430">
        <v>315</v>
      </c>
      <c r="E430">
        <v>0</v>
      </c>
      <c r="F430">
        <v>53</v>
      </c>
      <c r="G430">
        <v>39</v>
      </c>
      <c r="H430" s="7">
        <f t="shared" si="25"/>
        <v>77.395577395577391</v>
      </c>
      <c r="I430" s="7">
        <f t="shared" si="26"/>
        <v>0</v>
      </c>
      <c r="J430" s="7">
        <f t="shared" si="27"/>
        <v>13.022113022113022</v>
      </c>
      <c r="K430" s="7">
        <f t="shared" si="28"/>
        <v>9.5823095823095823</v>
      </c>
    </row>
    <row r="431" spans="1:11" x14ac:dyDescent="0.35">
      <c r="A431">
        <v>2017</v>
      </c>
      <c r="B431">
        <v>3126703</v>
      </c>
      <c r="C431" t="str">
        <f>VLOOKUP(B431,SAEB!$A:$B,2,0)</f>
        <v>Francisco Sá</v>
      </c>
      <c r="D431">
        <v>446</v>
      </c>
      <c r="E431">
        <v>123</v>
      </c>
      <c r="F431">
        <v>319</v>
      </c>
      <c r="G431">
        <v>79</v>
      </c>
      <c r="H431" s="7">
        <f t="shared" si="25"/>
        <v>46.122026887280249</v>
      </c>
      <c r="I431" s="7">
        <f t="shared" si="26"/>
        <v>12.719751809720787</v>
      </c>
      <c r="J431" s="7">
        <f t="shared" si="27"/>
        <v>32.988624612202685</v>
      </c>
      <c r="K431" s="7">
        <f t="shared" si="28"/>
        <v>8.1695966907962774</v>
      </c>
    </row>
    <row r="432" spans="1:11" x14ac:dyDescent="0.35">
      <c r="A432">
        <v>2017</v>
      </c>
      <c r="B432">
        <v>3126901</v>
      </c>
      <c r="C432" t="str">
        <f>VLOOKUP(B432,SAEB!$A:$B,2,0)</f>
        <v>Frei Inocêncio</v>
      </c>
      <c r="D432">
        <v>283</v>
      </c>
      <c r="E432">
        <v>0</v>
      </c>
      <c r="F432">
        <v>63</v>
      </c>
      <c r="G432">
        <v>43</v>
      </c>
      <c r="H432" s="7">
        <f t="shared" si="25"/>
        <v>72.750642673521853</v>
      </c>
      <c r="I432" s="7">
        <f t="shared" si="26"/>
        <v>0</v>
      </c>
      <c r="J432" s="7">
        <f t="shared" si="27"/>
        <v>16.195372750642672</v>
      </c>
      <c r="K432" s="7">
        <f t="shared" si="28"/>
        <v>11.053984575835475</v>
      </c>
    </row>
    <row r="433" spans="1:11" x14ac:dyDescent="0.35">
      <c r="A433">
        <v>2017</v>
      </c>
      <c r="B433">
        <v>3127073</v>
      </c>
      <c r="C433" t="str">
        <f>VLOOKUP(B433,SAEB!$A:$B,2,0)</f>
        <v>Fruta de Leite</v>
      </c>
      <c r="D433">
        <v>0</v>
      </c>
      <c r="E433">
        <v>0</v>
      </c>
      <c r="F433">
        <v>283</v>
      </c>
      <c r="G433">
        <v>0</v>
      </c>
      <c r="H433" s="7">
        <f t="shared" si="25"/>
        <v>0</v>
      </c>
      <c r="I433" s="7">
        <f t="shared" si="26"/>
        <v>0</v>
      </c>
      <c r="J433" s="7">
        <f t="shared" si="27"/>
        <v>100</v>
      </c>
      <c r="K433" s="7">
        <f t="shared" si="28"/>
        <v>0</v>
      </c>
    </row>
    <row r="434" spans="1:11" x14ac:dyDescent="0.35">
      <c r="A434">
        <v>2017</v>
      </c>
      <c r="B434">
        <v>3127354</v>
      </c>
      <c r="C434" t="str">
        <f>VLOOKUP(B434,SAEB!$A:$B,2,0)</f>
        <v>Glaucilândia</v>
      </c>
      <c r="D434">
        <v>131</v>
      </c>
      <c r="E434">
        <v>0</v>
      </c>
      <c r="F434">
        <v>96</v>
      </c>
      <c r="G434">
        <v>0</v>
      </c>
      <c r="H434" s="7">
        <f t="shared" si="25"/>
        <v>57.709251101321591</v>
      </c>
      <c r="I434" s="7">
        <f t="shared" si="26"/>
        <v>0</v>
      </c>
      <c r="J434" s="7">
        <f t="shared" si="27"/>
        <v>42.290748898678416</v>
      </c>
      <c r="K434" s="7">
        <f t="shared" si="28"/>
        <v>0</v>
      </c>
    </row>
    <row r="435" spans="1:11" x14ac:dyDescent="0.35">
      <c r="A435">
        <v>2017</v>
      </c>
      <c r="B435">
        <v>3127503</v>
      </c>
      <c r="C435" t="str">
        <f>VLOOKUP(B435,SAEB!$A:$B,2,0)</f>
        <v>Gonzaga</v>
      </c>
      <c r="D435">
        <v>311</v>
      </c>
      <c r="E435">
        <v>0</v>
      </c>
      <c r="F435">
        <v>142</v>
      </c>
      <c r="G435">
        <v>0</v>
      </c>
      <c r="H435" s="7">
        <f t="shared" si="25"/>
        <v>68.653421633554075</v>
      </c>
      <c r="I435" s="7">
        <f t="shared" si="26"/>
        <v>0</v>
      </c>
      <c r="J435" s="7">
        <f t="shared" si="27"/>
        <v>31.346578366445915</v>
      </c>
      <c r="K435" s="7">
        <f t="shared" si="28"/>
        <v>0</v>
      </c>
    </row>
    <row r="436" spans="1:11" x14ac:dyDescent="0.35">
      <c r="A436">
        <v>2017</v>
      </c>
      <c r="B436">
        <v>3127602</v>
      </c>
      <c r="C436" t="str">
        <f>VLOOKUP(B436,SAEB!$A:$B,2,0)</f>
        <v>Gouveia</v>
      </c>
      <c r="D436">
        <v>537</v>
      </c>
      <c r="E436">
        <v>0</v>
      </c>
      <c r="F436">
        <v>94</v>
      </c>
      <c r="G436">
        <v>77</v>
      </c>
      <c r="H436" s="7">
        <f t="shared" si="25"/>
        <v>75.847457627118644</v>
      </c>
      <c r="I436" s="7">
        <f t="shared" si="26"/>
        <v>0</v>
      </c>
      <c r="J436" s="7">
        <f t="shared" si="27"/>
        <v>13.27683615819209</v>
      </c>
      <c r="K436" s="7">
        <f t="shared" si="28"/>
        <v>10.875706214689265</v>
      </c>
    </row>
    <row r="437" spans="1:11" x14ac:dyDescent="0.35">
      <c r="A437">
        <v>2017</v>
      </c>
      <c r="B437">
        <v>3127701</v>
      </c>
      <c r="C437" t="str">
        <f>VLOOKUP(B437,SAEB!$A:$B,2,0)</f>
        <v>Governador Valadares</v>
      </c>
      <c r="D437">
        <v>6013</v>
      </c>
      <c r="E437">
        <v>3177</v>
      </c>
      <c r="F437">
        <v>534</v>
      </c>
      <c r="G437">
        <v>344</v>
      </c>
      <c r="H437" s="7">
        <f t="shared" si="25"/>
        <v>59.723877632101704</v>
      </c>
      <c r="I437" s="7">
        <f t="shared" si="26"/>
        <v>31.555423122765198</v>
      </c>
      <c r="J437" s="7">
        <f t="shared" si="27"/>
        <v>5.3039332538736588</v>
      </c>
      <c r="K437" s="7">
        <f t="shared" si="28"/>
        <v>3.4167659912594357</v>
      </c>
    </row>
    <row r="438" spans="1:11" x14ac:dyDescent="0.35">
      <c r="A438">
        <v>2017</v>
      </c>
      <c r="B438">
        <v>3128006</v>
      </c>
      <c r="C438" t="str">
        <f>VLOOKUP(B438,SAEB!$A:$B,2,0)</f>
        <v>Guanhães</v>
      </c>
      <c r="D438">
        <v>1136</v>
      </c>
      <c r="E438">
        <v>0</v>
      </c>
      <c r="F438">
        <v>153</v>
      </c>
      <c r="G438">
        <v>0</v>
      </c>
      <c r="H438" s="7">
        <f t="shared" si="25"/>
        <v>88.130333591931731</v>
      </c>
      <c r="I438" s="7">
        <f t="shared" si="26"/>
        <v>0</v>
      </c>
      <c r="J438" s="7">
        <f t="shared" si="27"/>
        <v>11.869666408068271</v>
      </c>
      <c r="K438" s="7">
        <f t="shared" si="28"/>
        <v>0</v>
      </c>
    </row>
    <row r="439" spans="1:11" x14ac:dyDescent="0.35">
      <c r="A439">
        <v>2017</v>
      </c>
      <c r="B439">
        <v>3128253</v>
      </c>
      <c r="C439" t="str">
        <f>VLOOKUP(B439,SAEB!$A:$B,2,0)</f>
        <v>Guaraciama</v>
      </c>
      <c r="D439">
        <v>357</v>
      </c>
      <c r="E439">
        <v>0</v>
      </c>
      <c r="F439">
        <v>11</v>
      </c>
      <c r="G439">
        <v>0</v>
      </c>
      <c r="H439" s="7">
        <f t="shared" si="25"/>
        <v>97.010869565217391</v>
      </c>
      <c r="I439" s="7">
        <f t="shared" si="26"/>
        <v>0</v>
      </c>
      <c r="J439" s="7">
        <f t="shared" si="27"/>
        <v>2.9891304347826089</v>
      </c>
      <c r="K439" s="7">
        <f t="shared" si="28"/>
        <v>0</v>
      </c>
    </row>
    <row r="440" spans="1:11" x14ac:dyDescent="0.35">
      <c r="A440">
        <v>2017</v>
      </c>
      <c r="B440">
        <v>3129657</v>
      </c>
      <c r="C440" t="str">
        <f>VLOOKUP(B440,SAEB!$A:$B,2,0)</f>
        <v>Ibiracatu</v>
      </c>
      <c r="D440">
        <v>129</v>
      </c>
      <c r="E440">
        <v>138</v>
      </c>
      <c r="F440">
        <v>103</v>
      </c>
      <c r="G440">
        <v>53</v>
      </c>
      <c r="H440" s="7">
        <f t="shared" si="25"/>
        <v>30.49645390070922</v>
      </c>
      <c r="I440" s="7">
        <f t="shared" si="26"/>
        <v>32.62411347517731</v>
      </c>
      <c r="J440" s="7">
        <f t="shared" si="27"/>
        <v>24.349881796690305</v>
      </c>
      <c r="K440" s="7">
        <f t="shared" si="28"/>
        <v>12.529550827423167</v>
      </c>
    </row>
    <row r="441" spans="1:11" x14ac:dyDescent="0.35">
      <c r="A441">
        <v>2017</v>
      </c>
      <c r="B441">
        <v>3130051</v>
      </c>
      <c r="C441" t="str">
        <f>VLOOKUP(B441,SAEB!$A:$B,2,0)</f>
        <v>Icaraí de Minas</v>
      </c>
      <c r="D441">
        <v>323</v>
      </c>
      <c r="E441">
        <v>0</v>
      </c>
      <c r="F441">
        <v>122</v>
      </c>
      <c r="G441">
        <v>0</v>
      </c>
      <c r="H441" s="7">
        <f t="shared" si="25"/>
        <v>72.584269662921358</v>
      </c>
      <c r="I441" s="7">
        <f t="shared" si="26"/>
        <v>0</v>
      </c>
      <c r="J441" s="7">
        <f t="shared" si="27"/>
        <v>27.415730337078653</v>
      </c>
      <c r="K441" s="7">
        <f t="shared" si="28"/>
        <v>0</v>
      </c>
    </row>
    <row r="442" spans="1:11" x14ac:dyDescent="0.35">
      <c r="A442">
        <v>2017</v>
      </c>
      <c r="B442">
        <v>3130556</v>
      </c>
      <c r="C442" t="str">
        <f>VLOOKUP(B442,SAEB!$A:$B,2,0)</f>
        <v>Imbé de Minas</v>
      </c>
      <c r="D442">
        <v>284</v>
      </c>
      <c r="E442">
        <v>0</v>
      </c>
      <c r="F442">
        <v>179</v>
      </c>
      <c r="G442">
        <v>0</v>
      </c>
      <c r="H442" s="7">
        <f t="shared" si="25"/>
        <v>61.339092872570191</v>
      </c>
      <c r="I442" s="7">
        <f t="shared" si="26"/>
        <v>0</v>
      </c>
      <c r="J442" s="7">
        <f t="shared" si="27"/>
        <v>38.660907127429809</v>
      </c>
      <c r="K442" s="7">
        <f t="shared" si="28"/>
        <v>0</v>
      </c>
    </row>
    <row r="443" spans="1:11" x14ac:dyDescent="0.35">
      <c r="A443">
        <v>2017</v>
      </c>
      <c r="B443">
        <v>3130655</v>
      </c>
      <c r="C443" t="str">
        <f>VLOOKUP(B443,SAEB!$A:$B,2,0)</f>
        <v>Indaiabira</v>
      </c>
      <c r="D443">
        <v>189</v>
      </c>
      <c r="E443">
        <v>0</v>
      </c>
      <c r="F443">
        <v>220</v>
      </c>
      <c r="G443">
        <v>67</v>
      </c>
      <c r="H443" s="7">
        <f t="shared" si="25"/>
        <v>39.705882352941174</v>
      </c>
      <c r="I443" s="7">
        <f t="shared" si="26"/>
        <v>0</v>
      </c>
      <c r="J443" s="7">
        <f t="shared" si="27"/>
        <v>46.218487394957982</v>
      </c>
      <c r="K443" s="7">
        <f t="shared" si="28"/>
        <v>14.07563025210084</v>
      </c>
    </row>
    <row r="444" spans="1:11" x14ac:dyDescent="0.35">
      <c r="A444">
        <v>2017</v>
      </c>
      <c r="B444">
        <v>3130903</v>
      </c>
      <c r="C444" t="str">
        <f>VLOOKUP(B444,SAEB!$A:$B,2,0)</f>
        <v>Inhapim</v>
      </c>
      <c r="D444">
        <v>352</v>
      </c>
      <c r="E444">
        <v>31</v>
      </c>
      <c r="F444">
        <v>538</v>
      </c>
      <c r="G444">
        <v>82</v>
      </c>
      <c r="H444" s="7">
        <f t="shared" si="25"/>
        <v>35.094715852442668</v>
      </c>
      <c r="I444" s="7">
        <f t="shared" si="26"/>
        <v>3.0907278165503489</v>
      </c>
      <c r="J444" s="7">
        <f t="shared" si="27"/>
        <v>53.639082751744773</v>
      </c>
      <c r="K444" s="7">
        <f t="shared" si="28"/>
        <v>8.1754735792622135</v>
      </c>
    </row>
    <row r="445" spans="1:11" x14ac:dyDescent="0.35">
      <c r="A445">
        <v>2017</v>
      </c>
      <c r="B445">
        <v>3131109</v>
      </c>
      <c r="C445" t="str">
        <f>VLOOKUP(B445,SAEB!$A:$B,2,0)</f>
        <v>Inimutaba</v>
      </c>
      <c r="D445">
        <v>361</v>
      </c>
      <c r="E445">
        <v>0</v>
      </c>
      <c r="F445">
        <v>98</v>
      </c>
      <c r="G445">
        <v>0</v>
      </c>
      <c r="H445" s="7">
        <f t="shared" si="25"/>
        <v>78.649237472766885</v>
      </c>
      <c r="I445" s="7">
        <f t="shared" si="26"/>
        <v>0</v>
      </c>
      <c r="J445" s="7">
        <f t="shared" si="27"/>
        <v>21.350762527233115</v>
      </c>
      <c r="K445" s="7">
        <f t="shared" si="28"/>
        <v>0</v>
      </c>
    </row>
    <row r="446" spans="1:11" x14ac:dyDescent="0.35">
      <c r="A446">
        <v>2017</v>
      </c>
      <c r="B446">
        <v>3131208</v>
      </c>
      <c r="C446" t="str">
        <f>VLOOKUP(B446,SAEB!$A:$B,2,0)</f>
        <v>Ipanema</v>
      </c>
      <c r="D446">
        <v>655</v>
      </c>
      <c r="E446">
        <v>350</v>
      </c>
      <c r="F446">
        <v>71</v>
      </c>
      <c r="G446">
        <v>36</v>
      </c>
      <c r="H446" s="7">
        <f t="shared" si="25"/>
        <v>58.902877697841724</v>
      </c>
      <c r="I446" s="7">
        <f t="shared" si="26"/>
        <v>31.474820143884891</v>
      </c>
      <c r="J446" s="7">
        <f t="shared" si="27"/>
        <v>6.384892086330936</v>
      </c>
      <c r="K446" s="7">
        <f t="shared" si="28"/>
        <v>3.2374100719424459</v>
      </c>
    </row>
    <row r="447" spans="1:11" x14ac:dyDescent="0.35">
      <c r="A447">
        <v>2017</v>
      </c>
      <c r="B447">
        <v>3131802</v>
      </c>
      <c r="C447" t="str">
        <f>VLOOKUP(B447,SAEB!$A:$B,2,0)</f>
        <v>Itabirinha</v>
      </c>
      <c r="D447">
        <v>537</v>
      </c>
      <c r="E447">
        <v>0</v>
      </c>
      <c r="F447">
        <v>110</v>
      </c>
      <c r="G447">
        <v>1</v>
      </c>
      <c r="H447" s="7">
        <f t="shared" si="25"/>
        <v>82.870370370370367</v>
      </c>
      <c r="I447" s="7">
        <f t="shared" si="26"/>
        <v>0</v>
      </c>
      <c r="J447" s="7">
        <f t="shared" si="27"/>
        <v>16.97530864197531</v>
      </c>
      <c r="K447" s="7">
        <f t="shared" si="28"/>
        <v>0.15432098765432098</v>
      </c>
    </row>
    <row r="448" spans="1:11" x14ac:dyDescent="0.35">
      <c r="A448">
        <v>2017</v>
      </c>
      <c r="B448">
        <v>3132107</v>
      </c>
      <c r="C448" t="str">
        <f>VLOOKUP(B448,SAEB!$A:$B,2,0)</f>
        <v>Itacarambi</v>
      </c>
      <c r="D448">
        <v>1058</v>
      </c>
      <c r="E448">
        <v>881</v>
      </c>
      <c r="F448">
        <v>147</v>
      </c>
      <c r="G448">
        <v>141</v>
      </c>
      <c r="H448" s="7">
        <f t="shared" si="25"/>
        <v>47.507858105074092</v>
      </c>
      <c r="I448" s="7">
        <f t="shared" si="26"/>
        <v>39.55994611585092</v>
      </c>
      <c r="J448" s="7">
        <f t="shared" si="27"/>
        <v>6.6008082622361925</v>
      </c>
      <c r="K448" s="7">
        <f t="shared" si="28"/>
        <v>6.3313875168387961</v>
      </c>
    </row>
    <row r="449" spans="1:11" x14ac:dyDescent="0.35">
      <c r="A449">
        <v>2017</v>
      </c>
      <c r="B449">
        <v>3132305</v>
      </c>
      <c r="C449" t="str">
        <f>VLOOKUP(B449,SAEB!$A:$B,2,0)</f>
        <v>Itaipé</v>
      </c>
      <c r="D449">
        <v>319</v>
      </c>
      <c r="E449">
        <v>477</v>
      </c>
      <c r="F449">
        <v>426</v>
      </c>
      <c r="G449">
        <v>0</v>
      </c>
      <c r="H449" s="7">
        <f t="shared" si="25"/>
        <v>26.104746317512273</v>
      </c>
      <c r="I449" s="7">
        <f t="shared" si="26"/>
        <v>39.034369885433719</v>
      </c>
      <c r="J449" s="7">
        <f t="shared" si="27"/>
        <v>34.860883797054008</v>
      </c>
      <c r="K449" s="7">
        <f t="shared" si="28"/>
        <v>0</v>
      </c>
    </row>
    <row r="450" spans="1:11" x14ac:dyDescent="0.35">
      <c r="A450">
        <v>2017</v>
      </c>
      <c r="B450">
        <v>3132503</v>
      </c>
      <c r="C450" t="str">
        <f>VLOOKUP(B450,SAEB!$A:$B,2,0)</f>
        <v>Itamarandiba</v>
      </c>
      <c r="D450">
        <v>1143</v>
      </c>
      <c r="E450">
        <v>261</v>
      </c>
      <c r="F450">
        <v>335</v>
      </c>
      <c r="G450">
        <v>74</v>
      </c>
      <c r="H450" s="7">
        <f t="shared" si="25"/>
        <v>63.044677330391622</v>
      </c>
      <c r="I450" s="7">
        <f t="shared" si="26"/>
        <v>14.396028681742967</v>
      </c>
      <c r="J450" s="7">
        <f t="shared" si="27"/>
        <v>18.477661334804189</v>
      </c>
      <c r="K450" s="7">
        <f t="shared" si="28"/>
        <v>4.0816326530612246</v>
      </c>
    </row>
    <row r="451" spans="1:11" x14ac:dyDescent="0.35">
      <c r="A451">
        <v>2017</v>
      </c>
      <c r="B451">
        <v>3132701</v>
      </c>
      <c r="C451" t="str">
        <f>VLOOKUP(B451,SAEB!$A:$B,2,0)</f>
        <v>Itambacuri</v>
      </c>
      <c r="D451">
        <v>244</v>
      </c>
      <c r="E451">
        <v>145</v>
      </c>
      <c r="F451">
        <v>460</v>
      </c>
      <c r="G451">
        <v>370</v>
      </c>
      <c r="H451" s="7">
        <f t="shared" ref="H451:H514" si="29">D451/SUM($D451:$G451)*100</f>
        <v>20.016406890894174</v>
      </c>
      <c r="I451" s="7">
        <f t="shared" ref="I451:I514" si="30">E451/SUM($D451:$G451)*100</f>
        <v>11.894995898277276</v>
      </c>
      <c r="J451" s="7">
        <f t="shared" ref="J451:J514" si="31">F451/SUM($D451:$G451)*100</f>
        <v>37.735849056603776</v>
      </c>
      <c r="K451" s="7">
        <f t="shared" ref="K451:K514" si="32">G451/SUM($D451:$G451)*100</f>
        <v>30.352748154224773</v>
      </c>
    </row>
    <row r="452" spans="1:11" x14ac:dyDescent="0.35">
      <c r="A452">
        <v>2017</v>
      </c>
      <c r="B452">
        <v>3133204</v>
      </c>
      <c r="C452" t="str">
        <f>VLOOKUP(B452,SAEB!$A:$B,2,0)</f>
        <v>Itanhomi</v>
      </c>
      <c r="D452">
        <v>818</v>
      </c>
      <c r="E452">
        <v>0</v>
      </c>
      <c r="F452">
        <v>35</v>
      </c>
      <c r="G452">
        <v>0</v>
      </c>
      <c r="H452" s="7">
        <f t="shared" si="29"/>
        <v>95.896834701055099</v>
      </c>
      <c r="I452" s="7">
        <f t="shared" si="30"/>
        <v>0</v>
      </c>
      <c r="J452" s="7">
        <f t="shared" si="31"/>
        <v>4.1031652989449006</v>
      </c>
      <c r="K452" s="7">
        <f t="shared" si="32"/>
        <v>0</v>
      </c>
    </row>
    <row r="453" spans="1:11" x14ac:dyDescent="0.35">
      <c r="A453">
        <v>2017</v>
      </c>
      <c r="B453">
        <v>3133303</v>
      </c>
      <c r="C453" t="str">
        <f>VLOOKUP(B453,SAEB!$A:$B,2,0)</f>
        <v>Itaobim</v>
      </c>
      <c r="D453">
        <v>469</v>
      </c>
      <c r="E453">
        <v>163</v>
      </c>
      <c r="F453">
        <v>301</v>
      </c>
      <c r="G453">
        <v>118</v>
      </c>
      <c r="H453" s="7">
        <f t="shared" si="29"/>
        <v>44.624167459562322</v>
      </c>
      <c r="I453" s="7">
        <f t="shared" si="30"/>
        <v>15.509039010466221</v>
      </c>
      <c r="J453" s="7">
        <f t="shared" si="31"/>
        <v>28.639391056137015</v>
      </c>
      <c r="K453" s="7">
        <f t="shared" si="32"/>
        <v>11.227402473834443</v>
      </c>
    </row>
    <row r="454" spans="1:11" x14ac:dyDescent="0.35">
      <c r="A454">
        <v>2017</v>
      </c>
      <c r="B454">
        <v>3134004</v>
      </c>
      <c r="C454" t="str">
        <f>VLOOKUP(B454,SAEB!$A:$B,2,0)</f>
        <v>Itinga</v>
      </c>
      <c r="D454">
        <v>198</v>
      </c>
      <c r="E454">
        <v>0</v>
      </c>
      <c r="F454">
        <v>387</v>
      </c>
      <c r="G454">
        <v>325</v>
      </c>
      <c r="H454" s="7">
        <f t="shared" si="29"/>
        <v>21.758241758241759</v>
      </c>
      <c r="I454" s="7">
        <f t="shared" si="30"/>
        <v>0</v>
      </c>
      <c r="J454" s="7">
        <f t="shared" si="31"/>
        <v>42.527472527472526</v>
      </c>
      <c r="K454" s="7">
        <f t="shared" si="32"/>
        <v>35.714285714285715</v>
      </c>
    </row>
    <row r="455" spans="1:11" x14ac:dyDescent="0.35">
      <c r="A455">
        <v>2017</v>
      </c>
      <c r="B455">
        <v>3134103</v>
      </c>
      <c r="C455" t="str">
        <f>VLOOKUP(B455,SAEB!$A:$B,2,0)</f>
        <v>Itueta</v>
      </c>
      <c r="D455">
        <v>155</v>
      </c>
      <c r="E455">
        <v>112</v>
      </c>
      <c r="F455">
        <v>112</v>
      </c>
      <c r="G455">
        <v>76</v>
      </c>
      <c r="H455" s="7">
        <f t="shared" si="29"/>
        <v>34.065934065934066</v>
      </c>
      <c r="I455" s="7">
        <f t="shared" si="30"/>
        <v>24.615384615384617</v>
      </c>
      <c r="J455" s="7">
        <f t="shared" si="31"/>
        <v>24.615384615384617</v>
      </c>
      <c r="K455" s="7">
        <f t="shared" si="32"/>
        <v>16.703296703296701</v>
      </c>
    </row>
    <row r="456" spans="1:11" x14ac:dyDescent="0.35">
      <c r="A456">
        <v>2017</v>
      </c>
      <c r="B456">
        <v>3134707</v>
      </c>
      <c r="C456" t="str">
        <f>VLOOKUP(B456,SAEB!$A:$B,2,0)</f>
        <v>Jacinto</v>
      </c>
      <c r="D456">
        <v>819</v>
      </c>
      <c r="E456">
        <v>0</v>
      </c>
      <c r="F456">
        <v>69</v>
      </c>
      <c r="G456">
        <v>34</v>
      </c>
      <c r="H456" s="7">
        <f t="shared" si="29"/>
        <v>88.828633405639906</v>
      </c>
      <c r="I456" s="7">
        <f t="shared" si="30"/>
        <v>0</v>
      </c>
      <c r="J456" s="7">
        <f t="shared" si="31"/>
        <v>7.4837310195227769</v>
      </c>
      <c r="K456" s="7">
        <f t="shared" si="32"/>
        <v>3.68763557483731</v>
      </c>
    </row>
    <row r="457" spans="1:11" x14ac:dyDescent="0.35">
      <c r="A457">
        <v>2017</v>
      </c>
      <c r="B457">
        <v>3135050</v>
      </c>
      <c r="C457" t="str">
        <f>VLOOKUP(B457,SAEB!$A:$B,2,0)</f>
        <v>Jaíba</v>
      </c>
      <c r="D457">
        <v>670</v>
      </c>
      <c r="E457">
        <v>0</v>
      </c>
      <c r="F457">
        <v>455</v>
      </c>
      <c r="G457">
        <v>266</v>
      </c>
      <c r="H457" s="7">
        <f t="shared" si="29"/>
        <v>48.166786484543493</v>
      </c>
      <c r="I457" s="7">
        <f t="shared" si="30"/>
        <v>0</v>
      </c>
      <c r="J457" s="7">
        <f t="shared" si="31"/>
        <v>32.710280373831772</v>
      </c>
      <c r="K457" s="7">
        <f t="shared" si="32"/>
        <v>19.122933141624731</v>
      </c>
    </row>
    <row r="458" spans="1:11" x14ac:dyDescent="0.35">
      <c r="A458">
        <v>2017</v>
      </c>
      <c r="B458">
        <v>3135100</v>
      </c>
      <c r="C458" t="str">
        <f>VLOOKUP(B458,SAEB!$A:$B,2,0)</f>
        <v>Janaúba</v>
      </c>
      <c r="D458">
        <v>1708</v>
      </c>
      <c r="E458">
        <v>529</v>
      </c>
      <c r="F458">
        <v>228</v>
      </c>
      <c r="G458">
        <v>168</v>
      </c>
      <c r="H458" s="7">
        <f t="shared" si="29"/>
        <v>64.868970755791878</v>
      </c>
      <c r="I458" s="7">
        <f t="shared" si="30"/>
        <v>20.091150778579568</v>
      </c>
      <c r="J458" s="7">
        <f t="shared" si="31"/>
        <v>8.6593239650588689</v>
      </c>
      <c r="K458" s="7">
        <f t="shared" si="32"/>
        <v>6.3805545005696924</v>
      </c>
    </row>
    <row r="459" spans="1:11" x14ac:dyDescent="0.35">
      <c r="A459">
        <v>2017</v>
      </c>
      <c r="B459">
        <v>3135209</v>
      </c>
      <c r="C459" t="str">
        <f>VLOOKUP(B459,SAEB!$A:$B,2,0)</f>
        <v>Januária</v>
      </c>
      <c r="D459">
        <v>597</v>
      </c>
      <c r="E459">
        <v>335</v>
      </c>
      <c r="F459">
        <v>1035</v>
      </c>
      <c r="G459">
        <v>604</v>
      </c>
      <c r="H459" s="7">
        <f t="shared" si="29"/>
        <v>23.22053675612602</v>
      </c>
      <c r="I459" s="7">
        <f t="shared" si="30"/>
        <v>13.029949436017112</v>
      </c>
      <c r="J459" s="7">
        <f t="shared" si="31"/>
        <v>40.256709451575261</v>
      </c>
      <c r="K459" s="7">
        <f t="shared" si="32"/>
        <v>23.492804356281603</v>
      </c>
    </row>
    <row r="460" spans="1:11" x14ac:dyDescent="0.35">
      <c r="A460">
        <v>2017</v>
      </c>
      <c r="B460">
        <v>3135357</v>
      </c>
      <c r="C460" t="str">
        <f>VLOOKUP(B460,SAEB!$A:$B,2,0)</f>
        <v>Japonvar</v>
      </c>
      <c r="D460">
        <v>135</v>
      </c>
      <c r="E460">
        <v>129</v>
      </c>
      <c r="F460">
        <v>198</v>
      </c>
      <c r="G460">
        <v>162</v>
      </c>
      <c r="H460" s="7">
        <f t="shared" si="29"/>
        <v>21.634615384615387</v>
      </c>
      <c r="I460" s="7">
        <f t="shared" si="30"/>
        <v>20.673076923076923</v>
      </c>
      <c r="J460" s="7">
        <f t="shared" si="31"/>
        <v>31.73076923076923</v>
      </c>
      <c r="K460" s="7">
        <f t="shared" si="32"/>
        <v>25.961538461538463</v>
      </c>
    </row>
    <row r="461" spans="1:11" x14ac:dyDescent="0.35">
      <c r="A461">
        <v>2017</v>
      </c>
      <c r="B461">
        <v>3135605</v>
      </c>
      <c r="C461" t="str">
        <f>VLOOKUP(B461,SAEB!$A:$B,2,0)</f>
        <v>Jequitaí</v>
      </c>
      <c r="D461">
        <v>307</v>
      </c>
      <c r="E461">
        <v>0</v>
      </c>
      <c r="F461">
        <v>48</v>
      </c>
      <c r="G461">
        <v>19</v>
      </c>
      <c r="H461" s="7">
        <f t="shared" si="29"/>
        <v>82.085561497326196</v>
      </c>
      <c r="I461" s="7">
        <f t="shared" si="30"/>
        <v>0</v>
      </c>
      <c r="J461" s="7">
        <f t="shared" si="31"/>
        <v>12.834224598930483</v>
      </c>
      <c r="K461" s="7">
        <f t="shared" si="32"/>
        <v>5.0802139037433154</v>
      </c>
    </row>
    <row r="462" spans="1:11" x14ac:dyDescent="0.35">
      <c r="A462">
        <v>2017</v>
      </c>
      <c r="B462">
        <v>3135803</v>
      </c>
      <c r="C462" t="str">
        <f>VLOOKUP(B462,SAEB!$A:$B,2,0)</f>
        <v>Jequitinhonha</v>
      </c>
      <c r="D462">
        <v>618</v>
      </c>
      <c r="E462">
        <v>0</v>
      </c>
      <c r="F462">
        <v>318</v>
      </c>
      <c r="G462">
        <v>155</v>
      </c>
      <c r="H462" s="7">
        <f t="shared" si="29"/>
        <v>56.645279560036663</v>
      </c>
      <c r="I462" s="7">
        <f t="shared" si="30"/>
        <v>0</v>
      </c>
      <c r="J462" s="7">
        <f t="shared" si="31"/>
        <v>29.147571035747021</v>
      </c>
      <c r="K462" s="7">
        <f t="shared" si="32"/>
        <v>14.207149404216315</v>
      </c>
    </row>
    <row r="463" spans="1:11" x14ac:dyDescent="0.35">
      <c r="A463">
        <v>2017</v>
      </c>
      <c r="B463">
        <v>3136009</v>
      </c>
      <c r="C463" t="str">
        <f>VLOOKUP(B463,SAEB!$A:$B,2,0)</f>
        <v>Joaíma</v>
      </c>
      <c r="D463">
        <v>761</v>
      </c>
      <c r="E463">
        <v>312</v>
      </c>
      <c r="F463">
        <v>257</v>
      </c>
      <c r="G463">
        <v>124</v>
      </c>
      <c r="H463" s="7">
        <f t="shared" si="29"/>
        <v>52.338376891334249</v>
      </c>
      <c r="I463" s="7">
        <f t="shared" si="30"/>
        <v>21.458046767537827</v>
      </c>
      <c r="J463" s="7">
        <f t="shared" si="31"/>
        <v>17.675378266850071</v>
      </c>
      <c r="K463" s="7">
        <f t="shared" si="32"/>
        <v>8.5281980742778547</v>
      </c>
    </row>
    <row r="464" spans="1:11" x14ac:dyDescent="0.35">
      <c r="A464">
        <v>2017</v>
      </c>
      <c r="B464">
        <v>3136405</v>
      </c>
      <c r="C464" t="str">
        <f>VLOOKUP(B464,SAEB!$A:$B,2,0)</f>
        <v>Joaquim Felício</v>
      </c>
      <c r="D464">
        <v>290</v>
      </c>
      <c r="E464">
        <v>256</v>
      </c>
      <c r="F464">
        <v>0</v>
      </c>
      <c r="G464">
        <v>0</v>
      </c>
      <c r="H464" s="7">
        <f t="shared" si="29"/>
        <v>53.113553113553117</v>
      </c>
      <c r="I464" s="7">
        <f t="shared" si="30"/>
        <v>46.886446886446883</v>
      </c>
      <c r="J464" s="7">
        <f t="shared" si="31"/>
        <v>0</v>
      </c>
      <c r="K464" s="7">
        <f t="shared" si="32"/>
        <v>0</v>
      </c>
    </row>
    <row r="465" spans="1:11" x14ac:dyDescent="0.35">
      <c r="A465">
        <v>2017</v>
      </c>
      <c r="B465">
        <v>3136553</v>
      </c>
      <c r="C465" t="str">
        <f>VLOOKUP(B465,SAEB!$A:$B,2,0)</f>
        <v>José Raydan</v>
      </c>
      <c r="D465">
        <v>162</v>
      </c>
      <c r="E465">
        <v>0</v>
      </c>
      <c r="F465">
        <v>140</v>
      </c>
      <c r="G465">
        <v>0</v>
      </c>
      <c r="H465" s="7">
        <f t="shared" si="29"/>
        <v>53.642384105960261</v>
      </c>
      <c r="I465" s="7">
        <f t="shared" si="30"/>
        <v>0</v>
      </c>
      <c r="J465" s="7">
        <f t="shared" si="31"/>
        <v>46.357615894039732</v>
      </c>
      <c r="K465" s="7">
        <f t="shared" si="32"/>
        <v>0</v>
      </c>
    </row>
    <row r="466" spans="1:11" x14ac:dyDescent="0.35">
      <c r="A466">
        <v>2017</v>
      </c>
      <c r="B466">
        <v>3136801</v>
      </c>
      <c r="C466" t="str">
        <f>VLOOKUP(B466,SAEB!$A:$B,2,0)</f>
        <v>Juramento</v>
      </c>
      <c r="D466">
        <v>222</v>
      </c>
      <c r="E466">
        <v>0</v>
      </c>
      <c r="F466">
        <v>65</v>
      </c>
      <c r="G466">
        <v>0</v>
      </c>
      <c r="H466" s="7">
        <f t="shared" si="29"/>
        <v>77.351916376306619</v>
      </c>
      <c r="I466" s="7">
        <f t="shared" si="30"/>
        <v>0</v>
      </c>
      <c r="J466" s="7">
        <f t="shared" si="31"/>
        <v>22.648083623693381</v>
      </c>
      <c r="K466" s="7">
        <f t="shared" si="32"/>
        <v>0</v>
      </c>
    </row>
    <row r="467" spans="1:11" x14ac:dyDescent="0.35">
      <c r="A467">
        <v>2017</v>
      </c>
      <c r="B467">
        <v>3136959</v>
      </c>
      <c r="C467" t="str">
        <f>VLOOKUP(B467,SAEB!$A:$B,2,0)</f>
        <v>Juvenília</v>
      </c>
      <c r="D467">
        <v>316</v>
      </c>
      <c r="E467">
        <v>131</v>
      </c>
      <c r="F467">
        <v>49</v>
      </c>
      <c r="G467">
        <v>22</v>
      </c>
      <c r="H467" s="7">
        <f t="shared" si="29"/>
        <v>61.003861003861005</v>
      </c>
      <c r="I467" s="7">
        <f t="shared" si="30"/>
        <v>25.289575289575289</v>
      </c>
      <c r="J467" s="7">
        <f t="shared" si="31"/>
        <v>9.4594594594594597</v>
      </c>
      <c r="K467" s="7">
        <f t="shared" si="32"/>
        <v>4.2471042471042466</v>
      </c>
    </row>
    <row r="468" spans="1:11" x14ac:dyDescent="0.35">
      <c r="A468">
        <v>2017</v>
      </c>
      <c r="B468">
        <v>3137007</v>
      </c>
      <c r="C468" t="str">
        <f>VLOOKUP(B468,SAEB!$A:$B,2,0)</f>
        <v>Ladainha</v>
      </c>
      <c r="D468">
        <v>0</v>
      </c>
      <c r="E468">
        <v>0</v>
      </c>
      <c r="F468">
        <v>707</v>
      </c>
      <c r="G468">
        <v>244</v>
      </c>
      <c r="H468" s="7">
        <f t="shared" si="29"/>
        <v>0</v>
      </c>
      <c r="I468" s="7">
        <f t="shared" si="30"/>
        <v>0</v>
      </c>
      <c r="J468" s="7">
        <f t="shared" si="31"/>
        <v>74.342797055730813</v>
      </c>
      <c r="K468" s="7">
        <f t="shared" si="32"/>
        <v>25.657202944269191</v>
      </c>
    </row>
    <row r="469" spans="1:11" x14ac:dyDescent="0.35">
      <c r="A469">
        <v>2017</v>
      </c>
      <c r="B469">
        <v>3137304</v>
      </c>
      <c r="C469" t="str">
        <f>VLOOKUP(B469,SAEB!$A:$B,2,0)</f>
        <v>Lagoa dos Patos</v>
      </c>
      <c r="D469">
        <v>295</v>
      </c>
      <c r="E469">
        <v>0</v>
      </c>
      <c r="F469">
        <v>19</v>
      </c>
      <c r="G469">
        <v>0</v>
      </c>
      <c r="H469" s="7">
        <f t="shared" si="29"/>
        <v>93.949044585987266</v>
      </c>
      <c r="I469" s="7">
        <f t="shared" si="30"/>
        <v>0</v>
      </c>
      <c r="J469" s="7">
        <f t="shared" si="31"/>
        <v>6.0509554140127388</v>
      </c>
      <c r="K469" s="7">
        <f t="shared" si="32"/>
        <v>0</v>
      </c>
    </row>
    <row r="470" spans="1:11" x14ac:dyDescent="0.35">
      <c r="A470">
        <v>2017</v>
      </c>
      <c r="B470">
        <v>3138104</v>
      </c>
      <c r="C470" t="str">
        <f>VLOOKUP(B470,SAEB!$A:$B,2,0)</f>
        <v>Lassance</v>
      </c>
      <c r="D470">
        <v>195</v>
      </c>
      <c r="E470">
        <v>0</v>
      </c>
      <c r="F470">
        <v>171</v>
      </c>
      <c r="G470">
        <v>102</v>
      </c>
      <c r="H470" s="7">
        <f t="shared" si="29"/>
        <v>41.666666666666671</v>
      </c>
      <c r="I470" s="7">
        <f t="shared" si="30"/>
        <v>0</v>
      </c>
      <c r="J470" s="7">
        <f t="shared" si="31"/>
        <v>36.538461538461533</v>
      </c>
      <c r="K470" s="7">
        <f t="shared" si="32"/>
        <v>21.794871794871796</v>
      </c>
    </row>
    <row r="471" spans="1:11" x14ac:dyDescent="0.35">
      <c r="A471">
        <v>2017</v>
      </c>
      <c r="B471">
        <v>3138351</v>
      </c>
      <c r="C471" t="str">
        <f>VLOOKUP(B471,SAEB!$A:$B,2,0)</f>
        <v>Leme do Prado</v>
      </c>
      <c r="D471">
        <v>17</v>
      </c>
      <c r="E471">
        <v>0</v>
      </c>
      <c r="F471">
        <v>130</v>
      </c>
      <c r="G471">
        <v>90</v>
      </c>
      <c r="H471" s="7">
        <f t="shared" si="29"/>
        <v>7.1729957805907167</v>
      </c>
      <c r="I471" s="7">
        <f t="shared" si="30"/>
        <v>0</v>
      </c>
      <c r="J471" s="7">
        <f t="shared" si="31"/>
        <v>54.852320675105481</v>
      </c>
      <c r="K471" s="7">
        <f t="shared" si="32"/>
        <v>37.974683544303801</v>
      </c>
    </row>
    <row r="472" spans="1:11" x14ac:dyDescent="0.35">
      <c r="A472">
        <v>2017</v>
      </c>
      <c r="B472">
        <v>3138658</v>
      </c>
      <c r="C472" t="str">
        <f>VLOOKUP(B472,SAEB!$A:$B,2,0)</f>
        <v>Lontra</v>
      </c>
      <c r="D472">
        <v>441</v>
      </c>
      <c r="E472">
        <v>208</v>
      </c>
      <c r="F472">
        <v>40</v>
      </c>
      <c r="G472">
        <v>0</v>
      </c>
      <c r="H472" s="7">
        <f t="shared" si="29"/>
        <v>64.005805515239473</v>
      </c>
      <c r="I472" s="7">
        <f t="shared" si="30"/>
        <v>30.188679245283019</v>
      </c>
      <c r="J472" s="7">
        <f t="shared" si="31"/>
        <v>5.8055152394775034</v>
      </c>
      <c r="K472" s="7">
        <f t="shared" si="32"/>
        <v>0</v>
      </c>
    </row>
    <row r="473" spans="1:11" x14ac:dyDescent="0.35">
      <c r="A473">
        <v>2017</v>
      </c>
      <c r="B473">
        <v>3138906</v>
      </c>
      <c r="C473" t="str">
        <f>VLOOKUP(B473,SAEB!$A:$B,2,0)</f>
        <v>Machacalis</v>
      </c>
      <c r="D473">
        <v>392</v>
      </c>
      <c r="E473">
        <v>0</v>
      </c>
      <c r="F473">
        <v>45</v>
      </c>
      <c r="G473">
        <v>0</v>
      </c>
      <c r="H473" s="7">
        <f t="shared" si="29"/>
        <v>89.702517162471395</v>
      </c>
      <c r="I473" s="7">
        <f t="shared" si="30"/>
        <v>0</v>
      </c>
      <c r="J473" s="7">
        <f t="shared" si="31"/>
        <v>10.297482837528605</v>
      </c>
      <c r="K473" s="7">
        <f t="shared" si="32"/>
        <v>0</v>
      </c>
    </row>
    <row r="474" spans="1:11" x14ac:dyDescent="0.35">
      <c r="A474">
        <v>2017</v>
      </c>
      <c r="B474">
        <v>3139201</v>
      </c>
      <c r="C474" t="str">
        <f>VLOOKUP(B474,SAEB!$A:$B,2,0)</f>
        <v>Malacacheta</v>
      </c>
      <c r="D474">
        <v>165</v>
      </c>
      <c r="E474">
        <v>0</v>
      </c>
      <c r="F474">
        <v>186</v>
      </c>
      <c r="G474">
        <v>149</v>
      </c>
      <c r="H474" s="7">
        <f t="shared" si="29"/>
        <v>33</v>
      </c>
      <c r="I474" s="7">
        <f t="shared" si="30"/>
        <v>0</v>
      </c>
      <c r="J474" s="7">
        <f t="shared" si="31"/>
        <v>37.200000000000003</v>
      </c>
      <c r="K474" s="7">
        <f t="shared" si="32"/>
        <v>29.799999999999997</v>
      </c>
    </row>
    <row r="475" spans="1:11" x14ac:dyDescent="0.35">
      <c r="A475">
        <v>2017</v>
      </c>
      <c r="B475">
        <v>3139250</v>
      </c>
      <c r="C475" t="str">
        <f>VLOOKUP(B475,SAEB!$A:$B,2,0)</f>
        <v>Mamonas</v>
      </c>
      <c r="D475">
        <v>320</v>
      </c>
      <c r="E475">
        <v>0</v>
      </c>
      <c r="F475">
        <v>56</v>
      </c>
      <c r="G475">
        <v>0</v>
      </c>
      <c r="H475" s="7">
        <f t="shared" si="29"/>
        <v>85.106382978723403</v>
      </c>
      <c r="I475" s="7">
        <f t="shared" si="30"/>
        <v>0</v>
      </c>
      <c r="J475" s="7">
        <f t="shared" si="31"/>
        <v>14.893617021276595</v>
      </c>
      <c r="K475" s="7">
        <f t="shared" si="32"/>
        <v>0</v>
      </c>
    </row>
    <row r="476" spans="1:11" x14ac:dyDescent="0.35">
      <c r="A476">
        <v>2017</v>
      </c>
      <c r="B476">
        <v>3139300</v>
      </c>
      <c r="C476" t="str">
        <f>VLOOKUP(B476,SAEB!$A:$B,2,0)</f>
        <v>Manga</v>
      </c>
      <c r="D476">
        <v>579</v>
      </c>
      <c r="E476">
        <v>316</v>
      </c>
      <c r="F476">
        <v>331</v>
      </c>
      <c r="G476">
        <v>225</v>
      </c>
      <c r="H476" s="7">
        <f t="shared" si="29"/>
        <v>39.903514817367331</v>
      </c>
      <c r="I476" s="7">
        <f t="shared" si="30"/>
        <v>21.778084079944865</v>
      </c>
      <c r="J476" s="7">
        <f t="shared" si="31"/>
        <v>22.811853893866299</v>
      </c>
      <c r="K476" s="7">
        <f t="shared" si="32"/>
        <v>15.506547208821504</v>
      </c>
    </row>
    <row r="477" spans="1:11" x14ac:dyDescent="0.35">
      <c r="A477">
        <v>2017</v>
      </c>
      <c r="B477">
        <v>3139607</v>
      </c>
      <c r="C477" t="str">
        <f>VLOOKUP(B477,SAEB!$A:$B,2,0)</f>
        <v>Mantena</v>
      </c>
      <c r="D477">
        <v>1698</v>
      </c>
      <c r="E477">
        <v>596</v>
      </c>
      <c r="F477">
        <v>102</v>
      </c>
      <c r="G477">
        <v>56</v>
      </c>
      <c r="H477" s="7">
        <f t="shared" si="29"/>
        <v>69.249592169657433</v>
      </c>
      <c r="I477" s="7">
        <f t="shared" si="30"/>
        <v>24.306688417618272</v>
      </c>
      <c r="J477" s="7">
        <f t="shared" si="31"/>
        <v>4.1598694942903753</v>
      </c>
      <c r="K477" s="7">
        <f t="shared" si="32"/>
        <v>2.2838499184339316</v>
      </c>
    </row>
    <row r="478" spans="1:11" x14ac:dyDescent="0.35">
      <c r="A478">
        <v>2017</v>
      </c>
      <c r="B478">
        <v>3140100</v>
      </c>
      <c r="C478" t="str">
        <f>VLOOKUP(B478,SAEB!$A:$B,2,0)</f>
        <v>Marilac</v>
      </c>
      <c r="D478">
        <v>317</v>
      </c>
      <c r="E478">
        <v>0</v>
      </c>
      <c r="F478">
        <v>0</v>
      </c>
      <c r="G478">
        <v>0</v>
      </c>
      <c r="H478" s="7">
        <f t="shared" si="29"/>
        <v>100</v>
      </c>
      <c r="I478" s="7">
        <f t="shared" si="30"/>
        <v>0</v>
      </c>
      <c r="J478" s="7">
        <f t="shared" si="31"/>
        <v>0</v>
      </c>
      <c r="K478" s="7">
        <f t="shared" si="32"/>
        <v>0</v>
      </c>
    </row>
    <row r="479" spans="1:11" x14ac:dyDescent="0.35">
      <c r="A479">
        <v>2017</v>
      </c>
      <c r="B479">
        <v>3140605</v>
      </c>
      <c r="C479" t="str">
        <f>VLOOKUP(B479,SAEB!$A:$B,2,0)</f>
        <v>Materlândia</v>
      </c>
      <c r="D479">
        <v>224</v>
      </c>
      <c r="E479">
        <v>0</v>
      </c>
      <c r="F479">
        <v>146</v>
      </c>
      <c r="G479">
        <v>44</v>
      </c>
      <c r="H479" s="7">
        <f t="shared" si="29"/>
        <v>54.106280193236714</v>
      </c>
      <c r="I479" s="7">
        <f t="shared" si="30"/>
        <v>0</v>
      </c>
      <c r="J479" s="7">
        <f t="shared" si="31"/>
        <v>35.265700483091791</v>
      </c>
      <c r="K479" s="7">
        <f t="shared" si="32"/>
        <v>10.628019323671497</v>
      </c>
    </row>
    <row r="480" spans="1:11" x14ac:dyDescent="0.35">
      <c r="A480">
        <v>2017</v>
      </c>
      <c r="B480">
        <v>3171501</v>
      </c>
      <c r="C480" t="str">
        <f>VLOOKUP(B480,SAEB!$A:$B,2,0)</f>
        <v>Mathias Lobato</v>
      </c>
      <c r="D480">
        <v>305</v>
      </c>
      <c r="E480">
        <v>0</v>
      </c>
      <c r="F480">
        <v>0</v>
      </c>
      <c r="G480">
        <v>0</v>
      </c>
      <c r="H480" s="7">
        <f t="shared" si="29"/>
        <v>100</v>
      </c>
      <c r="I480" s="7">
        <f t="shared" si="30"/>
        <v>0</v>
      </c>
      <c r="J480" s="7">
        <f t="shared" si="31"/>
        <v>0</v>
      </c>
      <c r="K480" s="7">
        <f t="shared" si="32"/>
        <v>0</v>
      </c>
    </row>
    <row r="481" spans="1:11" x14ac:dyDescent="0.35">
      <c r="A481">
        <v>2017</v>
      </c>
      <c r="B481">
        <v>3140852</v>
      </c>
      <c r="C481" t="str">
        <f>VLOOKUP(B481,SAEB!$A:$B,2,0)</f>
        <v>Matias Cardoso</v>
      </c>
      <c r="D481">
        <v>527</v>
      </c>
      <c r="E481">
        <v>253</v>
      </c>
      <c r="F481">
        <v>76</v>
      </c>
      <c r="G481">
        <v>0</v>
      </c>
      <c r="H481" s="7">
        <f t="shared" si="29"/>
        <v>61.565420560747661</v>
      </c>
      <c r="I481" s="7">
        <f t="shared" si="30"/>
        <v>29.556074766355138</v>
      </c>
      <c r="J481" s="7">
        <f t="shared" si="31"/>
        <v>8.8785046728971952</v>
      </c>
      <c r="K481" s="7">
        <f t="shared" si="32"/>
        <v>0</v>
      </c>
    </row>
    <row r="482" spans="1:11" x14ac:dyDescent="0.35">
      <c r="A482">
        <v>2017</v>
      </c>
      <c r="B482">
        <v>3141009</v>
      </c>
      <c r="C482" t="str">
        <f>VLOOKUP(B482,SAEB!$A:$B,2,0)</f>
        <v>Mato Verde</v>
      </c>
      <c r="D482">
        <v>0</v>
      </c>
      <c r="E482">
        <v>0</v>
      </c>
      <c r="F482">
        <v>436</v>
      </c>
      <c r="G482">
        <v>0</v>
      </c>
      <c r="H482" s="7">
        <f t="shared" si="29"/>
        <v>0</v>
      </c>
      <c r="I482" s="7">
        <f t="shared" si="30"/>
        <v>0</v>
      </c>
      <c r="J482" s="7">
        <f t="shared" si="31"/>
        <v>100</v>
      </c>
      <c r="K482" s="7">
        <f t="shared" si="32"/>
        <v>0</v>
      </c>
    </row>
    <row r="483" spans="1:11" x14ac:dyDescent="0.35">
      <c r="A483">
        <v>2017</v>
      </c>
      <c r="B483">
        <v>3141405</v>
      </c>
      <c r="C483" t="str">
        <f>VLOOKUP(B483,SAEB!$A:$B,2,0)</f>
        <v>Medina</v>
      </c>
      <c r="D483">
        <v>602</v>
      </c>
      <c r="E483">
        <v>0</v>
      </c>
      <c r="F483">
        <v>259</v>
      </c>
      <c r="G483">
        <v>0</v>
      </c>
      <c r="H483" s="7">
        <f t="shared" si="29"/>
        <v>69.918699186991873</v>
      </c>
      <c r="I483" s="7">
        <f t="shared" si="30"/>
        <v>0</v>
      </c>
      <c r="J483" s="7">
        <f t="shared" si="31"/>
        <v>30.081300813008134</v>
      </c>
      <c r="K483" s="7">
        <f t="shared" si="32"/>
        <v>0</v>
      </c>
    </row>
    <row r="484" spans="1:11" x14ac:dyDescent="0.35">
      <c r="A484">
        <v>2017</v>
      </c>
      <c r="B484">
        <v>3141504</v>
      </c>
      <c r="C484" t="str">
        <f>VLOOKUP(B484,SAEB!$A:$B,2,0)</f>
        <v>Mendes Pimentel</v>
      </c>
      <c r="D484">
        <v>257</v>
      </c>
      <c r="E484">
        <v>0</v>
      </c>
      <c r="F484">
        <v>115</v>
      </c>
      <c r="G484">
        <v>0</v>
      </c>
      <c r="H484" s="7">
        <f t="shared" si="29"/>
        <v>69.086021505376351</v>
      </c>
      <c r="I484" s="7">
        <f t="shared" si="30"/>
        <v>0</v>
      </c>
      <c r="J484" s="7">
        <f t="shared" si="31"/>
        <v>30.913978494623656</v>
      </c>
      <c r="K484" s="7">
        <f t="shared" si="32"/>
        <v>0</v>
      </c>
    </row>
    <row r="485" spans="1:11" x14ac:dyDescent="0.35">
      <c r="A485">
        <v>2017</v>
      </c>
      <c r="B485">
        <v>3141801</v>
      </c>
      <c r="C485" t="str">
        <f>VLOOKUP(B485,SAEB!$A:$B,2,0)</f>
        <v>Minas Novas</v>
      </c>
      <c r="D485">
        <v>250</v>
      </c>
      <c r="E485">
        <v>315</v>
      </c>
      <c r="F485">
        <v>518</v>
      </c>
      <c r="G485">
        <v>102</v>
      </c>
      <c r="H485" s="7">
        <f t="shared" si="29"/>
        <v>21.09704641350211</v>
      </c>
      <c r="I485" s="7">
        <f t="shared" si="30"/>
        <v>26.582278481012654</v>
      </c>
      <c r="J485" s="7">
        <f t="shared" si="31"/>
        <v>43.713080168776372</v>
      </c>
      <c r="K485" s="7">
        <f t="shared" si="32"/>
        <v>8.6075949367088604</v>
      </c>
    </row>
    <row r="486" spans="1:11" x14ac:dyDescent="0.35">
      <c r="A486">
        <v>2017</v>
      </c>
      <c r="B486">
        <v>3142007</v>
      </c>
      <c r="C486" t="str">
        <f>VLOOKUP(B486,SAEB!$A:$B,2,0)</f>
        <v>Mirabela</v>
      </c>
      <c r="D486">
        <v>475</v>
      </c>
      <c r="E486">
        <v>0</v>
      </c>
      <c r="F486">
        <v>123</v>
      </c>
      <c r="G486">
        <v>110</v>
      </c>
      <c r="H486" s="7">
        <f t="shared" si="29"/>
        <v>67.090395480225979</v>
      </c>
      <c r="I486" s="7">
        <f t="shared" si="30"/>
        <v>0</v>
      </c>
      <c r="J486" s="7">
        <f t="shared" si="31"/>
        <v>17.372881355932204</v>
      </c>
      <c r="K486" s="7">
        <f t="shared" si="32"/>
        <v>15.53672316384181</v>
      </c>
    </row>
    <row r="487" spans="1:11" x14ac:dyDescent="0.35">
      <c r="A487">
        <v>2017</v>
      </c>
      <c r="B487">
        <v>3142254</v>
      </c>
      <c r="C487" t="str">
        <f>VLOOKUP(B487,SAEB!$A:$B,2,0)</f>
        <v>Miravânia</v>
      </c>
      <c r="D487">
        <v>0</v>
      </c>
      <c r="E487">
        <v>0</v>
      </c>
      <c r="F487">
        <v>160</v>
      </c>
      <c r="G487">
        <v>189</v>
      </c>
      <c r="H487" s="7">
        <f t="shared" si="29"/>
        <v>0</v>
      </c>
      <c r="I487" s="7">
        <f t="shared" si="30"/>
        <v>0</v>
      </c>
      <c r="J487" s="7">
        <f t="shared" si="31"/>
        <v>45.845272206303726</v>
      </c>
      <c r="K487" s="7">
        <f t="shared" si="32"/>
        <v>54.154727793696281</v>
      </c>
    </row>
    <row r="488" spans="1:11" x14ac:dyDescent="0.35">
      <c r="A488">
        <v>2017</v>
      </c>
      <c r="B488">
        <v>3142502</v>
      </c>
      <c r="C488" t="str">
        <f>VLOOKUP(B488,SAEB!$A:$B,2,0)</f>
        <v>Monjolos</v>
      </c>
      <c r="D488">
        <v>111</v>
      </c>
      <c r="E488">
        <v>0</v>
      </c>
      <c r="F488">
        <v>5</v>
      </c>
      <c r="G488">
        <v>0</v>
      </c>
      <c r="H488" s="7">
        <f t="shared" si="29"/>
        <v>95.689655172413794</v>
      </c>
      <c r="I488" s="7">
        <f t="shared" si="30"/>
        <v>0</v>
      </c>
      <c r="J488" s="7">
        <f t="shared" si="31"/>
        <v>4.3103448275862073</v>
      </c>
      <c r="K488" s="7">
        <f t="shared" si="32"/>
        <v>0</v>
      </c>
    </row>
    <row r="489" spans="1:11" x14ac:dyDescent="0.35">
      <c r="A489">
        <v>2017</v>
      </c>
      <c r="B489">
        <v>3142700</v>
      </c>
      <c r="C489" t="str">
        <f>VLOOKUP(B489,SAEB!$A:$B,2,0)</f>
        <v>Montalvânia</v>
      </c>
      <c r="D489">
        <v>217</v>
      </c>
      <c r="E489">
        <v>59</v>
      </c>
      <c r="F489">
        <v>187</v>
      </c>
      <c r="G489">
        <v>35</v>
      </c>
      <c r="H489" s="7">
        <f t="shared" si="29"/>
        <v>43.574297188755018</v>
      </c>
      <c r="I489" s="7">
        <f t="shared" si="30"/>
        <v>11.847389558232932</v>
      </c>
      <c r="J489" s="7">
        <f t="shared" si="31"/>
        <v>37.550200803212853</v>
      </c>
      <c r="K489" s="7">
        <f t="shared" si="32"/>
        <v>7.0281124497991971</v>
      </c>
    </row>
    <row r="490" spans="1:11" x14ac:dyDescent="0.35">
      <c r="A490">
        <v>2017</v>
      </c>
      <c r="B490">
        <v>3143153</v>
      </c>
      <c r="C490" t="str">
        <f>VLOOKUP(B490,SAEB!$A:$B,2,0)</f>
        <v>Monte Formoso</v>
      </c>
      <c r="D490">
        <v>206</v>
      </c>
      <c r="E490">
        <v>0</v>
      </c>
      <c r="F490">
        <v>234</v>
      </c>
      <c r="G490">
        <v>0</v>
      </c>
      <c r="H490" s="7">
        <f t="shared" si="29"/>
        <v>46.81818181818182</v>
      </c>
      <c r="I490" s="7">
        <f t="shared" si="30"/>
        <v>0</v>
      </c>
      <c r="J490" s="7">
        <f t="shared" si="31"/>
        <v>53.181818181818187</v>
      </c>
      <c r="K490" s="7">
        <f t="shared" si="32"/>
        <v>0</v>
      </c>
    </row>
    <row r="491" spans="1:11" x14ac:dyDescent="0.35">
      <c r="A491">
        <v>2017</v>
      </c>
      <c r="B491">
        <v>3143302</v>
      </c>
      <c r="C491" t="str">
        <f>VLOOKUP(B491,SAEB!$A:$B,2,0)</f>
        <v>Montes Claros</v>
      </c>
      <c r="D491">
        <v>9790</v>
      </c>
      <c r="E491">
        <v>5424</v>
      </c>
      <c r="F491">
        <v>1458</v>
      </c>
      <c r="G491">
        <v>899</v>
      </c>
      <c r="H491" s="7">
        <f t="shared" si="29"/>
        <v>55.716806100961811</v>
      </c>
      <c r="I491" s="7">
        <f t="shared" si="30"/>
        <v>30.869045586477718</v>
      </c>
      <c r="J491" s="7">
        <f t="shared" si="31"/>
        <v>8.2977633600819534</v>
      </c>
      <c r="K491" s="7">
        <f t="shared" si="32"/>
        <v>5.1163849524785157</v>
      </c>
    </row>
    <row r="492" spans="1:11" x14ac:dyDescent="0.35">
      <c r="A492">
        <v>2017</v>
      </c>
      <c r="B492">
        <v>3143450</v>
      </c>
      <c r="C492" t="str">
        <f>VLOOKUP(B492,SAEB!$A:$B,2,0)</f>
        <v>Montezuma</v>
      </c>
      <c r="D492">
        <v>207</v>
      </c>
      <c r="E492">
        <v>0</v>
      </c>
      <c r="F492">
        <v>172</v>
      </c>
      <c r="G492">
        <v>0</v>
      </c>
      <c r="H492" s="7">
        <f t="shared" si="29"/>
        <v>54.617414248021113</v>
      </c>
      <c r="I492" s="7">
        <f t="shared" si="30"/>
        <v>0</v>
      </c>
      <c r="J492" s="7">
        <f t="shared" si="31"/>
        <v>45.382585751978894</v>
      </c>
      <c r="K492" s="7">
        <f t="shared" si="32"/>
        <v>0</v>
      </c>
    </row>
    <row r="493" spans="1:11" x14ac:dyDescent="0.35">
      <c r="A493">
        <v>2017</v>
      </c>
      <c r="B493">
        <v>3143609</v>
      </c>
      <c r="C493" t="str">
        <f>VLOOKUP(B493,SAEB!$A:$B,2,0)</f>
        <v>Morro da Garça</v>
      </c>
      <c r="D493">
        <v>150</v>
      </c>
      <c r="E493">
        <v>199</v>
      </c>
      <c r="F493">
        <v>25</v>
      </c>
      <c r="G493">
        <v>19</v>
      </c>
      <c r="H493" s="7">
        <f t="shared" si="29"/>
        <v>38.167938931297712</v>
      </c>
      <c r="I493" s="7">
        <f t="shared" si="30"/>
        <v>50.636132315521628</v>
      </c>
      <c r="J493" s="7">
        <f t="shared" si="31"/>
        <v>6.3613231552162848</v>
      </c>
      <c r="K493" s="7">
        <f t="shared" si="32"/>
        <v>4.8346055979643765</v>
      </c>
    </row>
    <row r="494" spans="1:11" x14ac:dyDescent="0.35">
      <c r="A494">
        <v>2017</v>
      </c>
      <c r="B494">
        <v>3144003</v>
      </c>
      <c r="C494" t="str">
        <f>VLOOKUP(B494,SAEB!$A:$B,2,0)</f>
        <v>Mutum</v>
      </c>
      <c r="D494">
        <v>557</v>
      </c>
      <c r="E494">
        <v>0</v>
      </c>
      <c r="F494">
        <v>413</v>
      </c>
      <c r="G494">
        <v>124</v>
      </c>
      <c r="H494" s="7">
        <f t="shared" si="29"/>
        <v>50.914076782449726</v>
      </c>
      <c r="I494" s="7">
        <f t="shared" si="30"/>
        <v>0</v>
      </c>
      <c r="J494" s="7">
        <f t="shared" si="31"/>
        <v>37.751371115173676</v>
      </c>
      <c r="K494" s="7">
        <f t="shared" si="32"/>
        <v>11.3345521023766</v>
      </c>
    </row>
    <row r="495" spans="1:11" x14ac:dyDescent="0.35">
      <c r="A495">
        <v>2017</v>
      </c>
      <c r="B495">
        <v>3144201</v>
      </c>
      <c r="C495" t="str">
        <f>VLOOKUP(B495,SAEB!$A:$B,2,0)</f>
        <v>Nacip Raydan</v>
      </c>
      <c r="D495">
        <v>181</v>
      </c>
      <c r="E495">
        <v>0</v>
      </c>
      <c r="F495">
        <v>12</v>
      </c>
      <c r="G495">
        <v>0</v>
      </c>
      <c r="H495" s="7">
        <f t="shared" si="29"/>
        <v>93.782383419689126</v>
      </c>
      <c r="I495" s="7">
        <f t="shared" si="30"/>
        <v>0</v>
      </c>
      <c r="J495" s="7">
        <f t="shared" si="31"/>
        <v>6.2176165803108807</v>
      </c>
      <c r="K495" s="7">
        <f t="shared" si="32"/>
        <v>0</v>
      </c>
    </row>
    <row r="496" spans="1:11" x14ac:dyDescent="0.35">
      <c r="A496">
        <v>2017</v>
      </c>
      <c r="B496">
        <v>3144300</v>
      </c>
      <c r="C496" t="str">
        <f>VLOOKUP(B496,SAEB!$A:$B,2,0)</f>
        <v>Nanuque</v>
      </c>
      <c r="D496">
        <v>488</v>
      </c>
      <c r="E496">
        <v>338</v>
      </c>
      <c r="F496">
        <v>153</v>
      </c>
      <c r="G496">
        <v>130</v>
      </c>
      <c r="H496" s="7">
        <f t="shared" si="29"/>
        <v>44.003606853020742</v>
      </c>
      <c r="I496" s="7">
        <f t="shared" si="30"/>
        <v>30.47790802524797</v>
      </c>
      <c r="J496" s="7">
        <f t="shared" si="31"/>
        <v>13.796212804328222</v>
      </c>
      <c r="K496" s="7">
        <f t="shared" si="32"/>
        <v>11.722272317403066</v>
      </c>
    </row>
    <row r="497" spans="1:11" x14ac:dyDescent="0.35">
      <c r="A497">
        <v>2017</v>
      </c>
      <c r="B497">
        <v>3144359</v>
      </c>
      <c r="C497" t="str">
        <f>VLOOKUP(B497,SAEB!$A:$B,2,0)</f>
        <v>Naque</v>
      </c>
      <c r="D497">
        <v>560</v>
      </c>
      <c r="E497">
        <v>0</v>
      </c>
      <c r="F497">
        <v>0</v>
      </c>
      <c r="G497">
        <v>0</v>
      </c>
      <c r="H497" s="7">
        <f t="shared" si="29"/>
        <v>100</v>
      </c>
      <c r="I497" s="7">
        <f t="shared" si="30"/>
        <v>0</v>
      </c>
      <c r="J497" s="7">
        <f t="shared" si="31"/>
        <v>0</v>
      </c>
      <c r="K497" s="7">
        <f t="shared" si="32"/>
        <v>0</v>
      </c>
    </row>
    <row r="498" spans="1:11" x14ac:dyDescent="0.35">
      <c r="A498">
        <v>2017</v>
      </c>
      <c r="B498">
        <v>3144375</v>
      </c>
      <c r="C498" t="str">
        <f>VLOOKUP(B498,SAEB!$A:$B,2,0)</f>
        <v>Natalândia</v>
      </c>
      <c r="D498">
        <v>281</v>
      </c>
      <c r="E498">
        <v>0</v>
      </c>
      <c r="F498">
        <v>0</v>
      </c>
      <c r="G498">
        <v>0</v>
      </c>
      <c r="H498" s="7">
        <f t="shared" si="29"/>
        <v>100</v>
      </c>
      <c r="I498" s="7">
        <f t="shared" si="30"/>
        <v>0</v>
      </c>
      <c r="J498" s="7">
        <f t="shared" si="31"/>
        <v>0</v>
      </c>
      <c r="K498" s="7">
        <f t="shared" si="32"/>
        <v>0</v>
      </c>
    </row>
    <row r="499" spans="1:11" x14ac:dyDescent="0.35">
      <c r="A499">
        <v>2017</v>
      </c>
      <c r="B499">
        <v>3144656</v>
      </c>
      <c r="C499" t="str">
        <f>VLOOKUP(B499,SAEB!$A:$B,2,0)</f>
        <v>Ninheira</v>
      </c>
      <c r="D499">
        <v>324</v>
      </c>
      <c r="E499">
        <v>0</v>
      </c>
      <c r="F499">
        <v>302</v>
      </c>
      <c r="G499">
        <v>0</v>
      </c>
      <c r="H499" s="7">
        <f t="shared" si="29"/>
        <v>51.757188498402549</v>
      </c>
      <c r="I499" s="7">
        <f t="shared" si="30"/>
        <v>0</v>
      </c>
      <c r="J499" s="7">
        <f t="shared" si="31"/>
        <v>48.242811501597444</v>
      </c>
      <c r="K499" s="7">
        <f t="shared" si="32"/>
        <v>0</v>
      </c>
    </row>
    <row r="500" spans="1:11" x14ac:dyDescent="0.35">
      <c r="A500">
        <v>2017</v>
      </c>
      <c r="B500">
        <v>3144672</v>
      </c>
      <c r="C500" t="str">
        <f>VLOOKUP(B500,SAEB!$A:$B,2,0)</f>
        <v>Nova Belém</v>
      </c>
      <c r="D500">
        <v>164</v>
      </c>
      <c r="E500">
        <v>0</v>
      </c>
      <c r="F500">
        <v>113</v>
      </c>
      <c r="G500">
        <v>0</v>
      </c>
      <c r="H500" s="7">
        <f t="shared" si="29"/>
        <v>59.205776173285194</v>
      </c>
      <c r="I500" s="7">
        <f t="shared" si="30"/>
        <v>0</v>
      </c>
      <c r="J500" s="7">
        <f t="shared" si="31"/>
        <v>40.794223826714806</v>
      </c>
      <c r="K500" s="7">
        <f t="shared" si="32"/>
        <v>0</v>
      </c>
    </row>
    <row r="501" spans="1:11" x14ac:dyDescent="0.35">
      <c r="A501">
        <v>2017</v>
      </c>
      <c r="B501">
        <v>3145059</v>
      </c>
      <c r="C501" t="str">
        <f>VLOOKUP(B501,SAEB!$A:$B,2,0)</f>
        <v>Nova Porteirinha</v>
      </c>
      <c r="D501">
        <v>189</v>
      </c>
      <c r="E501">
        <v>70</v>
      </c>
      <c r="F501">
        <v>160</v>
      </c>
      <c r="G501">
        <v>0</v>
      </c>
      <c r="H501" s="7">
        <f t="shared" si="29"/>
        <v>45.107398568019093</v>
      </c>
      <c r="I501" s="7">
        <f t="shared" si="30"/>
        <v>16.706443914081145</v>
      </c>
      <c r="J501" s="7">
        <f t="shared" si="31"/>
        <v>38.186157517899758</v>
      </c>
      <c r="K501" s="7">
        <f t="shared" si="32"/>
        <v>0</v>
      </c>
    </row>
    <row r="502" spans="1:11" x14ac:dyDescent="0.35">
      <c r="A502">
        <v>2017</v>
      </c>
      <c r="B502">
        <v>3145356</v>
      </c>
      <c r="C502" t="str">
        <f>VLOOKUP(B502,SAEB!$A:$B,2,0)</f>
        <v>Novo Oriente de Minas</v>
      </c>
      <c r="D502">
        <v>214</v>
      </c>
      <c r="E502">
        <v>0</v>
      </c>
      <c r="F502">
        <v>318</v>
      </c>
      <c r="G502">
        <v>98</v>
      </c>
      <c r="H502" s="7">
        <f t="shared" si="29"/>
        <v>33.968253968253968</v>
      </c>
      <c r="I502" s="7">
        <f t="shared" si="30"/>
        <v>0</v>
      </c>
      <c r="J502" s="7">
        <f t="shared" si="31"/>
        <v>50.476190476190474</v>
      </c>
      <c r="K502" s="7">
        <f t="shared" si="32"/>
        <v>15.555555555555555</v>
      </c>
    </row>
    <row r="503" spans="1:11" x14ac:dyDescent="0.35">
      <c r="A503">
        <v>2017</v>
      </c>
      <c r="B503">
        <v>3145372</v>
      </c>
      <c r="C503" t="str">
        <f>VLOOKUP(B503,SAEB!$A:$B,2,0)</f>
        <v>Novorizonte</v>
      </c>
      <c r="D503">
        <v>0</v>
      </c>
      <c r="E503">
        <v>0</v>
      </c>
      <c r="F503">
        <v>362</v>
      </c>
      <c r="G503">
        <v>101</v>
      </c>
      <c r="H503" s="7">
        <f t="shared" si="29"/>
        <v>0</v>
      </c>
      <c r="I503" s="7">
        <f t="shared" si="30"/>
        <v>0</v>
      </c>
      <c r="J503" s="7">
        <f t="shared" si="31"/>
        <v>78.185745140388775</v>
      </c>
      <c r="K503" s="7">
        <f t="shared" si="32"/>
        <v>21.814254859611232</v>
      </c>
    </row>
    <row r="504" spans="1:11" x14ac:dyDescent="0.35">
      <c r="A504">
        <v>2017</v>
      </c>
      <c r="B504">
        <v>3145455</v>
      </c>
      <c r="C504" t="str">
        <f>VLOOKUP(B504,SAEB!$A:$B,2,0)</f>
        <v>Olhos-d'Água</v>
      </c>
      <c r="D504">
        <v>365</v>
      </c>
      <c r="E504">
        <v>0</v>
      </c>
      <c r="F504">
        <v>84</v>
      </c>
      <c r="G504">
        <v>0</v>
      </c>
      <c r="H504" s="7">
        <f t="shared" si="29"/>
        <v>81.291759465478847</v>
      </c>
      <c r="I504" s="7">
        <f t="shared" si="30"/>
        <v>0</v>
      </c>
      <c r="J504" s="7">
        <f t="shared" si="31"/>
        <v>18.70824053452116</v>
      </c>
      <c r="K504" s="7">
        <f t="shared" si="32"/>
        <v>0</v>
      </c>
    </row>
    <row r="505" spans="1:11" x14ac:dyDescent="0.35">
      <c r="A505">
        <v>2017</v>
      </c>
      <c r="B505">
        <v>3146305</v>
      </c>
      <c r="C505" t="str">
        <f>VLOOKUP(B505,SAEB!$A:$B,2,0)</f>
        <v>Padre Paraíso</v>
      </c>
      <c r="D505">
        <v>351</v>
      </c>
      <c r="E505">
        <v>0</v>
      </c>
      <c r="F505">
        <v>488</v>
      </c>
      <c r="G505">
        <v>508</v>
      </c>
      <c r="H505" s="7">
        <f t="shared" si="29"/>
        <v>26.057906458797326</v>
      </c>
      <c r="I505" s="7">
        <f t="shared" si="30"/>
        <v>0</v>
      </c>
      <c r="J505" s="7">
        <f t="shared" si="31"/>
        <v>36.228656273199704</v>
      </c>
      <c r="K505" s="7">
        <f t="shared" si="32"/>
        <v>37.71343726800297</v>
      </c>
    </row>
    <row r="506" spans="1:11" x14ac:dyDescent="0.35">
      <c r="A506">
        <v>2017</v>
      </c>
      <c r="B506">
        <v>3146552</v>
      </c>
      <c r="C506" t="str">
        <f>VLOOKUP(B506,SAEB!$A:$B,2,0)</f>
        <v>Pai Pedro</v>
      </c>
      <c r="D506">
        <v>288</v>
      </c>
      <c r="E506">
        <v>0</v>
      </c>
      <c r="F506">
        <v>165</v>
      </c>
      <c r="G506">
        <v>171</v>
      </c>
      <c r="H506" s="7">
        <f t="shared" si="29"/>
        <v>46.153846153846153</v>
      </c>
      <c r="I506" s="7">
        <f t="shared" si="30"/>
        <v>0</v>
      </c>
      <c r="J506" s="7">
        <f t="shared" si="31"/>
        <v>26.442307692307693</v>
      </c>
      <c r="K506" s="7">
        <f t="shared" si="32"/>
        <v>27.403846153846157</v>
      </c>
    </row>
    <row r="507" spans="1:11" x14ac:dyDescent="0.35">
      <c r="A507">
        <v>2017</v>
      </c>
      <c r="B507">
        <v>3146750</v>
      </c>
      <c r="C507" t="str">
        <f>VLOOKUP(B507,SAEB!$A:$B,2,0)</f>
        <v>Palmópolis</v>
      </c>
      <c r="D507">
        <v>389</v>
      </c>
      <c r="E507">
        <v>48</v>
      </c>
      <c r="F507">
        <v>24</v>
      </c>
      <c r="G507">
        <v>0</v>
      </c>
      <c r="H507" s="7">
        <f t="shared" si="29"/>
        <v>84.381778741865503</v>
      </c>
      <c r="I507" s="7">
        <f t="shared" si="30"/>
        <v>10.412147505422993</v>
      </c>
      <c r="J507" s="7">
        <f t="shared" si="31"/>
        <v>5.2060737527114966</v>
      </c>
      <c r="K507" s="7">
        <f t="shared" si="32"/>
        <v>0</v>
      </c>
    </row>
    <row r="508" spans="1:11" x14ac:dyDescent="0.35">
      <c r="A508">
        <v>2017</v>
      </c>
      <c r="B508">
        <v>3147956</v>
      </c>
      <c r="C508" t="str">
        <f>VLOOKUP(B508,SAEB!$A:$B,2,0)</f>
        <v>Patis</v>
      </c>
      <c r="D508">
        <v>185</v>
      </c>
      <c r="E508">
        <v>113</v>
      </c>
      <c r="F508">
        <v>93</v>
      </c>
      <c r="G508">
        <v>109</v>
      </c>
      <c r="H508" s="7">
        <f t="shared" si="29"/>
        <v>37</v>
      </c>
      <c r="I508" s="7">
        <f t="shared" si="30"/>
        <v>22.6</v>
      </c>
      <c r="J508" s="7">
        <f t="shared" si="31"/>
        <v>18.600000000000001</v>
      </c>
      <c r="K508" s="7">
        <f t="shared" si="32"/>
        <v>21.8</v>
      </c>
    </row>
    <row r="509" spans="1:11" x14ac:dyDescent="0.35">
      <c r="A509">
        <v>2017</v>
      </c>
      <c r="B509">
        <v>3148608</v>
      </c>
      <c r="C509" t="str">
        <f>VLOOKUP(B509,SAEB!$A:$B,2,0)</f>
        <v>Peçanha</v>
      </c>
      <c r="D509">
        <v>0</v>
      </c>
      <c r="E509">
        <v>0</v>
      </c>
      <c r="F509">
        <v>480</v>
      </c>
      <c r="G509">
        <v>251</v>
      </c>
      <c r="H509" s="7">
        <f t="shared" si="29"/>
        <v>0</v>
      </c>
      <c r="I509" s="7">
        <f t="shared" si="30"/>
        <v>0</v>
      </c>
      <c r="J509" s="7">
        <f t="shared" si="31"/>
        <v>65.663474692202456</v>
      </c>
      <c r="K509" s="7">
        <f t="shared" si="32"/>
        <v>34.336525307797537</v>
      </c>
    </row>
    <row r="510" spans="1:11" x14ac:dyDescent="0.35">
      <c r="A510">
        <v>2017</v>
      </c>
      <c r="B510">
        <v>3148707</v>
      </c>
      <c r="C510" t="str">
        <f>VLOOKUP(B510,SAEB!$A:$B,2,0)</f>
        <v>Pedra Azul</v>
      </c>
      <c r="D510">
        <v>1385</v>
      </c>
      <c r="E510">
        <v>145</v>
      </c>
      <c r="F510">
        <v>145</v>
      </c>
      <c r="G510">
        <v>0</v>
      </c>
      <c r="H510" s="7">
        <f t="shared" si="29"/>
        <v>82.68656716417911</v>
      </c>
      <c r="I510" s="7">
        <f t="shared" si="30"/>
        <v>8.6567164179104488</v>
      </c>
      <c r="J510" s="7">
        <f t="shared" si="31"/>
        <v>8.6567164179104488</v>
      </c>
      <c r="K510" s="7">
        <f t="shared" si="32"/>
        <v>0</v>
      </c>
    </row>
    <row r="511" spans="1:11" x14ac:dyDescent="0.35">
      <c r="A511">
        <v>2017</v>
      </c>
      <c r="B511">
        <v>3149952</v>
      </c>
      <c r="C511" t="str">
        <f>VLOOKUP(B511,SAEB!$A:$B,2,0)</f>
        <v>Periquito</v>
      </c>
      <c r="D511">
        <v>586</v>
      </c>
      <c r="E511">
        <v>284</v>
      </c>
      <c r="F511">
        <v>0</v>
      </c>
      <c r="G511">
        <v>0</v>
      </c>
      <c r="H511" s="7">
        <f t="shared" si="29"/>
        <v>67.356321839080451</v>
      </c>
      <c r="I511" s="7">
        <f t="shared" si="30"/>
        <v>32.643678160919542</v>
      </c>
      <c r="J511" s="7">
        <f t="shared" si="31"/>
        <v>0</v>
      </c>
      <c r="K511" s="7">
        <f t="shared" si="32"/>
        <v>0</v>
      </c>
    </row>
    <row r="512" spans="1:11" x14ac:dyDescent="0.35">
      <c r="A512">
        <v>2017</v>
      </c>
      <c r="B512">
        <v>3150158</v>
      </c>
      <c r="C512" t="str">
        <f>VLOOKUP(B512,SAEB!$A:$B,2,0)</f>
        <v>Piedade de Caratinga</v>
      </c>
      <c r="D512">
        <v>647</v>
      </c>
      <c r="E512">
        <v>0</v>
      </c>
      <c r="F512">
        <v>70</v>
      </c>
      <c r="G512">
        <v>0</v>
      </c>
      <c r="H512" s="7">
        <f t="shared" si="29"/>
        <v>90.237099023709902</v>
      </c>
      <c r="I512" s="7">
        <f t="shared" si="30"/>
        <v>0</v>
      </c>
      <c r="J512" s="7">
        <f t="shared" si="31"/>
        <v>9.7629009762900978</v>
      </c>
      <c r="K512" s="7">
        <f t="shared" si="32"/>
        <v>0</v>
      </c>
    </row>
    <row r="513" spans="1:11" x14ac:dyDescent="0.35">
      <c r="A513">
        <v>2017</v>
      </c>
      <c r="B513">
        <v>3150570</v>
      </c>
      <c r="C513" t="str">
        <f>VLOOKUP(B513,SAEB!$A:$B,2,0)</f>
        <v>Pintópolis</v>
      </c>
      <c r="D513">
        <v>387</v>
      </c>
      <c r="E513">
        <v>0</v>
      </c>
      <c r="F513">
        <v>198</v>
      </c>
      <c r="G513">
        <v>0</v>
      </c>
      <c r="H513" s="7">
        <f t="shared" si="29"/>
        <v>66.153846153846146</v>
      </c>
      <c r="I513" s="7">
        <f t="shared" si="30"/>
        <v>0</v>
      </c>
      <c r="J513" s="7">
        <f t="shared" si="31"/>
        <v>33.846153846153847</v>
      </c>
      <c r="K513" s="7">
        <f t="shared" si="32"/>
        <v>0</v>
      </c>
    </row>
    <row r="514" spans="1:11" x14ac:dyDescent="0.35">
      <c r="A514">
        <v>2017</v>
      </c>
      <c r="B514">
        <v>3151206</v>
      </c>
      <c r="C514" t="str">
        <f>VLOOKUP(B514,SAEB!$A:$B,2,0)</f>
        <v>Pirapora</v>
      </c>
      <c r="D514">
        <v>2898</v>
      </c>
      <c r="E514">
        <v>113</v>
      </c>
      <c r="F514">
        <v>0</v>
      </c>
      <c r="G514">
        <v>0</v>
      </c>
      <c r="H514" s="7">
        <f t="shared" si="29"/>
        <v>96.247093988708059</v>
      </c>
      <c r="I514" s="7">
        <f t="shared" si="30"/>
        <v>3.7529060112919295</v>
      </c>
      <c r="J514" s="7">
        <f t="shared" si="31"/>
        <v>0</v>
      </c>
      <c r="K514" s="7">
        <f t="shared" si="32"/>
        <v>0</v>
      </c>
    </row>
    <row r="515" spans="1:11" x14ac:dyDescent="0.35">
      <c r="A515">
        <v>2017</v>
      </c>
      <c r="B515">
        <v>3152170</v>
      </c>
      <c r="C515" t="str">
        <f>VLOOKUP(B515,SAEB!$A:$B,2,0)</f>
        <v>Ponto dos Volantes</v>
      </c>
      <c r="D515">
        <v>511</v>
      </c>
      <c r="E515">
        <v>377</v>
      </c>
      <c r="F515">
        <v>448</v>
      </c>
      <c r="G515">
        <v>437</v>
      </c>
      <c r="H515" s="7">
        <f t="shared" ref="H515:H578" si="33">D515/SUM($D515:$G515)*100</f>
        <v>28.82120699379583</v>
      </c>
      <c r="I515" s="7">
        <f t="shared" ref="I515:I578" si="34">E515/SUM($D515:$G515)*100</f>
        <v>21.263395375070502</v>
      </c>
      <c r="J515" s="7">
        <f t="shared" ref="J515:J578" si="35">F515/SUM($D515:$G515)*100</f>
        <v>25.267907501410043</v>
      </c>
      <c r="K515" s="7">
        <f t="shared" ref="K515:K578" si="36">G515/SUM($D515:$G515)*100</f>
        <v>24.647490129723632</v>
      </c>
    </row>
    <row r="516" spans="1:11" x14ac:dyDescent="0.35">
      <c r="A516">
        <v>2017</v>
      </c>
      <c r="B516">
        <v>3152402</v>
      </c>
      <c r="C516" t="str">
        <f>VLOOKUP(B516,SAEB!$A:$B,2,0)</f>
        <v>Poté</v>
      </c>
      <c r="D516">
        <v>655</v>
      </c>
      <c r="E516">
        <v>281</v>
      </c>
      <c r="F516">
        <v>120</v>
      </c>
      <c r="G516">
        <v>43</v>
      </c>
      <c r="H516" s="7">
        <f t="shared" si="33"/>
        <v>59.599636032757054</v>
      </c>
      <c r="I516" s="7">
        <f t="shared" si="34"/>
        <v>25.568698817106462</v>
      </c>
      <c r="J516" s="7">
        <f t="shared" si="35"/>
        <v>10.91901728844404</v>
      </c>
      <c r="K516" s="7">
        <f t="shared" si="36"/>
        <v>3.9126478616924478</v>
      </c>
    </row>
    <row r="517" spans="1:11" x14ac:dyDescent="0.35">
      <c r="A517">
        <v>2017</v>
      </c>
      <c r="B517">
        <v>3153301</v>
      </c>
      <c r="C517" t="str">
        <f>VLOOKUP(B517,SAEB!$A:$B,2,0)</f>
        <v>Presidente Kubitschek</v>
      </c>
      <c r="D517">
        <v>333</v>
      </c>
      <c r="E517">
        <v>0</v>
      </c>
      <c r="F517">
        <v>0</v>
      </c>
      <c r="G517">
        <v>0</v>
      </c>
      <c r="H517" s="7">
        <f t="shared" si="33"/>
        <v>100</v>
      </c>
      <c r="I517" s="7">
        <f t="shared" si="34"/>
        <v>0</v>
      </c>
      <c r="J517" s="7">
        <f t="shared" si="35"/>
        <v>0</v>
      </c>
      <c r="K517" s="7">
        <f t="shared" si="36"/>
        <v>0</v>
      </c>
    </row>
    <row r="518" spans="1:11" x14ac:dyDescent="0.35">
      <c r="A518">
        <v>2017</v>
      </c>
      <c r="B518">
        <v>3154309</v>
      </c>
      <c r="C518" t="str">
        <f>VLOOKUP(B518,SAEB!$A:$B,2,0)</f>
        <v>Resplendor</v>
      </c>
      <c r="D518">
        <v>1030</v>
      </c>
      <c r="E518">
        <v>617</v>
      </c>
      <c r="F518">
        <v>0</v>
      </c>
      <c r="G518">
        <v>0</v>
      </c>
      <c r="H518" s="7">
        <f t="shared" si="33"/>
        <v>62.537947783849425</v>
      </c>
      <c r="I518" s="7">
        <f t="shared" si="34"/>
        <v>37.462052216150575</v>
      </c>
      <c r="J518" s="7">
        <f t="shared" si="35"/>
        <v>0</v>
      </c>
      <c r="K518" s="7">
        <f t="shared" si="36"/>
        <v>0</v>
      </c>
    </row>
    <row r="519" spans="1:11" x14ac:dyDescent="0.35">
      <c r="A519">
        <v>2017</v>
      </c>
      <c r="B519">
        <v>3155108</v>
      </c>
      <c r="C519" t="str">
        <f>VLOOKUP(B519,SAEB!$A:$B,2,0)</f>
        <v>Rio do Prado</v>
      </c>
      <c r="D519">
        <v>0</v>
      </c>
      <c r="E519">
        <v>0</v>
      </c>
      <c r="F519">
        <v>153</v>
      </c>
      <c r="G519">
        <v>147</v>
      </c>
      <c r="H519" s="7">
        <f t="shared" si="33"/>
        <v>0</v>
      </c>
      <c r="I519" s="7">
        <f t="shared" si="34"/>
        <v>0</v>
      </c>
      <c r="J519" s="7">
        <f t="shared" si="35"/>
        <v>51</v>
      </c>
      <c r="K519" s="7">
        <f t="shared" si="36"/>
        <v>49</v>
      </c>
    </row>
    <row r="520" spans="1:11" x14ac:dyDescent="0.35">
      <c r="A520">
        <v>2017</v>
      </c>
      <c r="B520">
        <v>3155603</v>
      </c>
      <c r="C520" t="str">
        <f>VLOOKUP(B520,SAEB!$A:$B,2,0)</f>
        <v>Rio Pardo de Minas</v>
      </c>
      <c r="D520">
        <v>795</v>
      </c>
      <c r="E520">
        <v>322</v>
      </c>
      <c r="F520">
        <v>535</v>
      </c>
      <c r="G520">
        <v>517</v>
      </c>
      <c r="H520" s="7">
        <f t="shared" si="33"/>
        <v>36.652835408022128</v>
      </c>
      <c r="I520" s="7">
        <f t="shared" si="34"/>
        <v>14.845550945136008</v>
      </c>
      <c r="J520" s="7">
        <f t="shared" si="35"/>
        <v>24.665744582757032</v>
      </c>
      <c r="K520" s="7">
        <f t="shared" si="36"/>
        <v>23.835869064084832</v>
      </c>
    </row>
    <row r="521" spans="1:11" x14ac:dyDescent="0.35">
      <c r="A521">
        <v>2017</v>
      </c>
      <c r="B521">
        <v>3156502</v>
      </c>
      <c r="C521" t="str">
        <f>VLOOKUP(B521,SAEB!$A:$B,2,0)</f>
        <v>Rubelita</v>
      </c>
      <c r="D521">
        <v>139</v>
      </c>
      <c r="E521">
        <v>0</v>
      </c>
      <c r="F521">
        <v>141</v>
      </c>
      <c r="G521">
        <v>0</v>
      </c>
      <c r="H521" s="7">
        <f t="shared" si="33"/>
        <v>49.642857142857146</v>
      </c>
      <c r="I521" s="7">
        <f t="shared" si="34"/>
        <v>0</v>
      </c>
      <c r="J521" s="7">
        <f t="shared" si="35"/>
        <v>50.357142857142854</v>
      </c>
      <c r="K521" s="7">
        <f t="shared" si="36"/>
        <v>0</v>
      </c>
    </row>
    <row r="522" spans="1:11" x14ac:dyDescent="0.35">
      <c r="A522">
        <v>2017</v>
      </c>
      <c r="B522">
        <v>3156601</v>
      </c>
      <c r="C522" t="str">
        <f>VLOOKUP(B522,SAEB!$A:$B,2,0)</f>
        <v>Rubim</v>
      </c>
      <c r="D522">
        <v>532</v>
      </c>
      <c r="E522">
        <v>409</v>
      </c>
      <c r="F522">
        <v>94</v>
      </c>
      <c r="G522">
        <v>0</v>
      </c>
      <c r="H522" s="7">
        <f t="shared" si="33"/>
        <v>51.40096618357488</v>
      </c>
      <c r="I522" s="7">
        <f t="shared" si="34"/>
        <v>39.516908212560388</v>
      </c>
      <c r="J522" s="7">
        <f t="shared" si="35"/>
        <v>9.0821256038647338</v>
      </c>
      <c r="K522" s="7">
        <f t="shared" si="36"/>
        <v>0</v>
      </c>
    </row>
    <row r="523" spans="1:11" x14ac:dyDescent="0.35">
      <c r="A523">
        <v>2017</v>
      </c>
      <c r="B523">
        <v>3156809</v>
      </c>
      <c r="C523" t="str">
        <f>VLOOKUP(B523,SAEB!$A:$B,2,0)</f>
        <v>Sabinópolis</v>
      </c>
      <c r="D523">
        <v>228</v>
      </c>
      <c r="E523">
        <v>0</v>
      </c>
      <c r="F523">
        <v>155</v>
      </c>
      <c r="G523">
        <v>0</v>
      </c>
      <c r="H523" s="7">
        <f t="shared" si="33"/>
        <v>59.530026109660575</v>
      </c>
      <c r="I523" s="7">
        <f t="shared" si="34"/>
        <v>0</v>
      </c>
      <c r="J523" s="7">
        <f t="shared" si="35"/>
        <v>40.469973890339425</v>
      </c>
      <c r="K523" s="7">
        <f t="shared" si="36"/>
        <v>0</v>
      </c>
    </row>
    <row r="524" spans="1:11" x14ac:dyDescent="0.35">
      <c r="A524">
        <v>2017</v>
      </c>
      <c r="B524">
        <v>3157005</v>
      </c>
      <c r="C524" t="str">
        <f>VLOOKUP(B524,SAEB!$A:$B,2,0)</f>
        <v>Salinas</v>
      </c>
      <c r="D524">
        <v>558</v>
      </c>
      <c r="E524">
        <v>0</v>
      </c>
      <c r="F524">
        <v>241</v>
      </c>
      <c r="G524">
        <v>105</v>
      </c>
      <c r="H524" s="7">
        <f t="shared" si="33"/>
        <v>61.725663716814161</v>
      </c>
      <c r="I524" s="7">
        <f t="shared" si="34"/>
        <v>0</v>
      </c>
      <c r="J524" s="7">
        <f t="shared" si="35"/>
        <v>26.659292035398231</v>
      </c>
      <c r="K524" s="7">
        <f t="shared" si="36"/>
        <v>11.61504424778761</v>
      </c>
    </row>
    <row r="525" spans="1:11" x14ac:dyDescent="0.35">
      <c r="A525">
        <v>2017</v>
      </c>
      <c r="B525">
        <v>3157104</v>
      </c>
      <c r="C525" t="str">
        <f>VLOOKUP(B525,SAEB!$A:$B,2,0)</f>
        <v>Salto da Divisa</v>
      </c>
      <c r="D525">
        <v>516</v>
      </c>
      <c r="E525">
        <v>0</v>
      </c>
      <c r="F525">
        <v>32</v>
      </c>
      <c r="G525">
        <v>0</v>
      </c>
      <c r="H525" s="7">
        <f t="shared" si="33"/>
        <v>94.160583941605836</v>
      </c>
      <c r="I525" s="7">
        <f t="shared" si="34"/>
        <v>0</v>
      </c>
      <c r="J525" s="7">
        <f t="shared" si="35"/>
        <v>5.8394160583941606</v>
      </c>
      <c r="K525" s="7">
        <f t="shared" si="36"/>
        <v>0</v>
      </c>
    </row>
    <row r="526" spans="1:11" x14ac:dyDescent="0.35">
      <c r="A526">
        <v>2017</v>
      </c>
      <c r="B526">
        <v>3157252</v>
      </c>
      <c r="C526" t="str">
        <f>VLOOKUP(B526,SAEB!$A:$B,2,0)</f>
        <v>Santa Bárbara do Leste</v>
      </c>
      <c r="D526">
        <v>144</v>
      </c>
      <c r="E526">
        <v>120</v>
      </c>
      <c r="F526">
        <v>196</v>
      </c>
      <c r="G526">
        <v>86</v>
      </c>
      <c r="H526" s="7">
        <f t="shared" si="33"/>
        <v>26.373626373626376</v>
      </c>
      <c r="I526" s="7">
        <f t="shared" si="34"/>
        <v>21.978021978021978</v>
      </c>
      <c r="J526" s="7">
        <f t="shared" si="35"/>
        <v>35.897435897435898</v>
      </c>
      <c r="K526" s="7">
        <f t="shared" si="36"/>
        <v>15.75091575091575</v>
      </c>
    </row>
    <row r="527" spans="1:11" x14ac:dyDescent="0.35">
      <c r="A527">
        <v>2017</v>
      </c>
      <c r="B527">
        <v>3157377</v>
      </c>
      <c r="C527" t="str">
        <f>VLOOKUP(B527,SAEB!$A:$B,2,0)</f>
        <v>Santa Cruz de Salinas</v>
      </c>
      <c r="D527">
        <v>170</v>
      </c>
      <c r="E527">
        <v>0</v>
      </c>
      <c r="F527">
        <v>185</v>
      </c>
      <c r="G527">
        <v>34</v>
      </c>
      <c r="H527" s="7">
        <f t="shared" si="33"/>
        <v>43.70179948586118</v>
      </c>
      <c r="I527" s="7">
        <f t="shared" si="34"/>
        <v>0</v>
      </c>
      <c r="J527" s="7">
        <f t="shared" si="35"/>
        <v>47.55784061696658</v>
      </c>
      <c r="K527" s="7">
        <f t="shared" si="36"/>
        <v>8.7403598971722367</v>
      </c>
    </row>
    <row r="528" spans="1:11" x14ac:dyDescent="0.35">
      <c r="A528">
        <v>2017</v>
      </c>
      <c r="B528">
        <v>3157500</v>
      </c>
      <c r="C528" t="str">
        <f>VLOOKUP(B528,SAEB!$A:$B,2,0)</f>
        <v>Santa Efigênia de Minas</v>
      </c>
      <c r="D528">
        <v>306</v>
      </c>
      <c r="E528">
        <v>0</v>
      </c>
      <c r="F528">
        <v>63</v>
      </c>
      <c r="G528">
        <v>0</v>
      </c>
      <c r="H528" s="7">
        <f t="shared" si="33"/>
        <v>82.926829268292678</v>
      </c>
      <c r="I528" s="7">
        <f t="shared" si="34"/>
        <v>0</v>
      </c>
      <c r="J528" s="7">
        <f t="shared" si="35"/>
        <v>17.073170731707318</v>
      </c>
      <c r="K528" s="7">
        <f t="shared" si="36"/>
        <v>0</v>
      </c>
    </row>
    <row r="529" spans="1:11" x14ac:dyDescent="0.35">
      <c r="A529">
        <v>2017</v>
      </c>
      <c r="B529">
        <v>3157658</v>
      </c>
      <c r="C529" t="str">
        <f>VLOOKUP(B529,SAEB!$A:$B,2,0)</f>
        <v>Santa Helena de Minas</v>
      </c>
      <c r="D529">
        <v>190</v>
      </c>
      <c r="E529">
        <v>0</v>
      </c>
      <c r="F529">
        <v>78</v>
      </c>
      <c r="G529">
        <v>70</v>
      </c>
      <c r="H529" s="7">
        <f t="shared" si="33"/>
        <v>56.213017751479285</v>
      </c>
      <c r="I529" s="7">
        <f t="shared" si="34"/>
        <v>0</v>
      </c>
      <c r="J529" s="7">
        <f t="shared" si="35"/>
        <v>23.076923076923077</v>
      </c>
      <c r="K529" s="7">
        <f t="shared" si="36"/>
        <v>20.710059171597635</v>
      </c>
    </row>
    <row r="530" spans="1:11" x14ac:dyDescent="0.35">
      <c r="A530">
        <v>2017</v>
      </c>
      <c r="B530">
        <v>3158201</v>
      </c>
      <c r="C530" t="str">
        <f>VLOOKUP(B530,SAEB!$A:$B,2,0)</f>
        <v>Santa Maria do Suaçuí</v>
      </c>
      <c r="D530">
        <v>357</v>
      </c>
      <c r="E530">
        <v>26</v>
      </c>
      <c r="F530">
        <v>66</v>
      </c>
      <c r="G530">
        <v>0</v>
      </c>
      <c r="H530" s="7">
        <f t="shared" si="33"/>
        <v>79.510022271714917</v>
      </c>
      <c r="I530" s="7">
        <f t="shared" si="34"/>
        <v>5.7906458797327396</v>
      </c>
      <c r="J530" s="7">
        <f t="shared" si="35"/>
        <v>14.699331848552339</v>
      </c>
      <c r="K530" s="7">
        <f t="shared" si="36"/>
        <v>0</v>
      </c>
    </row>
    <row r="531" spans="1:11" x14ac:dyDescent="0.35">
      <c r="A531">
        <v>2017</v>
      </c>
      <c r="B531">
        <v>3159357</v>
      </c>
      <c r="C531" t="str">
        <f>VLOOKUP(B531,SAEB!$A:$B,2,0)</f>
        <v>Santa Rita de Minas</v>
      </c>
      <c r="D531">
        <v>420</v>
      </c>
      <c r="E531">
        <v>0</v>
      </c>
      <c r="F531">
        <v>57</v>
      </c>
      <c r="G531">
        <v>0</v>
      </c>
      <c r="H531" s="7">
        <f t="shared" si="33"/>
        <v>88.050314465408803</v>
      </c>
      <c r="I531" s="7">
        <f t="shared" si="34"/>
        <v>0</v>
      </c>
      <c r="J531" s="7">
        <f t="shared" si="35"/>
        <v>11.949685534591195</v>
      </c>
      <c r="K531" s="7">
        <f t="shared" si="36"/>
        <v>0</v>
      </c>
    </row>
    <row r="532" spans="1:11" x14ac:dyDescent="0.35">
      <c r="A532">
        <v>2017</v>
      </c>
      <c r="B532">
        <v>3159506</v>
      </c>
      <c r="C532" t="str">
        <f>VLOOKUP(B532,SAEB!$A:$B,2,0)</f>
        <v>Santa Rita do Itueto</v>
      </c>
      <c r="D532">
        <v>148</v>
      </c>
      <c r="E532">
        <v>0</v>
      </c>
      <c r="F532">
        <v>194</v>
      </c>
      <c r="G532">
        <v>73</v>
      </c>
      <c r="H532" s="7">
        <f t="shared" si="33"/>
        <v>35.662650602409641</v>
      </c>
      <c r="I532" s="7">
        <f t="shared" si="34"/>
        <v>0</v>
      </c>
      <c r="J532" s="7">
        <f t="shared" si="35"/>
        <v>46.746987951807228</v>
      </c>
      <c r="K532" s="7">
        <f t="shared" si="36"/>
        <v>17.590361445783131</v>
      </c>
    </row>
    <row r="533" spans="1:11" x14ac:dyDescent="0.35">
      <c r="A533">
        <v>2017</v>
      </c>
      <c r="B533">
        <v>3160454</v>
      </c>
      <c r="C533" t="str">
        <f>VLOOKUP(B533,SAEB!$A:$B,2,0)</f>
        <v>Santo Antônio do Retiro</v>
      </c>
      <c r="D533">
        <v>327</v>
      </c>
      <c r="E533">
        <v>287</v>
      </c>
      <c r="F533">
        <v>196</v>
      </c>
      <c r="G533">
        <v>187</v>
      </c>
      <c r="H533" s="7">
        <f t="shared" si="33"/>
        <v>32.798395185556672</v>
      </c>
      <c r="I533" s="7">
        <f t="shared" si="34"/>
        <v>28.786359077231694</v>
      </c>
      <c r="J533" s="7">
        <f t="shared" si="35"/>
        <v>19.658976930792377</v>
      </c>
      <c r="K533" s="7">
        <f t="shared" si="36"/>
        <v>18.756268806419257</v>
      </c>
    </row>
    <row r="534" spans="1:11" x14ac:dyDescent="0.35">
      <c r="A534">
        <v>2017</v>
      </c>
      <c r="B534">
        <v>3160603</v>
      </c>
      <c r="C534" t="str">
        <f>VLOOKUP(B534,SAEB!$A:$B,2,0)</f>
        <v>Santo Hipólito</v>
      </c>
      <c r="D534">
        <v>181</v>
      </c>
      <c r="E534">
        <v>0</v>
      </c>
      <c r="F534">
        <v>9</v>
      </c>
      <c r="G534">
        <v>0</v>
      </c>
      <c r="H534" s="7">
        <f t="shared" si="33"/>
        <v>95.263157894736835</v>
      </c>
      <c r="I534" s="7">
        <f t="shared" si="34"/>
        <v>0</v>
      </c>
      <c r="J534" s="7">
        <f t="shared" si="35"/>
        <v>4.7368421052631584</v>
      </c>
      <c r="K534" s="7">
        <f t="shared" si="36"/>
        <v>0</v>
      </c>
    </row>
    <row r="535" spans="1:11" x14ac:dyDescent="0.35">
      <c r="A535">
        <v>2017</v>
      </c>
      <c r="B535">
        <v>3160959</v>
      </c>
      <c r="C535" t="str">
        <f>VLOOKUP(B535,SAEB!$A:$B,2,0)</f>
        <v>São Domingos das Dores</v>
      </c>
      <c r="D535">
        <v>329</v>
      </c>
      <c r="E535">
        <v>0</v>
      </c>
      <c r="F535">
        <v>211</v>
      </c>
      <c r="G535">
        <v>192</v>
      </c>
      <c r="H535" s="7">
        <f t="shared" si="33"/>
        <v>44.94535519125683</v>
      </c>
      <c r="I535" s="7">
        <f t="shared" si="34"/>
        <v>0</v>
      </c>
      <c r="J535" s="7">
        <f t="shared" si="35"/>
        <v>28.825136612021858</v>
      </c>
      <c r="K535" s="7">
        <f t="shared" si="36"/>
        <v>26.229508196721312</v>
      </c>
    </row>
    <row r="536" spans="1:11" x14ac:dyDescent="0.35">
      <c r="A536">
        <v>2017</v>
      </c>
      <c r="B536">
        <v>3161601</v>
      </c>
      <c r="C536" t="str">
        <f>VLOOKUP(B536,SAEB!$A:$B,2,0)</f>
        <v>São Geraldo da Piedade</v>
      </c>
      <c r="D536">
        <v>137</v>
      </c>
      <c r="E536">
        <v>0</v>
      </c>
      <c r="F536">
        <v>183</v>
      </c>
      <c r="G536">
        <v>114</v>
      </c>
      <c r="H536" s="7">
        <f t="shared" si="33"/>
        <v>31.566820276497698</v>
      </c>
      <c r="I536" s="7">
        <f t="shared" si="34"/>
        <v>0</v>
      </c>
      <c r="J536" s="7">
        <f t="shared" si="35"/>
        <v>42.165898617511523</v>
      </c>
      <c r="K536" s="7">
        <f t="shared" si="36"/>
        <v>26.267281105990779</v>
      </c>
    </row>
    <row r="537" spans="1:11" x14ac:dyDescent="0.35">
      <c r="A537">
        <v>2017</v>
      </c>
      <c r="B537">
        <v>3125507</v>
      </c>
      <c r="C537" t="str">
        <f>VLOOKUP(B537,SAEB!$A:$B,2,0)</f>
        <v>São Gonçalo do Rio Preto</v>
      </c>
      <c r="D537">
        <v>203</v>
      </c>
      <c r="E537">
        <v>0</v>
      </c>
      <c r="F537">
        <v>0</v>
      </c>
      <c r="G537">
        <v>0</v>
      </c>
      <c r="H537" s="7">
        <f t="shared" si="33"/>
        <v>100</v>
      </c>
      <c r="I537" s="7">
        <f t="shared" si="34"/>
        <v>0</v>
      </c>
      <c r="J537" s="7">
        <f t="shared" si="35"/>
        <v>0</v>
      </c>
      <c r="K537" s="7">
        <f t="shared" si="36"/>
        <v>0</v>
      </c>
    </row>
    <row r="538" spans="1:11" x14ac:dyDescent="0.35">
      <c r="A538">
        <v>2017</v>
      </c>
      <c r="B538">
        <v>3162252</v>
      </c>
      <c r="C538" t="str">
        <f>VLOOKUP(B538,SAEB!$A:$B,2,0)</f>
        <v>São João da Lagoa</v>
      </c>
      <c r="D538">
        <v>246</v>
      </c>
      <c r="E538">
        <v>0</v>
      </c>
      <c r="F538">
        <v>58</v>
      </c>
      <c r="G538">
        <v>69</v>
      </c>
      <c r="H538" s="7">
        <f t="shared" si="33"/>
        <v>65.951742627345851</v>
      </c>
      <c r="I538" s="7">
        <f t="shared" si="34"/>
        <v>0</v>
      </c>
      <c r="J538" s="7">
        <f t="shared" si="35"/>
        <v>15.549597855227882</v>
      </c>
      <c r="K538" s="7">
        <f t="shared" si="36"/>
        <v>18.498659517426276</v>
      </c>
    </row>
    <row r="539" spans="1:11" x14ac:dyDescent="0.35">
      <c r="A539">
        <v>2017</v>
      </c>
      <c r="B539">
        <v>3162401</v>
      </c>
      <c r="C539" t="str">
        <f>VLOOKUP(B539,SAEB!$A:$B,2,0)</f>
        <v>São João da Ponte</v>
      </c>
      <c r="D539">
        <v>221</v>
      </c>
      <c r="E539">
        <v>408</v>
      </c>
      <c r="F539">
        <v>1048</v>
      </c>
      <c r="G539">
        <v>731</v>
      </c>
      <c r="H539" s="7">
        <f t="shared" si="33"/>
        <v>9.1777408637873759</v>
      </c>
      <c r="I539" s="7">
        <f t="shared" si="34"/>
        <v>16.943521594684384</v>
      </c>
      <c r="J539" s="7">
        <f t="shared" si="35"/>
        <v>43.521594684385384</v>
      </c>
      <c r="K539" s="7">
        <f t="shared" si="36"/>
        <v>30.357142857142854</v>
      </c>
    </row>
    <row r="540" spans="1:11" x14ac:dyDescent="0.35">
      <c r="A540">
        <v>2017</v>
      </c>
      <c r="B540">
        <v>3162575</v>
      </c>
      <c r="C540" t="str">
        <f>VLOOKUP(B540,SAEB!$A:$B,2,0)</f>
        <v>São João do Manteninha</v>
      </c>
      <c r="D540">
        <v>269</v>
      </c>
      <c r="E540">
        <v>0</v>
      </c>
      <c r="F540">
        <v>151</v>
      </c>
      <c r="G540">
        <v>0</v>
      </c>
      <c r="H540" s="7">
        <f t="shared" si="33"/>
        <v>64.047619047619037</v>
      </c>
      <c r="I540" s="7">
        <f t="shared" si="34"/>
        <v>0</v>
      </c>
      <c r="J540" s="7">
        <f t="shared" si="35"/>
        <v>35.952380952380949</v>
      </c>
      <c r="K540" s="7">
        <f t="shared" si="36"/>
        <v>0</v>
      </c>
    </row>
    <row r="541" spans="1:11" x14ac:dyDescent="0.35">
      <c r="A541">
        <v>2017</v>
      </c>
      <c r="B541">
        <v>3162807</v>
      </c>
      <c r="C541" t="str">
        <f>VLOOKUP(B541,SAEB!$A:$B,2,0)</f>
        <v>São João Evangelista</v>
      </c>
      <c r="D541">
        <v>882</v>
      </c>
      <c r="E541">
        <v>0</v>
      </c>
      <c r="F541">
        <v>150</v>
      </c>
      <c r="G541">
        <v>51</v>
      </c>
      <c r="H541" s="7">
        <f t="shared" si="33"/>
        <v>81.440443213296405</v>
      </c>
      <c r="I541" s="7">
        <f t="shared" si="34"/>
        <v>0</v>
      </c>
      <c r="J541" s="7">
        <f t="shared" si="35"/>
        <v>13.850415512465375</v>
      </c>
      <c r="K541" s="7">
        <f t="shared" si="36"/>
        <v>4.7091412742382275</v>
      </c>
    </row>
    <row r="542" spans="1:11" x14ac:dyDescent="0.35">
      <c r="A542">
        <v>2017</v>
      </c>
      <c r="B542">
        <v>3163508</v>
      </c>
      <c r="C542" t="str">
        <f>VLOOKUP(B542,SAEB!$A:$B,2,0)</f>
        <v>São José do Jacuri</v>
      </c>
      <c r="D542">
        <v>0</v>
      </c>
      <c r="E542">
        <v>0</v>
      </c>
      <c r="F542">
        <v>184</v>
      </c>
      <c r="G542">
        <v>103</v>
      </c>
      <c r="H542" s="7">
        <f t="shared" si="33"/>
        <v>0</v>
      </c>
      <c r="I542" s="7">
        <f t="shared" si="34"/>
        <v>0</v>
      </c>
      <c r="J542" s="7">
        <f t="shared" si="35"/>
        <v>64.111498257839713</v>
      </c>
      <c r="K542" s="7">
        <f t="shared" si="36"/>
        <v>35.88850174216028</v>
      </c>
    </row>
    <row r="543" spans="1:11" x14ac:dyDescent="0.35">
      <c r="A543">
        <v>2017</v>
      </c>
      <c r="B543">
        <v>3164100</v>
      </c>
      <c r="C543" t="str">
        <f>VLOOKUP(B543,SAEB!$A:$B,2,0)</f>
        <v>São Pedro do Suaçuí</v>
      </c>
      <c r="D543">
        <v>253</v>
      </c>
      <c r="E543">
        <v>0</v>
      </c>
      <c r="F543">
        <v>59</v>
      </c>
      <c r="G543">
        <v>0</v>
      </c>
      <c r="H543" s="7">
        <f t="shared" si="33"/>
        <v>81.089743589743591</v>
      </c>
      <c r="I543" s="7">
        <f t="shared" si="34"/>
        <v>0</v>
      </c>
      <c r="J543" s="7">
        <f t="shared" si="35"/>
        <v>18.910256410256409</v>
      </c>
      <c r="K543" s="7">
        <f t="shared" si="36"/>
        <v>0</v>
      </c>
    </row>
    <row r="544" spans="1:11" x14ac:dyDescent="0.35">
      <c r="A544">
        <v>2017</v>
      </c>
      <c r="B544">
        <v>3164472</v>
      </c>
      <c r="C544" t="str">
        <f>VLOOKUP(B544,SAEB!$A:$B,2,0)</f>
        <v>São Sebastião do Anta</v>
      </c>
      <c r="D544">
        <v>509</v>
      </c>
      <c r="E544">
        <v>295</v>
      </c>
      <c r="F544">
        <v>24</v>
      </c>
      <c r="G544">
        <v>0</v>
      </c>
      <c r="H544" s="7">
        <f t="shared" si="33"/>
        <v>61.473429951690818</v>
      </c>
      <c r="I544" s="7">
        <f t="shared" si="34"/>
        <v>35.628019323671495</v>
      </c>
      <c r="J544" s="7">
        <f t="shared" si="35"/>
        <v>2.8985507246376812</v>
      </c>
      <c r="K544" s="7">
        <f t="shared" si="36"/>
        <v>0</v>
      </c>
    </row>
    <row r="545" spans="1:11" x14ac:dyDescent="0.35">
      <c r="A545">
        <v>2017</v>
      </c>
      <c r="B545">
        <v>3165503</v>
      </c>
      <c r="C545" t="str">
        <f>VLOOKUP(B545,SAEB!$A:$B,2,0)</f>
        <v>Sardoá</v>
      </c>
      <c r="D545">
        <v>205</v>
      </c>
      <c r="E545">
        <v>0</v>
      </c>
      <c r="F545">
        <v>175</v>
      </c>
      <c r="G545">
        <v>136</v>
      </c>
      <c r="H545" s="7">
        <f t="shared" si="33"/>
        <v>39.728682170542633</v>
      </c>
      <c r="I545" s="7">
        <f t="shared" si="34"/>
        <v>0</v>
      </c>
      <c r="J545" s="7">
        <f t="shared" si="35"/>
        <v>33.914728682170541</v>
      </c>
      <c r="K545" s="7">
        <f t="shared" si="36"/>
        <v>26.356589147286826</v>
      </c>
    </row>
    <row r="546" spans="1:11" x14ac:dyDescent="0.35">
      <c r="A546">
        <v>2017</v>
      </c>
      <c r="B546">
        <v>3165909</v>
      </c>
      <c r="C546" t="str">
        <f>VLOOKUP(B546,SAEB!$A:$B,2,0)</f>
        <v>Senador Modestino Gonçalves</v>
      </c>
      <c r="D546">
        <v>194</v>
      </c>
      <c r="E546">
        <v>0</v>
      </c>
      <c r="F546">
        <v>77</v>
      </c>
      <c r="G546">
        <v>0</v>
      </c>
      <c r="H546" s="7">
        <f t="shared" si="33"/>
        <v>71.586715867158674</v>
      </c>
      <c r="I546" s="7">
        <f t="shared" si="34"/>
        <v>0</v>
      </c>
      <c r="J546" s="7">
        <f t="shared" si="35"/>
        <v>28.413284132841326</v>
      </c>
      <c r="K546" s="7">
        <f t="shared" si="36"/>
        <v>0</v>
      </c>
    </row>
    <row r="547" spans="1:11" x14ac:dyDescent="0.35">
      <c r="A547">
        <v>2017</v>
      </c>
      <c r="B547">
        <v>3166105</v>
      </c>
      <c r="C547" t="str">
        <f>VLOOKUP(B547,SAEB!$A:$B,2,0)</f>
        <v>Senhora do Porto</v>
      </c>
      <c r="D547">
        <v>245</v>
      </c>
      <c r="E547">
        <v>0</v>
      </c>
      <c r="F547">
        <v>16</v>
      </c>
      <c r="G547">
        <v>0</v>
      </c>
      <c r="H547" s="7">
        <f t="shared" si="33"/>
        <v>93.869731800766289</v>
      </c>
      <c r="I547" s="7">
        <f t="shared" si="34"/>
        <v>0</v>
      </c>
      <c r="J547" s="7">
        <f t="shared" si="35"/>
        <v>6.1302681992337158</v>
      </c>
      <c r="K547" s="7">
        <f t="shared" si="36"/>
        <v>0</v>
      </c>
    </row>
    <row r="548" spans="1:11" x14ac:dyDescent="0.35">
      <c r="A548">
        <v>2017</v>
      </c>
      <c r="B548">
        <v>3166709</v>
      </c>
      <c r="C548" t="str">
        <f>VLOOKUP(B548,SAEB!$A:$B,2,0)</f>
        <v>Serra dos Aimorés</v>
      </c>
      <c r="D548">
        <v>307</v>
      </c>
      <c r="E548">
        <v>0</v>
      </c>
      <c r="F548">
        <v>140</v>
      </c>
      <c r="G548">
        <v>21</v>
      </c>
      <c r="H548" s="7">
        <f t="shared" si="33"/>
        <v>65.598290598290603</v>
      </c>
      <c r="I548" s="7">
        <f t="shared" si="34"/>
        <v>0</v>
      </c>
      <c r="J548" s="7">
        <f t="shared" si="35"/>
        <v>29.914529914529915</v>
      </c>
      <c r="K548" s="7">
        <f t="shared" si="36"/>
        <v>4.4871794871794872</v>
      </c>
    </row>
    <row r="549" spans="1:11" x14ac:dyDescent="0.35">
      <c r="A549">
        <v>2017</v>
      </c>
      <c r="B549">
        <v>3166956</v>
      </c>
      <c r="C549" t="str">
        <f>VLOOKUP(B549,SAEB!$A:$B,2,0)</f>
        <v>Serranópolis de Minas</v>
      </c>
      <c r="D549">
        <v>0</v>
      </c>
      <c r="E549">
        <v>0</v>
      </c>
      <c r="F549">
        <v>169</v>
      </c>
      <c r="G549">
        <v>130</v>
      </c>
      <c r="H549" s="7">
        <f t="shared" si="33"/>
        <v>0</v>
      </c>
      <c r="I549" s="7">
        <f t="shared" si="34"/>
        <v>0</v>
      </c>
      <c r="J549" s="7">
        <f t="shared" si="35"/>
        <v>56.521739130434781</v>
      </c>
      <c r="K549" s="7">
        <f t="shared" si="36"/>
        <v>43.478260869565219</v>
      </c>
    </row>
    <row r="550" spans="1:11" x14ac:dyDescent="0.35">
      <c r="A550">
        <v>2017</v>
      </c>
      <c r="B550">
        <v>3168002</v>
      </c>
      <c r="C550" t="str">
        <f>VLOOKUP(B550,SAEB!$A:$B,2,0)</f>
        <v>Taiobeiras</v>
      </c>
      <c r="D550">
        <v>963</v>
      </c>
      <c r="E550">
        <v>215</v>
      </c>
      <c r="F550">
        <v>124</v>
      </c>
      <c r="G550">
        <v>107</v>
      </c>
      <c r="H550" s="7">
        <f t="shared" si="33"/>
        <v>68.346344925479059</v>
      </c>
      <c r="I550" s="7">
        <f t="shared" si="34"/>
        <v>15.259048970901349</v>
      </c>
      <c r="J550" s="7">
        <f t="shared" si="35"/>
        <v>8.800567778566359</v>
      </c>
      <c r="K550" s="7">
        <f t="shared" si="36"/>
        <v>7.5940383250532291</v>
      </c>
    </row>
    <row r="551" spans="1:11" x14ac:dyDescent="0.35">
      <c r="A551">
        <v>2017</v>
      </c>
      <c r="B551">
        <v>3168051</v>
      </c>
      <c r="C551" t="str">
        <f>VLOOKUP(B551,SAEB!$A:$B,2,0)</f>
        <v>Taparuba</v>
      </c>
      <c r="D551">
        <v>219</v>
      </c>
      <c r="E551">
        <v>48</v>
      </c>
      <c r="F551">
        <v>30</v>
      </c>
      <c r="G551">
        <v>0</v>
      </c>
      <c r="H551" s="7">
        <f t="shared" si="33"/>
        <v>73.73737373737373</v>
      </c>
      <c r="I551" s="7">
        <f t="shared" si="34"/>
        <v>16.161616161616163</v>
      </c>
      <c r="J551" s="7">
        <f t="shared" si="35"/>
        <v>10.1010101010101</v>
      </c>
      <c r="K551" s="7">
        <f t="shared" si="36"/>
        <v>0</v>
      </c>
    </row>
    <row r="552" spans="1:11" x14ac:dyDescent="0.35">
      <c r="A552">
        <v>2017</v>
      </c>
      <c r="B552">
        <v>3168408</v>
      </c>
      <c r="C552" t="str">
        <f>VLOOKUP(B552,SAEB!$A:$B,2,0)</f>
        <v>Tarumirim</v>
      </c>
      <c r="D552">
        <v>242</v>
      </c>
      <c r="E552">
        <v>92</v>
      </c>
      <c r="F552">
        <v>35</v>
      </c>
      <c r="G552">
        <v>16</v>
      </c>
      <c r="H552" s="7">
        <f t="shared" si="33"/>
        <v>62.857142857142854</v>
      </c>
      <c r="I552" s="7">
        <f t="shared" si="34"/>
        <v>23.896103896103895</v>
      </c>
      <c r="J552" s="7">
        <f t="shared" si="35"/>
        <v>9.0909090909090917</v>
      </c>
      <c r="K552" s="7">
        <f t="shared" si="36"/>
        <v>4.1558441558441555</v>
      </c>
    </row>
    <row r="553" spans="1:11" x14ac:dyDescent="0.35">
      <c r="A553">
        <v>2017</v>
      </c>
      <c r="B553">
        <v>3168606</v>
      </c>
      <c r="C553" t="str">
        <f>VLOOKUP(B553,SAEB!$A:$B,2,0)</f>
        <v>Teófilo Otoni</v>
      </c>
      <c r="D553">
        <v>3055</v>
      </c>
      <c r="E553">
        <v>1538</v>
      </c>
      <c r="F553">
        <v>989</v>
      </c>
      <c r="G553">
        <v>260</v>
      </c>
      <c r="H553" s="7">
        <f t="shared" si="33"/>
        <v>52.293735022252655</v>
      </c>
      <c r="I553" s="7">
        <f t="shared" si="34"/>
        <v>26.326600479287915</v>
      </c>
      <c r="J553" s="7">
        <f t="shared" si="35"/>
        <v>16.929133858267718</v>
      </c>
      <c r="K553" s="7">
        <f t="shared" si="36"/>
        <v>4.4505306401917153</v>
      </c>
    </row>
    <row r="554" spans="1:11" x14ac:dyDescent="0.35">
      <c r="A554">
        <v>2017</v>
      </c>
      <c r="B554">
        <v>3169505</v>
      </c>
      <c r="C554" t="str">
        <f>VLOOKUP(B554,SAEB!$A:$B,2,0)</f>
        <v>Tumiritinga</v>
      </c>
      <c r="D554">
        <v>490</v>
      </c>
      <c r="E554">
        <v>0</v>
      </c>
      <c r="F554">
        <v>15</v>
      </c>
      <c r="G554">
        <v>0</v>
      </c>
      <c r="H554" s="7">
        <f t="shared" si="33"/>
        <v>97.029702970297024</v>
      </c>
      <c r="I554" s="7">
        <f t="shared" si="34"/>
        <v>0</v>
      </c>
      <c r="J554" s="7">
        <f t="shared" si="35"/>
        <v>2.9702970297029703</v>
      </c>
      <c r="K554" s="7">
        <f t="shared" si="36"/>
        <v>0</v>
      </c>
    </row>
    <row r="555" spans="1:11" x14ac:dyDescent="0.35">
      <c r="A555">
        <v>2017</v>
      </c>
      <c r="B555">
        <v>3169703</v>
      </c>
      <c r="C555" t="str">
        <f>VLOOKUP(B555,SAEB!$A:$B,2,0)</f>
        <v>Turmalina</v>
      </c>
      <c r="D555">
        <v>291</v>
      </c>
      <c r="E555">
        <v>71</v>
      </c>
      <c r="F555">
        <v>231</v>
      </c>
      <c r="G555">
        <v>163</v>
      </c>
      <c r="H555" s="7">
        <f t="shared" si="33"/>
        <v>38.492063492063494</v>
      </c>
      <c r="I555" s="7">
        <f t="shared" si="34"/>
        <v>9.3915343915343907</v>
      </c>
      <c r="J555" s="7">
        <f t="shared" si="35"/>
        <v>30.555555555555557</v>
      </c>
      <c r="K555" s="7">
        <f t="shared" si="36"/>
        <v>21.56084656084656</v>
      </c>
    </row>
    <row r="556" spans="1:11" x14ac:dyDescent="0.35">
      <c r="A556">
        <v>2017</v>
      </c>
      <c r="B556">
        <v>3170057</v>
      </c>
      <c r="C556" t="str">
        <f>VLOOKUP(B556,SAEB!$A:$B,2,0)</f>
        <v>Ubaporanga</v>
      </c>
      <c r="D556">
        <v>362</v>
      </c>
      <c r="E556">
        <v>0</v>
      </c>
      <c r="F556">
        <v>70</v>
      </c>
      <c r="G556">
        <v>0</v>
      </c>
      <c r="H556" s="7">
        <f t="shared" si="33"/>
        <v>83.796296296296291</v>
      </c>
      <c r="I556" s="7">
        <f t="shared" si="34"/>
        <v>0</v>
      </c>
      <c r="J556" s="7">
        <f t="shared" si="35"/>
        <v>16.203703703703702</v>
      </c>
      <c r="K556" s="7">
        <f t="shared" si="36"/>
        <v>0</v>
      </c>
    </row>
    <row r="557" spans="1:11" x14ac:dyDescent="0.35">
      <c r="A557">
        <v>2017</v>
      </c>
      <c r="B557">
        <v>3170305</v>
      </c>
      <c r="C557" t="str">
        <f>VLOOKUP(B557,SAEB!$A:$B,2,0)</f>
        <v>Umburatiba</v>
      </c>
      <c r="D557">
        <v>135</v>
      </c>
      <c r="E557">
        <v>0</v>
      </c>
      <c r="F557">
        <v>85</v>
      </c>
      <c r="G557">
        <v>85</v>
      </c>
      <c r="H557" s="7">
        <f t="shared" si="33"/>
        <v>44.26229508196721</v>
      </c>
      <c r="I557" s="7">
        <f t="shared" si="34"/>
        <v>0</v>
      </c>
      <c r="J557" s="7">
        <f t="shared" si="35"/>
        <v>27.868852459016392</v>
      </c>
      <c r="K557" s="7">
        <f t="shared" si="36"/>
        <v>27.868852459016392</v>
      </c>
    </row>
    <row r="558" spans="1:11" x14ac:dyDescent="0.35">
      <c r="A558">
        <v>2017</v>
      </c>
      <c r="B558">
        <v>3170479</v>
      </c>
      <c r="C558" t="str">
        <f>VLOOKUP(B558,SAEB!$A:$B,2,0)</f>
        <v>Uruana de Minas</v>
      </c>
      <c r="D558">
        <v>303</v>
      </c>
      <c r="E558">
        <v>276</v>
      </c>
      <c r="F558">
        <v>0</v>
      </c>
      <c r="G558">
        <v>0</v>
      </c>
      <c r="H558" s="7">
        <f t="shared" si="33"/>
        <v>52.331606217616574</v>
      </c>
      <c r="I558" s="7">
        <f t="shared" si="34"/>
        <v>47.668393782383419</v>
      </c>
      <c r="J558" s="7">
        <f t="shared" si="35"/>
        <v>0</v>
      </c>
      <c r="K558" s="7">
        <f t="shared" si="36"/>
        <v>0</v>
      </c>
    </row>
    <row r="559" spans="1:11" x14ac:dyDescent="0.35">
      <c r="A559">
        <v>2017</v>
      </c>
      <c r="B559">
        <v>3170529</v>
      </c>
      <c r="C559" t="str">
        <f>VLOOKUP(B559,SAEB!$A:$B,2,0)</f>
        <v>Urucuia</v>
      </c>
      <c r="D559">
        <v>357</v>
      </c>
      <c r="E559">
        <v>215</v>
      </c>
      <c r="F559">
        <v>266</v>
      </c>
      <c r="G559">
        <v>333</v>
      </c>
      <c r="H559" s="7">
        <f t="shared" si="33"/>
        <v>30.486763450042698</v>
      </c>
      <c r="I559" s="7">
        <f t="shared" si="34"/>
        <v>18.360375747224595</v>
      </c>
      <c r="J559" s="7">
        <f t="shared" si="35"/>
        <v>22.715627668659266</v>
      </c>
      <c r="K559" s="7">
        <f t="shared" si="36"/>
        <v>28.437233134073441</v>
      </c>
    </row>
    <row r="560" spans="1:11" x14ac:dyDescent="0.35">
      <c r="A560">
        <v>2017</v>
      </c>
      <c r="B560">
        <v>3170651</v>
      </c>
      <c r="C560" t="str">
        <f>VLOOKUP(B560,SAEB!$A:$B,2,0)</f>
        <v>Vargem Grande do Rio Pardo</v>
      </c>
      <c r="D560">
        <v>241</v>
      </c>
      <c r="E560">
        <v>0</v>
      </c>
      <c r="F560">
        <v>100</v>
      </c>
      <c r="G560">
        <v>0</v>
      </c>
      <c r="H560" s="7">
        <f t="shared" si="33"/>
        <v>70.674486803519059</v>
      </c>
      <c r="I560" s="7">
        <f t="shared" si="34"/>
        <v>0</v>
      </c>
      <c r="J560" s="7">
        <f t="shared" si="35"/>
        <v>29.325513196480941</v>
      </c>
      <c r="K560" s="7">
        <f t="shared" si="36"/>
        <v>0</v>
      </c>
    </row>
    <row r="561" spans="1:11" x14ac:dyDescent="0.35">
      <c r="A561">
        <v>2017</v>
      </c>
      <c r="B561">
        <v>3170800</v>
      </c>
      <c r="C561" t="str">
        <f>VLOOKUP(B561,SAEB!$A:$B,2,0)</f>
        <v>Várzea da Palma</v>
      </c>
      <c r="D561">
        <v>1486</v>
      </c>
      <c r="E561">
        <v>0</v>
      </c>
      <c r="F561">
        <v>201</v>
      </c>
      <c r="G561">
        <v>150</v>
      </c>
      <c r="H561" s="7">
        <f t="shared" si="33"/>
        <v>80.892759934676107</v>
      </c>
      <c r="I561" s="7">
        <f t="shared" si="34"/>
        <v>0</v>
      </c>
      <c r="J561" s="7">
        <f t="shared" si="35"/>
        <v>10.941752857920523</v>
      </c>
      <c r="K561" s="7">
        <f t="shared" si="36"/>
        <v>8.1654872074033751</v>
      </c>
    </row>
    <row r="562" spans="1:11" x14ac:dyDescent="0.35">
      <c r="A562">
        <v>2017</v>
      </c>
      <c r="B562">
        <v>3171071</v>
      </c>
      <c r="C562" t="str">
        <f>VLOOKUP(B562,SAEB!$A:$B,2,0)</f>
        <v>Veredinha</v>
      </c>
      <c r="D562">
        <v>323</v>
      </c>
      <c r="E562">
        <v>0</v>
      </c>
      <c r="F562">
        <v>21</v>
      </c>
      <c r="G562">
        <v>0</v>
      </c>
      <c r="H562" s="7">
        <f t="shared" si="33"/>
        <v>93.895348837209298</v>
      </c>
      <c r="I562" s="7">
        <f t="shared" si="34"/>
        <v>0</v>
      </c>
      <c r="J562" s="7">
        <f t="shared" si="35"/>
        <v>6.104651162790697</v>
      </c>
      <c r="K562" s="7">
        <f t="shared" si="36"/>
        <v>0</v>
      </c>
    </row>
    <row r="563" spans="1:11" x14ac:dyDescent="0.35">
      <c r="A563">
        <v>2017</v>
      </c>
      <c r="B563">
        <v>3171600</v>
      </c>
      <c r="C563" t="str">
        <f>VLOOKUP(B563,SAEB!$A:$B,2,0)</f>
        <v>Virgem da Lapa</v>
      </c>
      <c r="D563">
        <v>372</v>
      </c>
      <c r="E563">
        <v>0</v>
      </c>
      <c r="F563">
        <v>118</v>
      </c>
      <c r="G563">
        <v>0</v>
      </c>
      <c r="H563" s="7">
        <f t="shared" si="33"/>
        <v>75.91836734693878</v>
      </c>
      <c r="I563" s="7">
        <f t="shared" si="34"/>
        <v>0</v>
      </c>
      <c r="J563" s="7">
        <f t="shared" si="35"/>
        <v>24.081632653061224</v>
      </c>
      <c r="K563" s="7">
        <f t="shared" si="36"/>
        <v>0</v>
      </c>
    </row>
    <row r="564" spans="1:11" x14ac:dyDescent="0.35">
      <c r="A564">
        <v>2017</v>
      </c>
      <c r="B564">
        <v>3171808</v>
      </c>
      <c r="C564" t="str">
        <f>VLOOKUP(B564,SAEB!$A:$B,2,0)</f>
        <v>Virginópolis</v>
      </c>
      <c r="D564">
        <v>491</v>
      </c>
      <c r="E564">
        <v>0</v>
      </c>
      <c r="F564">
        <v>175</v>
      </c>
      <c r="G564">
        <v>0</v>
      </c>
      <c r="H564" s="7">
        <f t="shared" si="33"/>
        <v>73.723723723723722</v>
      </c>
      <c r="I564" s="7">
        <f t="shared" si="34"/>
        <v>0</v>
      </c>
      <c r="J564" s="7">
        <f t="shared" si="35"/>
        <v>26.276276276276278</v>
      </c>
      <c r="K564" s="7">
        <f t="shared" si="36"/>
        <v>0</v>
      </c>
    </row>
    <row r="565" spans="1:11" x14ac:dyDescent="0.35">
      <c r="A565">
        <v>2017</v>
      </c>
      <c r="B565">
        <v>3171907</v>
      </c>
      <c r="C565" t="str">
        <f>VLOOKUP(B565,SAEB!$A:$B,2,0)</f>
        <v>Virgolândia</v>
      </c>
      <c r="D565">
        <v>331</v>
      </c>
      <c r="E565">
        <v>0</v>
      </c>
      <c r="F565">
        <v>0</v>
      </c>
      <c r="G565">
        <v>0</v>
      </c>
      <c r="H565" s="7">
        <f t="shared" si="33"/>
        <v>100</v>
      </c>
      <c r="I565" s="7">
        <f t="shared" si="34"/>
        <v>0</v>
      </c>
      <c r="J565" s="7">
        <f t="shared" si="35"/>
        <v>0</v>
      </c>
      <c r="K565" s="7">
        <f t="shared" si="36"/>
        <v>0</v>
      </c>
    </row>
    <row r="566" spans="1:11" x14ac:dyDescent="0.35">
      <c r="A566">
        <v>2018</v>
      </c>
      <c r="B566">
        <v>3101003</v>
      </c>
      <c r="C566" t="str">
        <f>VLOOKUP(B566,SAEB!$A:$B,2,0)</f>
        <v>Águas Vermelhas</v>
      </c>
      <c r="D566">
        <v>339</v>
      </c>
      <c r="E566">
        <v>0</v>
      </c>
      <c r="F566">
        <v>63</v>
      </c>
      <c r="G566">
        <v>0</v>
      </c>
      <c r="H566" s="7">
        <f t="shared" si="33"/>
        <v>84.328358208955223</v>
      </c>
      <c r="I566" s="7">
        <f t="shared" si="34"/>
        <v>0</v>
      </c>
      <c r="J566" s="7">
        <f t="shared" si="35"/>
        <v>15.671641791044777</v>
      </c>
      <c r="K566" s="7">
        <f t="shared" si="36"/>
        <v>0</v>
      </c>
    </row>
    <row r="567" spans="1:11" x14ac:dyDescent="0.35">
      <c r="A567">
        <v>2018</v>
      </c>
      <c r="B567">
        <v>3101102</v>
      </c>
      <c r="C567" t="str">
        <f>VLOOKUP(B567,SAEB!$A:$B,2,0)</f>
        <v>Aimorés</v>
      </c>
      <c r="D567">
        <v>626</v>
      </c>
      <c r="E567">
        <v>517</v>
      </c>
      <c r="F567">
        <v>58</v>
      </c>
      <c r="G567">
        <v>0</v>
      </c>
      <c r="H567" s="7">
        <f t="shared" si="33"/>
        <v>52.123230641132388</v>
      </c>
      <c r="I567" s="7">
        <f t="shared" si="34"/>
        <v>43.047460449625312</v>
      </c>
      <c r="J567" s="7">
        <f t="shared" si="35"/>
        <v>4.8293089092422985</v>
      </c>
      <c r="K567" s="7">
        <f t="shared" si="36"/>
        <v>0</v>
      </c>
    </row>
    <row r="568" spans="1:11" x14ac:dyDescent="0.35">
      <c r="A568">
        <v>2018</v>
      </c>
      <c r="B568">
        <v>3101706</v>
      </c>
      <c r="C568" t="str">
        <f>VLOOKUP(B568,SAEB!$A:$B,2,0)</f>
        <v>Almenara</v>
      </c>
      <c r="D568">
        <v>2430</v>
      </c>
      <c r="E568">
        <v>551</v>
      </c>
      <c r="F568">
        <v>470</v>
      </c>
      <c r="G568">
        <v>252</v>
      </c>
      <c r="H568" s="7">
        <f t="shared" si="33"/>
        <v>65.622468268971105</v>
      </c>
      <c r="I568" s="7">
        <f t="shared" si="34"/>
        <v>14.879827167161761</v>
      </c>
      <c r="J568" s="7">
        <f t="shared" si="35"/>
        <v>12.692411558196056</v>
      </c>
      <c r="K568" s="7">
        <f t="shared" si="36"/>
        <v>6.8052930056710776</v>
      </c>
    </row>
    <row r="569" spans="1:11" x14ac:dyDescent="0.35">
      <c r="A569">
        <v>2018</v>
      </c>
      <c r="B569">
        <v>3101805</v>
      </c>
      <c r="C569" t="str">
        <f>VLOOKUP(B569,SAEB!$A:$B,2,0)</f>
        <v>Alpercata</v>
      </c>
      <c r="D569">
        <v>409</v>
      </c>
      <c r="E569">
        <v>200</v>
      </c>
      <c r="F569">
        <v>84</v>
      </c>
      <c r="G569">
        <v>6</v>
      </c>
      <c r="H569" s="7">
        <f t="shared" si="33"/>
        <v>58.512160228898423</v>
      </c>
      <c r="I569" s="7">
        <f t="shared" si="34"/>
        <v>28.612303290414882</v>
      </c>
      <c r="J569" s="7">
        <f t="shared" si="35"/>
        <v>12.017167381974248</v>
      </c>
      <c r="K569" s="7">
        <f t="shared" si="36"/>
        <v>0.85836909871244638</v>
      </c>
    </row>
    <row r="570" spans="1:11" x14ac:dyDescent="0.35">
      <c r="A570">
        <v>2018</v>
      </c>
      <c r="B570">
        <v>3102852</v>
      </c>
      <c r="C570" t="str">
        <f>VLOOKUP(B570,SAEB!$A:$B,2,0)</f>
        <v>Angelândia</v>
      </c>
      <c r="D570">
        <v>0</v>
      </c>
      <c r="E570">
        <v>0</v>
      </c>
      <c r="F570">
        <v>428</v>
      </c>
      <c r="G570">
        <v>0</v>
      </c>
      <c r="H570" s="7">
        <f t="shared" si="33"/>
        <v>0</v>
      </c>
      <c r="I570" s="7">
        <f t="shared" si="34"/>
        <v>0</v>
      </c>
      <c r="J570" s="7">
        <f t="shared" si="35"/>
        <v>100</v>
      </c>
      <c r="K570" s="7">
        <f t="shared" si="36"/>
        <v>0</v>
      </c>
    </row>
    <row r="571" spans="1:11" x14ac:dyDescent="0.35">
      <c r="A571">
        <v>2018</v>
      </c>
      <c r="B571">
        <v>3103405</v>
      </c>
      <c r="C571" t="str">
        <f>VLOOKUP(B571,SAEB!$A:$B,2,0)</f>
        <v>Araçuaí</v>
      </c>
      <c r="D571">
        <v>370</v>
      </c>
      <c r="E571">
        <v>0</v>
      </c>
      <c r="F571">
        <v>432</v>
      </c>
      <c r="G571">
        <v>291</v>
      </c>
      <c r="H571" s="7">
        <f t="shared" si="33"/>
        <v>33.851784080512353</v>
      </c>
      <c r="I571" s="7">
        <f t="shared" si="34"/>
        <v>0</v>
      </c>
      <c r="J571" s="7">
        <f t="shared" si="35"/>
        <v>39.524245196706318</v>
      </c>
      <c r="K571" s="7">
        <f t="shared" si="36"/>
        <v>26.623970722781337</v>
      </c>
    </row>
    <row r="572" spans="1:11" x14ac:dyDescent="0.35">
      <c r="A572">
        <v>2018</v>
      </c>
      <c r="B572">
        <v>3104452</v>
      </c>
      <c r="C572" t="str">
        <f>VLOOKUP(B572,SAEB!$A:$B,2,0)</f>
        <v>Aricanduva</v>
      </c>
      <c r="D572">
        <v>239</v>
      </c>
      <c r="E572">
        <v>0</v>
      </c>
      <c r="F572">
        <v>41</v>
      </c>
      <c r="G572">
        <v>0</v>
      </c>
      <c r="H572" s="7">
        <f t="shared" si="33"/>
        <v>85.357142857142847</v>
      </c>
      <c r="I572" s="7">
        <f t="shared" si="34"/>
        <v>0</v>
      </c>
      <c r="J572" s="7">
        <f t="shared" si="35"/>
        <v>14.642857142857144</v>
      </c>
      <c r="K572" s="7">
        <f t="shared" si="36"/>
        <v>0</v>
      </c>
    </row>
    <row r="573" spans="1:11" x14ac:dyDescent="0.35">
      <c r="A573">
        <v>2018</v>
      </c>
      <c r="B573">
        <v>3104502</v>
      </c>
      <c r="C573" t="str">
        <f>VLOOKUP(B573,SAEB!$A:$B,2,0)</f>
        <v>Arinos</v>
      </c>
      <c r="D573">
        <v>395</v>
      </c>
      <c r="E573">
        <v>0</v>
      </c>
      <c r="F573">
        <v>315</v>
      </c>
      <c r="G573">
        <v>238</v>
      </c>
      <c r="H573" s="7">
        <f t="shared" si="33"/>
        <v>41.666666666666671</v>
      </c>
      <c r="I573" s="7">
        <f t="shared" si="34"/>
        <v>0</v>
      </c>
      <c r="J573" s="7">
        <f t="shared" si="35"/>
        <v>33.22784810126582</v>
      </c>
      <c r="K573" s="7">
        <f t="shared" si="36"/>
        <v>25.105485232067508</v>
      </c>
    </row>
    <row r="574" spans="1:11" x14ac:dyDescent="0.35">
      <c r="A574">
        <v>2018</v>
      </c>
      <c r="B574">
        <v>3104700</v>
      </c>
      <c r="C574" t="str">
        <f>VLOOKUP(B574,SAEB!$A:$B,2,0)</f>
        <v>Ataléia</v>
      </c>
      <c r="D574">
        <v>188</v>
      </c>
      <c r="E574">
        <v>68</v>
      </c>
      <c r="F574">
        <v>257</v>
      </c>
      <c r="G574">
        <v>0</v>
      </c>
      <c r="H574" s="7">
        <f t="shared" si="33"/>
        <v>36.64717348927875</v>
      </c>
      <c r="I574" s="7">
        <f t="shared" si="34"/>
        <v>13.255360623781677</v>
      </c>
      <c r="J574" s="7">
        <f t="shared" si="35"/>
        <v>50.097465886939574</v>
      </c>
      <c r="K574" s="7">
        <f t="shared" si="36"/>
        <v>0</v>
      </c>
    </row>
    <row r="575" spans="1:11" x14ac:dyDescent="0.35">
      <c r="A575">
        <v>2018</v>
      </c>
      <c r="B575">
        <v>3105202</v>
      </c>
      <c r="C575" t="str">
        <f>VLOOKUP(B575,SAEB!$A:$B,2,0)</f>
        <v>Bandeira</v>
      </c>
      <c r="D575">
        <v>222</v>
      </c>
      <c r="E575">
        <v>0</v>
      </c>
      <c r="F575">
        <v>92</v>
      </c>
      <c r="G575">
        <v>65</v>
      </c>
      <c r="H575" s="7">
        <f t="shared" si="33"/>
        <v>58.575197889182064</v>
      </c>
      <c r="I575" s="7">
        <f t="shared" si="34"/>
        <v>0</v>
      </c>
      <c r="J575" s="7">
        <f t="shared" si="35"/>
        <v>24.274406332453825</v>
      </c>
      <c r="K575" s="7">
        <f t="shared" si="36"/>
        <v>17.150395778364118</v>
      </c>
    </row>
    <row r="576" spans="1:11" x14ac:dyDescent="0.35">
      <c r="A576">
        <v>2018</v>
      </c>
      <c r="B576">
        <v>3106655</v>
      </c>
      <c r="C576" t="str">
        <f>VLOOKUP(B576,SAEB!$A:$B,2,0)</f>
        <v>Berizal</v>
      </c>
      <c r="D576">
        <v>0</v>
      </c>
      <c r="E576">
        <v>0</v>
      </c>
      <c r="F576">
        <v>27</v>
      </c>
      <c r="G576">
        <v>0</v>
      </c>
      <c r="H576" s="7">
        <f t="shared" si="33"/>
        <v>0</v>
      </c>
      <c r="I576" s="7">
        <f t="shared" si="34"/>
        <v>0</v>
      </c>
      <c r="J576" s="7">
        <f t="shared" si="35"/>
        <v>100</v>
      </c>
      <c r="K576" s="7">
        <f t="shared" si="36"/>
        <v>0</v>
      </c>
    </row>
    <row r="577" spans="1:11" x14ac:dyDescent="0.35">
      <c r="A577">
        <v>2018</v>
      </c>
      <c r="B577">
        <v>3107307</v>
      </c>
      <c r="C577" t="str">
        <f>VLOOKUP(B577,SAEB!$A:$B,2,0)</f>
        <v>Bocaiúva</v>
      </c>
      <c r="D577">
        <v>479</v>
      </c>
      <c r="E577">
        <v>294</v>
      </c>
      <c r="F577">
        <v>341</v>
      </c>
      <c r="G577">
        <v>171</v>
      </c>
      <c r="H577" s="7">
        <f t="shared" si="33"/>
        <v>37.276264591439691</v>
      </c>
      <c r="I577" s="7">
        <f t="shared" si="34"/>
        <v>22.879377431906615</v>
      </c>
      <c r="J577" s="7">
        <f t="shared" si="35"/>
        <v>26.536964980544749</v>
      </c>
      <c r="K577" s="7">
        <f t="shared" si="36"/>
        <v>13.30739299610895</v>
      </c>
    </row>
    <row r="578" spans="1:11" x14ac:dyDescent="0.35">
      <c r="A578">
        <v>2018</v>
      </c>
      <c r="B578">
        <v>3108206</v>
      </c>
      <c r="C578" t="str">
        <f>VLOOKUP(B578,SAEB!$A:$B,2,0)</f>
        <v>Bonfinópolis de Minas</v>
      </c>
      <c r="D578">
        <v>291</v>
      </c>
      <c r="E578">
        <v>185</v>
      </c>
      <c r="F578">
        <v>46</v>
      </c>
      <c r="G578">
        <v>0</v>
      </c>
      <c r="H578" s="7">
        <f t="shared" si="33"/>
        <v>55.747126436781613</v>
      </c>
      <c r="I578" s="7">
        <f t="shared" si="34"/>
        <v>35.440613026819925</v>
      </c>
      <c r="J578" s="7">
        <f t="shared" si="35"/>
        <v>8.8122605363984672</v>
      </c>
      <c r="K578" s="7">
        <f t="shared" si="36"/>
        <v>0</v>
      </c>
    </row>
    <row r="579" spans="1:11" x14ac:dyDescent="0.35">
      <c r="A579">
        <v>2018</v>
      </c>
      <c r="B579">
        <v>3108602</v>
      </c>
      <c r="C579" t="str">
        <f>VLOOKUP(B579,SAEB!$A:$B,2,0)</f>
        <v>Brasília de Minas</v>
      </c>
      <c r="D579">
        <v>0</v>
      </c>
      <c r="E579">
        <v>170</v>
      </c>
      <c r="F579">
        <v>377</v>
      </c>
      <c r="G579">
        <v>182</v>
      </c>
      <c r="H579" s="7">
        <f t="shared" ref="H579:H642" si="37">D579/SUM($D579:$G579)*100</f>
        <v>0</v>
      </c>
      <c r="I579" s="7">
        <f t="shared" ref="I579:I642" si="38">E579/SUM($D579:$G579)*100</f>
        <v>23.319615912208505</v>
      </c>
      <c r="J579" s="7">
        <f t="shared" ref="J579:J642" si="39">F579/SUM($D579:$G579)*100</f>
        <v>51.714677640603568</v>
      </c>
      <c r="K579" s="7">
        <f t="shared" ref="K579:K642" si="40">G579/SUM($D579:$G579)*100</f>
        <v>24.96570644718793</v>
      </c>
    </row>
    <row r="580" spans="1:11" x14ac:dyDescent="0.35">
      <c r="A580">
        <v>2018</v>
      </c>
      <c r="B580">
        <v>3109204</v>
      </c>
      <c r="C580" t="str">
        <f>VLOOKUP(B580,SAEB!$A:$B,2,0)</f>
        <v>Buenópolis</v>
      </c>
      <c r="D580">
        <v>540</v>
      </c>
      <c r="E580">
        <v>0</v>
      </c>
      <c r="F580">
        <v>51</v>
      </c>
      <c r="G580">
        <v>0</v>
      </c>
      <c r="H580" s="7">
        <f t="shared" si="37"/>
        <v>91.370558375634516</v>
      </c>
      <c r="I580" s="7">
        <f t="shared" si="38"/>
        <v>0</v>
      </c>
      <c r="J580" s="7">
        <f t="shared" si="39"/>
        <v>8.6294416243654819</v>
      </c>
      <c r="K580" s="7">
        <f t="shared" si="40"/>
        <v>0</v>
      </c>
    </row>
    <row r="581" spans="1:11" x14ac:dyDescent="0.35">
      <c r="A581">
        <v>2018</v>
      </c>
      <c r="B581">
        <v>3109402</v>
      </c>
      <c r="C581" t="str">
        <f>VLOOKUP(B581,SAEB!$A:$B,2,0)</f>
        <v>Buritizeiro</v>
      </c>
      <c r="D581">
        <v>1160</v>
      </c>
      <c r="E581">
        <v>0</v>
      </c>
      <c r="F581">
        <v>146</v>
      </c>
      <c r="G581">
        <v>0</v>
      </c>
      <c r="H581" s="7">
        <f t="shared" si="37"/>
        <v>88.820826952526801</v>
      </c>
      <c r="I581" s="7">
        <f t="shared" si="38"/>
        <v>0</v>
      </c>
      <c r="J581" s="7">
        <f t="shared" si="39"/>
        <v>11.179173047473201</v>
      </c>
      <c r="K581" s="7">
        <f t="shared" si="40"/>
        <v>0</v>
      </c>
    </row>
    <row r="582" spans="1:11" x14ac:dyDescent="0.35">
      <c r="A582">
        <v>2018</v>
      </c>
      <c r="B582">
        <v>3102704</v>
      </c>
      <c r="C582" t="str">
        <f>VLOOKUP(B582,SAEB!$A:$B,2,0)</f>
        <v>Cachoeira de Pajeú</v>
      </c>
      <c r="D582">
        <v>229</v>
      </c>
      <c r="E582">
        <v>0</v>
      </c>
      <c r="F582">
        <v>387</v>
      </c>
      <c r="G582">
        <v>116</v>
      </c>
      <c r="H582" s="7">
        <f t="shared" si="37"/>
        <v>31.284153005464482</v>
      </c>
      <c r="I582" s="7">
        <f t="shared" si="38"/>
        <v>0</v>
      </c>
      <c r="J582" s="7">
        <f t="shared" si="39"/>
        <v>52.868852459016388</v>
      </c>
      <c r="K582" s="7">
        <f t="shared" si="40"/>
        <v>15.846994535519126</v>
      </c>
    </row>
    <row r="583" spans="1:11" x14ac:dyDescent="0.35">
      <c r="A583">
        <v>2018</v>
      </c>
      <c r="B583">
        <v>3110806</v>
      </c>
      <c r="C583" t="str">
        <f>VLOOKUP(B583,SAEB!$A:$B,2,0)</f>
        <v>Campanário</v>
      </c>
      <c r="D583">
        <v>233</v>
      </c>
      <c r="E583">
        <v>0</v>
      </c>
      <c r="F583">
        <v>0</v>
      </c>
      <c r="G583">
        <v>0</v>
      </c>
      <c r="H583" s="7">
        <f t="shared" si="37"/>
        <v>100</v>
      </c>
      <c r="I583" s="7">
        <f t="shared" si="38"/>
        <v>0</v>
      </c>
      <c r="J583" s="7">
        <f t="shared" si="39"/>
        <v>0</v>
      </c>
      <c r="K583" s="7">
        <f t="shared" si="40"/>
        <v>0</v>
      </c>
    </row>
    <row r="584" spans="1:11" x14ac:dyDescent="0.35">
      <c r="A584">
        <v>2018</v>
      </c>
      <c r="B584">
        <v>3111150</v>
      </c>
      <c r="C584" t="str">
        <f>VLOOKUP(B584,SAEB!$A:$B,2,0)</f>
        <v>Campo Azul</v>
      </c>
      <c r="D584">
        <v>202</v>
      </c>
      <c r="E584">
        <v>0</v>
      </c>
      <c r="F584">
        <v>104</v>
      </c>
      <c r="G584">
        <v>63</v>
      </c>
      <c r="H584" s="7">
        <f t="shared" si="37"/>
        <v>54.74254742547425</v>
      </c>
      <c r="I584" s="7">
        <f t="shared" si="38"/>
        <v>0</v>
      </c>
      <c r="J584" s="7">
        <f t="shared" si="39"/>
        <v>28.184281842818425</v>
      </c>
      <c r="K584" s="7">
        <f t="shared" si="40"/>
        <v>17.073170731707318</v>
      </c>
    </row>
    <row r="585" spans="1:11" x14ac:dyDescent="0.35">
      <c r="A585">
        <v>2018</v>
      </c>
      <c r="B585">
        <v>3112059</v>
      </c>
      <c r="C585" t="str">
        <f>VLOOKUP(B585,SAEB!$A:$B,2,0)</f>
        <v>Cantagalo</v>
      </c>
      <c r="D585">
        <v>250</v>
      </c>
      <c r="E585">
        <v>0</v>
      </c>
      <c r="F585">
        <v>74</v>
      </c>
      <c r="G585">
        <v>0</v>
      </c>
      <c r="H585" s="7">
        <f t="shared" si="37"/>
        <v>77.160493827160494</v>
      </c>
      <c r="I585" s="7">
        <f t="shared" si="38"/>
        <v>0</v>
      </c>
      <c r="J585" s="7">
        <f t="shared" si="39"/>
        <v>22.839506172839506</v>
      </c>
      <c r="K585" s="7">
        <f t="shared" si="40"/>
        <v>0</v>
      </c>
    </row>
    <row r="586" spans="1:11" x14ac:dyDescent="0.35">
      <c r="A586">
        <v>2018</v>
      </c>
      <c r="B586">
        <v>3112307</v>
      </c>
      <c r="C586" t="str">
        <f>VLOOKUP(B586,SAEB!$A:$B,2,0)</f>
        <v>Capelinha</v>
      </c>
      <c r="D586">
        <v>0</v>
      </c>
      <c r="E586">
        <v>0</v>
      </c>
      <c r="F586">
        <v>1027</v>
      </c>
      <c r="G586">
        <v>0</v>
      </c>
      <c r="H586" s="7">
        <f t="shared" si="37"/>
        <v>0</v>
      </c>
      <c r="I586" s="7">
        <f t="shared" si="38"/>
        <v>0</v>
      </c>
      <c r="J586" s="7">
        <f t="shared" si="39"/>
        <v>100</v>
      </c>
      <c r="K586" s="7">
        <f t="shared" si="40"/>
        <v>0</v>
      </c>
    </row>
    <row r="587" spans="1:11" x14ac:dyDescent="0.35">
      <c r="A587">
        <v>2018</v>
      </c>
      <c r="B587">
        <v>3112703</v>
      </c>
      <c r="C587" t="str">
        <f>VLOOKUP(B587,SAEB!$A:$B,2,0)</f>
        <v>Capitão Enéas</v>
      </c>
      <c r="D587">
        <v>384</v>
      </c>
      <c r="E587">
        <v>234</v>
      </c>
      <c r="F587">
        <v>85</v>
      </c>
      <c r="G587">
        <v>43</v>
      </c>
      <c r="H587" s="7">
        <f t="shared" si="37"/>
        <v>51.474530831099194</v>
      </c>
      <c r="I587" s="7">
        <f t="shared" si="38"/>
        <v>31.367292225201069</v>
      </c>
      <c r="J587" s="7">
        <f t="shared" si="39"/>
        <v>11.394101876675604</v>
      </c>
      <c r="K587" s="7">
        <f t="shared" si="40"/>
        <v>5.7640750670241285</v>
      </c>
    </row>
    <row r="588" spans="1:11" x14ac:dyDescent="0.35">
      <c r="A588">
        <v>2018</v>
      </c>
      <c r="B588">
        <v>3113008</v>
      </c>
      <c r="C588" t="str">
        <f>VLOOKUP(B588,SAEB!$A:$B,2,0)</f>
        <v>Caraí</v>
      </c>
      <c r="D588">
        <v>67</v>
      </c>
      <c r="E588">
        <v>175</v>
      </c>
      <c r="F588">
        <v>842</v>
      </c>
      <c r="G588">
        <v>373</v>
      </c>
      <c r="H588" s="7">
        <f t="shared" si="37"/>
        <v>4.5984900480439261</v>
      </c>
      <c r="I588" s="7">
        <f t="shared" si="38"/>
        <v>12.010981468771448</v>
      </c>
      <c r="J588" s="7">
        <f t="shared" si="39"/>
        <v>57.789979409746053</v>
      </c>
      <c r="K588" s="7">
        <f t="shared" si="40"/>
        <v>25.600549073438572</v>
      </c>
    </row>
    <row r="589" spans="1:11" x14ac:dyDescent="0.35">
      <c r="A589">
        <v>2018</v>
      </c>
      <c r="B589">
        <v>3113503</v>
      </c>
      <c r="C589" t="str">
        <f>VLOOKUP(B589,SAEB!$A:$B,2,0)</f>
        <v>Carbonita</v>
      </c>
      <c r="D589">
        <v>440</v>
      </c>
      <c r="E589">
        <v>0</v>
      </c>
      <c r="F589">
        <v>85</v>
      </c>
      <c r="G589">
        <v>98</v>
      </c>
      <c r="H589" s="7">
        <f t="shared" si="37"/>
        <v>70.62600321027287</v>
      </c>
      <c r="I589" s="7">
        <f t="shared" si="38"/>
        <v>0</v>
      </c>
      <c r="J589" s="7">
        <f t="shared" si="39"/>
        <v>13.643659711075443</v>
      </c>
      <c r="K589" s="7">
        <f t="shared" si="40"/>
        <v>15.730337078651685</v>
      </c>
    </row>
    <row r="590" spans="1:11" x14ac:dyDescent="0.35">
      <c r="A590">
        <v>2018</v>
      </c>
      <c r="B590">
        <v>3113701</v>
      </c>
      <c r="C590" t="str">
        <f>VLOOKUP(B590,SAEB!$A:$B,2,0)</f>
        <v>Carlos Chagas</v>
      </c>
      <c r="D590">
        <v>941</v>
      </c>
      <c r="E590">
        <v>193</v>
      </c>
      <c r="F590">
        <v>308</v>
      </c>
      <c r="G590">
        <v>185</v>
      </c>
      <c r="H590" s="7">
        <f t="shared" si="37"/>
        <v>57.836508912108172</v>
      </c>
      <c r="I590" s="7">
        <f t="shared" si="38"/>
        <v>11.862323294406883</v>
      </c>
      <c r="J590" s="7">
        <f t="shared" si="39"/>
        <v>18.930547019053474</v>
      </c>
      <c r="K590" s="7">
        <f t="shared" si="40"/>
        <v>11.370620774431469</v>
      </c>
    </row>
    <row r="591" spans="1:11" x14ac:dyDescent="0.35">
      <c r="A591">
        <v>2018</v>
      </c>
      <c r="B591">
        <v>3113800</v>
      </c>
      <c r="C591" t="str">
        <f>VLOOKUP(B591,SAEB!$A:$B,2,0)</f>
        <v>Carmésia</v>
      </c>
      <c r="D591">
        <v>153</v>
      </c>
      <c r="E591">
        <v>145</v>
      </c>
      <c r="F591">
        <v>0</v>
      </c>
      <c r="G591">
        <v>0</v>
      </c>
      <c r="H591" s="7">
        <f t="shared" si="37"/>
        <v>51.34228187919463</v>
      </c>
      <c r="I591" s="7">
        <f t="shared" si="38"/>
        <v>48.65771812080537</v>
      </c>
      <c r="J591" s="7">
        <f t="shared" si="39"/>
        <v>0</v>
      </c>
      <c r="K591" s="7">
        <f t="shared" si="40"/>
        <v>0</v>
      </c>
    </row>
    <row r="592" spans="1:11" x14ac:dyDescent="0.35">
      <c r="A592">
        <v>2018</v>
      </c>
      <c r="B592">
        <v>3115458</v>
      </c>
      <c r="C592" t="str">
        <f>VLOOKUP(B592,SAEB!$A:$B,2,0)</f>
        <v>Catuji</v>
      </c>
      <c r="D592">
        <v>295</v>
      </c>
      <c r="E592">
        <v>0</v>
      </c>
      <c r="F592">
        <v>292</v>
      </c>
      <c r="G592">
        <v>0</v>
      </c>
      <c r="H592" s="7">
        <f t="shared" si="37"/>
        <v>50.255536626916516</v>
      </c>
      <c r="I592" s="7">
        <f t="shared" si="38"/>
        <v>0</v>
      </c>
      <c r="J592" s="7">
        <f t="shared" si="39"/>
        <v>49.744463373083477</v>
      </c>
      <c r="K592" s="7">
        <f t="shared" si="40"/>
        <v>0</v>
      </c>
    </row>
    <row r="593" spans="1:11" x14ac:dyDescent="0.35">
      <c r="A593">
        <v>2018</v>
      </c>
      <c r="B593">
        <v>3115474</v>
      </c>
      <c r="C593" t="str">
        <f>VLOOKUP(B593,SAEB!$A:$B,2,0)</f>
        <v>Catuti</v>
      </c>
      <c r="D593">
        <v>177</v>
      </c>
      <c r="E593">
        <v>0</v>
      </c>
      <c r="F593">
        <v>122</v>
      </c>
      <c r="G593">
        <v>80</v>
      </c>
      <c r="H593" s="7">
        <f t="shared" si="37"/>
        <v>46.701846965699204</v>
      </c>
      <c r="I593" s="7">
        <f t="shared" si="38"/>
        <v>0</v>
      </c>
      <c r="J593" s="7">
        <f t="shared" si="39"/>
        <v>32.189973614775724</v>
      </c>
      <c r="K593" s="7">
        <f t="shared" si="40"/>
        <v>21.108179419525065</v>
      </c>
    </row>
    <row r="594" spans="1:11" x14ac:dyDescent="0.35">
      <c r="A594">
        <v>2018</v>
      </c>
      <c r="B594">
        <v>3116100</v>
      </c>
      <c r="C594" t="str">
        <f>VLOOKUP(B594,SAEB!$A:$B,2,0)</f>
        <v>Chapada do Norte</v>
      </c>
      <c r="D594">
        <v>198</v>
      </c>
      <c r="E594">
        <v>0</v>
      </c>
      <c r="F594">
        <v>302</v>
      </c>
      <c r="G594">
        <v>0</v>
      </c>
      <c r="H594" s="7">
        <f t="shared" si="37"/>
        <v>39.6</v>
      </c>
      <c r="I594" s="7">
        <f t="shared" si="38"/>
        <v>0</v>
      </c>
      <c r="J594" s="7">
        <f t="shared" si="39"/>
        <v>60.4</v>
      </c>
      <c r="K594" s="7">
        <f t="shared" si="40"/>
        <v>0</v>
      </c>
    </row>
    <row r="595" spans="1:11" x14ac:dyDescent="0.35">
      <c r="A595">
        <v>2018</v>
      </c>
      <c r="B595">
        <v>3116159</v>
      </c>
      <c r="C595" t="str">
        <f>VLOOKUP(B595,SAEB!$A:$B,2,0)</f>
        <v>Chapada Gaúcha</v>
      </c>
      <c r="D595">
        <v>470</v>
      </c>
      <c r="E595">
        <v>159</v>
      </c>
      <c r="F595">
        <v>329</v>
      </c>
      <c r="G595">
        <v>271</v>
      </c>
      <c r="H595" s="7">
        <f t="shared" si="37"/>
        <v>38.242473555736375</v>
      </c>
      <c r="I595" s="7">
        <f t="shared" si="38"/>
        <v>12.937347436940602</v>
      </c>
      <c r="J595" s="7">
        <f t="shared" si="39"/>
        <v>26.769731489015459</v>
      </c>
      <c r="K595" s="7">
        <f t="shared" si="40"/>
        <v>22.050447518307568</v>
      </c>
    </row>
    <row r="596" spans="1:11" x14ac:dyDescent="0.35">
      <c r="A596">
        <v>2018</v>
      </c>
      <c r="B596">
        <v>3116506</v>
      </c>
      <c r="C596" t="str">
        <f>VLOOKUP(B596,SAEB!$A:$B,2,0)</f>
        <v>Claro dos Poções</v>
      </c>
      <c r="D596">
        <v>336</v>
      </c>
      <c r="E596">
        <v>0</v>
      </c>
      <c r="F596">
        <v>21</v>
      </c>
      <c r="G596">
        <v>18</v>
      </c>
      <c r="H596" s="7">
        <f t="shared" si="37"/>
        <v>89.600000000000009</v>
      </c>
      <c r="I596" s="7">
        <f t="shared" si="38"/>
        <v>0</v>
      </c>
      <c r="J596" s="7">
        <f t="shared" si="39"/>
        <v>5.6000000000000005</v>
      </c>
      <c r="K596" s="7">
        <f t="shared" si="40"/>
        <v>4.8</v>
      </c>
    </row>
    <row r="597" spans="1:11" x14ac:dyDescent="0.35">
      <c r="A597">
        <v>2018</v>
      </c>
      <c r="B597">
        <v>3116803</v>
      </c>
      <c r="C597" t="str">
        <f>VLOOKUP(B597,SAEB!$A:$B,2,0)</f>
        <v>Coluna</v>
      </c>
      <c r="D597">
        <v>131</v>
      </c>
      <c r="E597">
        <v>0</v>
      </c>
      <c r="F597">
        <v>272</v>
      </c>
      <c r="G597">
        <v>0</v>
      </c>
      <c r="H597" s="7">
        <f t="shared" si="37"/>
        <v>32.506203473945412</v>
      </c>
      <c r="I597" s="7">
        <f t="shared" si="38"/>
        <v>0</v>
      </c>
      <c r="J597" s="7">
        <f t="shared" si="39"/>
        <v>67.493796526054595</v>
      </c>
      <c r="K597" s="7">
        <f t="shared" si="40"/>
        <v>0</v>
      </c>
    </row>
    <row r="598" spans="1:11" x14ac:dyDescent="0.35">
      <c r="A598">
        <v>2018</v>
      </c>
      <c r="B598">
        <v>3117009</v>
      </c>
      <c r="C598" t="str">
        <f>VLOOKUP(B598,SAEB!$A:$B,2,0)</f>
        <v>Comercinho</v>
      </c>
      <c r="D598">
        <v>264</v>
      </c>
      <c r="E598">
        <v>0</v>
      </c>
      <c r="F598">
        <v>179</v>
      </c>
      <c r="G598">
        <v>89</v>
      </c>
      <c r="H598" s="7">
        <f t="shared" si="37"/>
        <v>49.624060150375939</v>
      </c>
      <c r="I598" s="7">
        <f t="shared" si="38"/>
        <v>0</v>
      </c>
      <c r="J598" s="7">
        <f t="shared" si="39"/>
        <v>33.646616541353389</v>
      </c>
      <c r="K598" s="7">
        <f t="shared" si="40"/>
        <v>16.729323308270676</v>
      </c>
    </row>
    <row r="599" spans="1:11" x14ac:dyDescent="0.35">
      <c r="A599">
        <v>2018</v>
      </c>
      <c r="B599">
        <v>3118403</v>
      </c>
      <c r="C599" t="str">
        <f>VLOOKUP(B599,SAEB!$A:$B,2,0)</f>
        <v>Conselheiro Pena</v>
      </c>
      <c r="D599">
        <v>863</v>
      </c>
      <c r="E599">
        <v>82</v>
      </c>
      <c r="F599">
        <v>93</v>
      </c>
      <c r="G599">
        <v>68</v>
      </c>
      <c r="H599" s="7">
        <f t="shared" si="37"/>
        <v>78.028933092224236</v>
      </c>
      <c r="I599" s="7">
        <f t="shared" si="38"/>
        <v>7.4141048824593128</v>
      </c>
      <c r="J599" s="7">
        <f t="shared" si="39"/>
        <v>8.4086799276672686</v>
      </c>
      <c r="K599" s="7">
        <f t="shared" si="40"/>
        <v>6.1482820976491857</v>
      </c>
    </row>
    <row r="600" spans="1:11" x14ac:dyDescent="0.35">
      <c r="A600">
        <v>2018</v>
      </c>
      <c r="B600">
        <v>3119104</v>
      </c>
      <c r="C600" t="str">
        <f>VLOOKUP(B600,SAEB!$A:$B,2,0)</f>
        <v>Corinto</v>
      </c>
      <c r="D600">
        <v>1399</v>
      </c>
      <c r="E600">
        <v>395</v>
      </c>
      <c r="F600">
        <v>13</v>
      </c>
      <c r="G600">
        <v>0</v>
      </c>
      <c r="H600" s="7">
        <f t="shared" si="37"/>
        <v>77.421140011068061</v>
      </c>
      <c r="I600" s="7">
        <f t="shared" si="38"/>
        <v>21.859435528500278</v>
      </c>
      <c r="J600" s="7">
        <f t="shared" si="39"/>
        <v>0.71942446043165476</v>
      </c>
      <c r="K600" s="7">
        <f t="shared" si="40"/>
        <v>0</v>
      </c>
    </row>
    <row r="601" spans="1:11" x14ac:dyDescent="0.35">
      <c r="A601">
        <v>2018</v>
      </c>
      <c r="B601">
        <v>3119203</v>
      </c>
      <c r="C601" t="str">
        <f>VLOOKUP(B601,SAEB!$A:$B,2,0)</f>
        <v>Coroaci</v>
      </c>
      <c r="D601">
        <v>406</v>
      </c>
      <c r="E601">
        <v>58</v>
      </c>
      <c r="F601">
        <v>202</v>
      </c>
      <c r="G601">
        <v>90</v>
      </c>
      <c r="H601" s="7">
        <f t="shared" si="37"/>
        <v>53.703703703703709</v>
      </c>
      <c r="I601" s="7">
        <f t="shared" si="38"/>
        <v>7.6719576719576716</v>
      </c>
      <c r="J601" s="7">
        <f t="shared" si="39"/>
        <v>26.719576719576722</v>
      </c>
      <c r="K601" s="7">
        <f t="shared" si="40"/>
        <v>11.904761904761903</v>
      </c>
    </row>
    <row r="602" spans="1:11" x14ac:dyDescent="0.35">
      <c r="A602">
        <v>2018</v>
      </c>
      <c r="B602">
        <v>3119500</v>
      </c>
      <c r="C602" t="str">
        <f>VLOOKUP(B602,SAEB!$A:$B,2,0)</f>
        <v>Coronel Murta</v>
      </c>
      <c r="D602">
        <v>440</v>
      </c>
      <c r="E602">
        <v>248</v>
      </c>
      <c r="F602">
        <v>34</v>
      </c>
      <c r="G602">
        <v>0</v>
      </c>
      <c r="H602" s="7">
        <f t="shared" si="37"/>
        <v>60.941828254847643</v>
      </c>
      <c r="I602" s="7">
        <f t="shared" si="38"/>
        <v>34.34903047091413</v>
      </c>
      <c r="J602" s="7">
        <f t="shared" si="39"/>
        <v>4.7091412742382275</v>
      </c>
      <c r="K602" s="7">
        <f t="shared" si="40"/>
        <v>0</v>
      </c>
    </row>
    <row r="603" spans="1:11" x14ac:dyDescent="0.35">
      <c r="A603">
        <v>2018</v>
      </c>
      <c r="B603">
        <v>3120151</v>
      </c>
      <c r="C603" t="str">
        <f>VLOOKUP(B603,SAEB!$A:$B,2,0)</f>
        <v>Crisólita</v>
      </c>
      <c r="D603">
        <v>393</v>
      </c>
      <c r="E603">
        <v>169</v>
      </c>
      <c r="F603">
        <v>13</v>
      </c>
      <c r="G603">
        <v>0</v>
      </c>
      <c r="H603" s="7">
        <f t="shared" si="37"/>
        <v>68.347826086956516</v>
      </c>
      <c r="I603" s="7">
        <f t="shared" si="38"/>
        <v>29.391304347826086</v>
      </c>
      <c r="J603" s="7">
        <f t="shared" si="39"/>
        <v>2.2608695652173916</v>
      </c>
      <c r="K603" s="7">
        <f t="shared" si="40"/>
        <v>0</v>
      </c>
    </row>
    <row r="604" spans="1:11" x14ac:dyDescent="0.35">
      <c r="A604">
        <v>2018</v>
      </c>
      <c r="B604">
        <v>3120870</v>
      </c>
      <c r="C604" t="str">
        <f>VLOOKUP(B604,SAEB!$A:$B,2,0)</f>
        <v>Curral de Dentro</v>
      </c>
      <c r="D604">
        <v>453</v>
      </c>
      <c r="E604">
        <v>0</v>
      </c>
      <c r="F604">
        <v>171</v>
      </c>
      <c r="G604">
        <v>0</v>
      </c>
      <c r="H604" s="7">
        <f t="shared" si="37"/>
        <v>72.59615384615384</v>
      </c>
      <c r="I604" s="7">
        <f t="shared" si="38"/>
        <v>0</v>
      </c>
      <c r="J604" s="7">
        <f t="shared" si="39"/>
        <v>27.403846153846157</v>
      </c>
      <c r="K604" s="7">
        <f t="shared" si="40"/>
        <v>0</v>
      </c>
    </row>
    <row r="605" spans="1:11" x14ac:dyDescent="0.35">
      <c r="A605">
        <v>2018</v>
      </c>
      <c r="B605">
        <v>3120904</v>
      </c>
      <c r="C605" t="str">
        <f>VLOOKUP(B605,SAEB!$A:$B,2,0)</f>
        <v>Curvelo</v>
      </c>
      <c r="D605">
        <v>3981</v>
      </c>
      <c r="E605">
        <v>0</v>
      </c>
      <c r="F605">
        <v>456</v>
      </c>
      <c r="G605">
        <v>0</v>
      </c>
      <c r="H605" s="7">
        <f t="shared" si="37"/>
        <v>89.722785665990529</v>
      </c>
      <c r="I605" s="7">
        <f t="shared" si="38"/>
        <v>0</v>
      </c>
      <c r="J605" s="7">
        <f t="shared" si="39"/>
        <v>10.277214334009466</v>
      </c>
      <c r="K605" s="7">
        <f t="shared" si="40"/>
        <v>0</v>
      </c>
    </row>
    <row r="606" spans="1:11" x14ac:dyDescent="0.35">
      <c r="A606">
        <v>2018</v>
      </c>
      <c r="B606">
        <v>3121001</v>
      </c>
      <c r="C606" t="str">
        <f>VLOOKUP(B606,SAEB!$A:$B,2,0)</f>
        <v>Datas</v>
      </c>
      <c r="D606">
        <v>276</v>
      </c>
      <c r="E606">
        <v>0</v>
      </c>
      <c r="F606">
        <v>144</v>
      </c>
      <c r="G606">
        <v>0</v>
      </c>
      <c r="H606" s="7">
        <f t="shared" si="37"/>
        <v>65.714285714285708</v>
      </c>
      <c r="I606" s="7">
        <f t="shared" si="38"/>
        <v>0</v>
      </c>
      <c r="J606" s="7">
        <f t="shared" si="39"/>
        <v>34.285714285714285</v>
      </c>
      <c r="K606" s="7">
        <f t="shared" si="40"/>
        <v>0</v>
      </c>
    </row>
    <row r="607" spans="1:11" x14ac:dyDescent="0.35">
      <c r="A607">
        <v>2018</v>
      </c>
      <c r="B607">
        <v>3121605</v>
      </c>
      <c r="C607" t="str">
        <f>VLOOKUP(B607,SAEB!$A:$B,2,0)</f>
        <v>Diamantina</v>
      </c>
      <c r="D607">
        <v>643</v>
      </c>
      <c r="E607">
        <v>71</v>
      </c>
      <c r="F607">
        <v>371</v>
      </c>
      <c r="G607">
        <v>83</v>
      </c>
      <c r="H607" s="7">
        <f t="shared" si="37"/>
        <v>55.051369863013697</v>
      </c>
      <c r="I607" s="7">
        <f t="shared" si="38"/>
        <v>6.0787671232876717</v>
      </c>
      <c r="J607" s="7">
        <f t="shared" si="39"/>
        <v>31.763698630136989</v>
      </c>
      <c r="K607" s="7">
        <f t="shared" si="40"/>
        <v>7.1061643835616444</v>
      </c>
    </row>
    <row r="608" spans="1:11" x14ac:dyDescent="0.35">
      <c r="A608">
        <v>2018</v>
      </c>
      <c r="B608">
        <v>3122108</v>
      </c>
      <c r="C608" t="str">
        <f>VLOOKUP(B608,SAEB!$A:$B,2,0)</f>
        <v>Divino das Laranjeiras</v>
      </c>
      <c r="D608">
        <v>156</v>
      </c>
      <c r="E608">
        <v>0</v>
      </c>
      <c r="F608">
        <v>0</v>
      </c>
      <c r="G608">
        <v>0</v>
      </c>
      <c r="H608" s="7">
        <f t="shared" si="37"/>
        <v>100</v>
      </c>
      <c r="I608" s="7">
        <f t="shared" si="38"/>
        <v>0</v>
      </c>
      <c r="J608" s="7">
        <f t="shared" si="39"/>
        <v>0</v>
      </c>
      <c r="K608" s="7">
        <f t="shared" si="40"/>
        <v>0</v>
      </c>
    </row>
    <row r="609" spans="1:11" x14ac:dyDescent="0.35">
      <c r="A609">
        <v>2018</v>
      </c>
      <c r="B609">
        <v>3122207</v>
      </c>
      <c r="C609" t="str">
        <f>VLOOKUP(B609,SAEB!$A:$B,2,0)</f>
        <v>Divinolândia de Minas</v>
      </c>
      <c r="D609">
        <v>421</v>
      </c>
      <c r="E609">
        <v>0</v>
      </c>
      <c r="F609">
        <v>161</v>
      </c>
      <c r="G609">
        <v>0</v>
      </c>
      <c r="H609" s="7">
        <f t="shared" si="37"/>
        <v>72.336769759450164</v>
      </c>
      <c r="I609" s="7">
        <f t="shared" si="38"/>
        <v>0</v>
      </c>
      <c r="J609" s="7">
        <f t="shared" si="39"/>
        <v>27.663230240549829</v>
      </c>
      <c r="K609" s="7">
        <f t="shared" si="40"/>
        <v>0</v>
      </c>
    </row>
    <row r="610" spans="1:11" x14ac:dyDescent="0.35">
      <c r="A610">
        <v>2018</v>
      </c>
      <c r="B610">
        <v>3122454</v>
      </c>
      <c r="C610" t="str">
        <f>VLOOKUP(B610,SAEB!$A:$B,2,0)</f>
        <v>Divisópolis</v>
      </c>
      <c r="D610">
        <v>579</v>
      </c>
      <c r="E610">
        <v>0</v>
      </c>
      <c r="F610">
        <v>79</v>
      </c>
      <c r="G610">
        <v>0</v>
      </c>
      <c r="H610" s="7">
        <f t="shared" si="37"/>
        <v>87.993920972644375</v>
      </c>
      <c r="I610" s="7">
        <f t="shared" si="38"/>
        <v>0</v>
      </c>
      <c r="J610" s="7">
        <f t="shared" si="39"/>
        <v>12.006079027355623</v>
      </c>
      <c r="K610" s="7">
        <f t="shared" si="40"/>
        <v>0</v>
      </c>
    </row>
    <row r="611" spans="1:11" x14ac:dyDescent="0.35">
      <c r="A611">
        <v>2018</v>
      </c>
      <c r="B611">
        <v>3122470</v>
      </c>
      <c r="C611" t="str">
        <f>VLOOKUP(B611,SAEB!$A:$B,2,0)</f>
        <v>Dom Bosco</v>
      </c>
      <c r="D611">
        <v>46</v>
      </c>
      <c r="E611">
        <v>32</v>
      </c>
      <c r="F611">
        <v>66</v>
      </c>
      <c r="G611">
        <v>0</v>
      </c>
      <c r="H611" s="7">
        <f t="shared" si="37"/>
        <v>31.944444444444443</v>
      </c>
      <c r="I611" s="7">
        <f t="shared" si="38"/>
        <v>22.222222222222221</v>
      </c>
      <c r="J611" s="7">
        <f t="shared" si="39"/>
        <v>45.833333333333329</v>
      </c>
      <c r="K611" s="7">
        <f t="shared" si="40"/>
        <v>0</v>
      </c>
    </row>
    <row r="612" spans="1:11" x14ac:dyDescent="0.35">
      <c r="A612">
        <v>2018</v>
      </c>
      <c r="B612">
        <v>3123106</v>
      </c>
      <c r="C612" t="str">
        <f>VLOOKUP(B612,SAEB!$A:$B,2,0)</f>
        <v>Dores de Guanhães</v>
      </c>
      <c r="D612">
        <v>230</v>
      </c>
      <c r="E612">
        <v>0</v>
      </c>
      <c r="F612">
        <v>94</v>
      </c>
      <c r="G612">
        <v>0</v>
      </c>
      <c r="H612" s="7">
        <f t="shared" si="37"/>
        <v>70.987654320987659</v>
      </c>
      <c r="I612" s="7">
        <f t="shared" si="38"/>
        <v>0</v>
      </c>
      <c r="J612" s="7">
        <f t="shared" si="39"/>
        <v>29.012345679012348</v>
      </c>
      <c r="K612" s="7">
        <f t="shared" si="40"/>
        <v>0</v>
      </c>
    </row>
    <row r="613" spans="1:11" x14ac:dyDescent="0.35">
      <c r="A613">
        <v>2018</v>
      </c>
      <c r="B613">
        <v>3123700</v>
      </c>
      <c r="C613" t="str">
        <f>VLOOKUP(B613,SAEB!$A:$B,2,0)</f>
        <v>Engenheiro Caldas</v>
      </c>
      <c r="D613">
        <v>704</v>
      </c>
      <c r="E613">
        <v>149</v>
      </c>
      <c r="F613">
        <v>0</v>
      </c>
      <c r="G613">
        <v>0</v>
      </c>
      <c r="H613" s="7">
        <f t="shared" si="37"/>
        <v>82.53223915592028</v>
      </c>
      <c r="I613" s="7">
        <f t="shared" si="38"/>
        <v>17.46776084407972</v>
      </c>
      <c r="J613" s="7">
        <f t="shared" si="39"/>
        <v>0</v>
      </c>
      <c r="K613" s="7">
        <f t="shared" si="40"/>
        <v>0</v>
      </c>
    </row>
    <row r="614" spans="1:11" x14ac:dyDescent="0.35">
      <c r="A614">
        <v>2018</v>
      </c>
      <c r="B614">
        <v>3123809</v>
      </c>
      <c r="C614" t="str">
        <f>VLOOKUP(B614,SAEB!$A:$B,2,0)</f>
        <v>Engenheiro Navarro</v>
      </c>
      <c r="D614">
        <v>406</v>
      </c>
      <c r="E614">
        <v>0</v>
      </c>
      <c r="F614">
        <v>52</v>
      </c>
      <c r="G614">
        <v>0</v>
      </c>
      <c r="H614" s="7">
        <f t="shared" si="37"/>
        <v>88.646288209606979</v>
      </c>
      <c r="I614" s="7">
        <f t="shared" si="38"/>
        <v>0</v>
      </c>
      <c r="J614" s="7">
        <f t="shared" si="39"/>
        <v>11.353711790393014</v>
      </c>
      <c r="K614" s="7">
        <f t="shared" si="40"/>
        <v>0</v>
      </c>
    </row>
    <row r="615" spans="1:11" x14ac:dyDescent="0.35">
      <c r="A615">
        <v>2018</v>
      </c>
      <c r="B615">
        <v>3124302</v>
      </c>
      <c r="C615" t="str">
        <f>VLOOKUP(B615,SAEB!$A:$B,2,0)</f>
        <v>Espinosa</v>
      </c>
      <c r="D615">
        <v>423</v>
      </c>
      <c r="E615">
        <v>0</v>
      </c>
      <c r="F615">
        <v>554</v>
      </c>
      <c r="G615">
        <v>0</v>
      </c>
      <c r="H615" s="7">
        <f t="shared" si="37"/>
        <v>43.295803480040938</v>
      </c>
      <c r="I615" s="7">
        <f t="shared" si="38"/>
        <v>0</v>
      </c>
      <c r="J615" s="7">
        <f t="shared" si="39"/>
        <v>56.704196519959062</v>
      </c>
      <c r="K615" s="7">
        <f t="shared" si="40"/>
        <v>0</v>
      </c>
    </row>
    <row r="616" spans="1:11" x14ac:dyDescent="0.35">
      <c r="A616">
        <v>2018</v>
      </c>
      <c r="B616">
        <v>3125408</v>
      </c>
      <c r="C616" t="str">
        <f>VLOOKUP(B616,SAEB!$A:$B,2,0)</f>
        <v>Felício dos Santos</v>
      </c>
      <c r="D616">
        <v>0</v>
      </c>
      <c r="E616">
        <v>0</v>
      </c>
      <c r="F616">
        <v>382</v>
      </c>
      <c r="G616">
        <v>0</v>
      </c>
      <c r="H616" s="7">
        <f t="shared" si="37"/>
        <v>0</v>
      </c>
      <c r="I616" s="7">
        <f t="shared" si="38"/>
        <v>0</v>
      </c>
      <c r="J616" s="7">
        <f t="shared" si="39"/>
        <v>100</v>
      </c>
      <c r="K616" s="7">
        <f t="shared" si="40"/>
        <v>0</v>
      </c>
    </row>
    <row r="617" spans="1:11" x14ac:dyDescent="0.35">
      <c r="A617">
        <v>2018</v>
      </c>
      <c r="B617">
        <v>3125705</v>
      </c>
      <c r="C617" t="str">
        <f>VLOOKUP(B617,SAEB!$A:$B,2,0)</f>
        <v>Felixlândia</v>
      </c>
      <c r="D617">
        <v>747</v>
      </c>
      <c r="E617">
        <v>414</v>
      </c>
      <c r="F617">
        <v>61</v>
      </c>
      <c r="G617">
        <v>0</v>
      </c>
      <c r="H617" s="7">
        <f t="shared" si="37"/>
        <v>61.129296235679206</v>
      </c>
      <c r="I617" s="7">
        <f t="shared" si="38"/>
        <v>33.878887070376436</v>
      </c>
      <c r="J617" s="7">
        <f t="shared" si="39"/>
        <v>4.9918166939443536</v>
      </c>
      <c r="K617" s="7">
        <f t="shared" si="40"/>
        <v>0</v>
      </c>
    </row>
    <row r="618" spans="1:11" x14ac:dyDescent="0.35">
      <c r="A618">
        <v>2018</v>
      </c>
      <c r="B618">
        <v>3126604</v>
      </c>
      <c r="C618" t="str">
        <f>VLOOKUP(B618,SAEB!$A:$B,2,0)</f>
        <v>Francisco Dumont</v>
      </c>
      <c r="D618">
        <v>304</v>
      </c>
      <c r="E618">
        <v>0</v>
      </c>
      <c r="F618">
        <v>43</v>
      </c>
      <c r="G618">
        <v>52</v>
      </c>
      <c r="H618" s="7">
        <f t="shared" si="37"/>
        <v>76.19047619047619</v>
      </c>
      <c r="I618" s="7">
        <f t="shared" si="38"/>
        <v>0</v>
      </c>
      <c r="J618" s="7">
        <f t="shared" si="39"/>
        <v>10.776942355889723</v>
      </c>
      <c r="K618" s="7">
        <f t="shared" si="40"/>
        <v>13.032581453634084</v>
      </c>
    </row>
    <row r="619" spans="1:11" x14ac:dyDescent="0.35">
      <c r="A619">
        <v>2018</v>
      </c>
      <c r="B619">
        <v>3126703</v>
      </c>
      <c r="C619" t="str">
        <f>VLOOKUP(B619,SAEB!$A:$B,2,0)</f>
        <v>Francisco Sá</v>
      </c>
      <c r="D619">
        <v>455</v>
      </c>
      <c r="E619">
        <v>101</v>
      </c>
      <c r="F619">
        <v>323</v>
      </c>
      <c r="G619">
        <v>77</v>
      </c>
      <c r="H619" s="7">
        <f t="shared" si="37"/>
        <v>47.594142259414227</v>
      </c>
      <c r="I619" s="7">
        <f t="shared" si="38"/>
        <v>10.564853556485355</v>
      </c>
      <c r="J619" s="7">
        <f t="shared" si="39"/>
        <v>33.786610878661087</v>
      </c>
      <c r="K619" s="7">
        <f t="shared" si="40"/>
        <v>8.05439330543933</v>
      </c>
    </row>
    <row r="620" spans="1:11" x14ac:dyDescent="0.35">
      <c r="A620">
        <v>2018</v>
      </c>
      <c r="B620">
        <v>3126901</v>
      </c>
      <c r="C620" t="str">
        <f>VLOOKUP(B620,SAEB!$A:$B,2,0)</f>
        <v>Frei Inocêncio</v>
      </c>
      <c r="D620">
        <v>287</v>
      </c>
      <c r="E620">
        <v>0</v>
      </c>
      <c r="F620">
        <v>59</v>
      </c>
      <c r="G620">
        <v>0</v>
      </c>
      <c r="H620" s="7">
        <f t="shared" si="37"/>
        <v>82.947976878612721</v>
      </c>
      <c r="I620" s="7">
        <f t="shared" si="38"/>
        <v>0</v>
      </c>
      <c r="J620" s="7">
        <f t="shared" si="39"/>
        <v>17.052023121387283</v>
      </c>
      <c r="K620" s="7">
        <f t="shared" si="40"/>
        <v>0</v>
      </c>
    </row>
    <row r="621" spans="1:11" x14ac:dyDescent="0.35">
      <c r="A621">
        <v>2018</v>
      </c>
      <c r="B621">
        <v>3127073</v>
      </c>
      <c r="C621" t="str">
        <f>VLOOKUP(B621,SAEB!$A:$B,2,0)</f>
        <v>Fruta de Leite</v>
      </c>
      <c r="D621">
        <v>0</v>
      </c>
      <c r="E621">
        <v>0</v>
      </c>
      <c r="F621">
        <v>265</v>
      </c>
      <c r="G621">
        <v>0</v>
      </c>
      <c r="H621" s="7">
        <f t="shared" si="37"/>
        <v>0</v>
      </c>
      <c r="I621" s="7">
        <f t="shared" si="38"/>
        <v>0</v>
      </c>
      <c r="J621" s="7">
        <f t="shared" si="39"/>
        <v>100</v>
      </c>
      <c r="K621" s="7">
        <f t="shared" si="40"/>
        <v>0</v>
      </c>
    </row>
    <row r="622" spans="1:11" x14ac:dyDescent="0.35">
      <c r="A622">
        <v>2018</v>
      </c>
      <c r="B622">
        <v>3127354</v>
      </c>
      <c r="C622" t="str">
        <f>VLOOKUP(B622,SAEB!$A:$B,2,0)</f>
        <v>Glaucilândia</v>
      </c>
      <c r="D622">
        <v>125</v>
      </c>
      <c r="E622">
        <v>0</v>
      </c>
      <c r="F622">
        <v>80</v>
      </c>
      <c r="G622">
        <v>0</v>
      </c>
      <c r="H622" s="7">
        <f t="shared" si="37"/>
        <v>60.975609756097562</v>
      </c>
      <c r="I622" s="7">
        <f t="shared" si="38"/>
        <v>0</v>
      </c>
      <c r="J622" s="7">
        <f t="shared" si="39"/>
        <v>39.024390243902438</v>
      </c>
      <c r="K622" s="7">
        <f t="shared" si="40"/>
        <v>0</v>
      </c>
    </row>
    <row r="623" spans="1:11" x14ac:dyDescent="0.35">
      <c r="A623">
        <v>2018</v>
      </c>
      <c r="B623">
        <v>3127503</v>
      </c>
      <c r="C623" t="str">
        <f>VLOOKUP(B623,SAEB!$A:$B,2,0)</f>
        <v>Gonzaga</v>
      </c>
      <c r="D623">
        <v>280</v>
      </c>
      <c r="E623">
        <v>0</v>
      </c>
      <c r="F623">
        <v>125</v>
      </c>
      <c r="G623">
        <v>0</v>
      </c>
      <c r="H623" s="7">
        <f t="shared" si="37"/>
        <v>69.135802469135797</v>
      </c>
      <c r="I623" s="7">
        <f t="shared" si="38"/>
        <v>0</v>
      </c>
      <c r="J623" s="7">
        <f t="shared" si="39"/>
        <v>30.864197530864196</v>
      </c>
      <c r="K623" s="7">
        <f t="shared" si="40"/>
        <v>0</v>
      </c>
    </row>
    <row r="624" spans="1:11" x14ac:dyDescent="0.35">
      <c r="A624">
        <v>2018</v>
      </c>
      <c r="B624">
        <v>3127602</v>
      </c>
      <c r="C624" t="str">
        <f>VLOOKUP(B624,SAEB!$A:$B,2,0)</f>
        <v>Gouveia</v>
      </c>
      <c r="D624">
        <v>654</v>
      </c>
      <c r="E624">
        <v>0</v>
      </c>
      <c r="F624">
        <v>91</v>
      </c>
      <c r="G624">
        <v>55</v>
      </c>
      <c r="H624" s="7">
        <f t="shared" si="37"/>
        <v>81.75</v>
      </c>
      <c r="I624" s="7">
        <f t="shared" si="38"/>
        <v>0</v>
      </c>
      <c r="J624" s="7">
        <f t="shared" si="39"/>
        <v>11.375</v>
      </c>
      <c r="K624" s="7">
        <f t="shared" si="40"/>
        <v>6.8750000000000009</v>
      </c>
    </row>
    <row r="625" spans="1:11" x14ac:dyDescent="0.35">
      <c r="A625">
        <v>2018</v>
      </c>
      <c r="B625">
        <v>3127701</v>
      </c>
      <c r="C625" t="str">
        <f>VLOOKUP(B625,SAEB!$A:$B,2,0)</f>
        <v>Governador Valadares</v>
      </c>
      <c r="D625">
        <v>5893</v>
      </c>
      <c r="E625">
        <v>2907</v>
      </c>
      <c r="F625">
        <v>483</v>
      </c>
      <c r="G625">
        <v>349</v>
      </c>
      <c r="H625" s="7">
        <f t="shared" si="37"/>
        <v>61.181478405315616</v>
      </c>
      <c r="I625" s="7">
        <f t="shared" si="38"/>
        <v>30.180647840531559</v>
      </c>
      <c r="J625" s="7">
        <f t="shared" si="39"/>
        <v>5.0145348837209305</v>
      </c>
      <c r="K625" s="7">
        <f t="shared" si="40"/>
        <v>3.6233388704318936</v>
      </c>
    </row>
    <row r="626" spans="1:11" x14ac:dyDescent="0.35">
      <c r="A626">
        <v>2018</v>
      </c>
      <c r="B626">
        <v>3128006</v>
      </c>
      <c r="C626" t="str">
        <f>VLOOKUP(B626,SAEB!$A:$B,2,0)</f>
        <v>Guanhães</v>
      </c>
      <c r="D626">
        <v>1189</v>
      </c>
      <c r="E626">
        <v>0</v>
      </c>
      <c r="F626">
        <v>141</v>
      </c>
      <c r="G626">
        <v>0</v>
      </c>
      <c r="H626" s="7">
        <f t="shared" si="37"/>
        <v>89.398496240601503</v>
      </c>
      <c r="I626" s="7">
        <f t="shared" si="38"/>
        <v>0</v>
      </c>
      <c r="J626" s="7">
        <f t="shared" si="39"/>
        <v>10.601503759398497</v>
      </c>
      <c r="K626" s="7">
        <f t="shared" si="40"/>
        <v>0</v>
      </c>
    </row>
    <row r="627" spans="1:11" x14ac:dyDescent="0.35">
      <c r="A627">
        <v>2018</v>
      </c>
      <c r="B627">
        <v>3128253</v>
      </c>
      <c r="C627" t="str">
        <f>VLOOKUP(B627,SAEB!$A:$B,2,0)</f>
        <v>Guaraciama</v>
      </c>
      <c r="D627">
        <v>354</v>
      </c>
      <c r="E627">
        <v>0</v>
      </c>
      <c r="F627">
        <v>0</v>
      </c>
      <c r="G627">
        <v>0</v>
      </c>
      <c r="H627" s="7">
        <f t="shared" si="37"/>
        <v>100</v>
      </c>
      <c r="I627" s="7">
        <f t="shared" si="38"/>
        <v>0</v>
      </c>
      <c r="J627" s="7">
        <f t="shared" si="39"/>
        <v>0</v>
      </c>
      <c r="K627" s="7">
        <f t="shared" si="40"/>
        <v>0</v>
      </c>
    </row>
    <row r="628" spans="1:11" x14ac:dyDescent="0.35">
      <c r="A628">
        <v>2018</v>
      </c>
      <c r="B628">
        <v>3129657</v>
      </c>
      <c r="C628" t="str">
        <f>VLOOKUP(B628,SAEB!$A:$B,2,0)</f>
        <v>Ibiracatu</v>
      </c>
      <c r="D628">
        <v>125</v>
      </c>
      <c r="E628">
        <v>145</v>
      </c>
      <c r="F628">
        <v>94</v>
      </c>
      <c r="G628">
        <v>46</v>
      </c>
      <c r="H628" s="7">
        <f t="shared" si="37"/>
        <v>30.487804878048781</v>
      </c>
      <c r="I628" s="7">
        <f t="shared" si="38"/>
        <v>35.365853658536587</v>
      </c>
      <c r="J628" s="7">
        <f t="shared" si="39"/>
        <v>22.926829268292686</v>
      </c>
      <c r="K628" s="7">
        <f t="shared" si="40"/>
        <v>11.219512195121952</v>
      </c>
    </row>
    <row r="629" spans="1:11" x14ac:dyDescent="0.35">
      <c r="A629">
        <v>2018</v>
      </c>
      <c r="B629">
        <v>3130051</v>
      </c>
      <c r="C629" t="str">
        <f>VLOOKUP(B629,SAEB!$A:$B,2,0)</f>
        <v>Icaraí de Minas</v>
      </c>
      <c r="D629">
        <v>366</v>
      </c>
      <c r="E629">
        <v>0</v>
      </c>
      <c r="F629">
        <v>103</v>
      </c>
      <c r="G629">
        <v>0</v>
      </c>
      <c r="H629" s="7">
        <f t="shared" si="37"/>
        <v>78.038379530916842</v>
      </c>
      <c r="I629" s="7">
        <f t="shared" si="38"/>
        <v>0</v>
      </c>
      <c r="J629" s="7">
        <f t="shared" si="39"/>
        <v>21.961620469083158</v>
      </c>
      <c r="K629" s="7">
        <f t="shared" si="40"/>
        <v>0</v>
      </c>
    </row>
    <row r="630" spans="1:11" x14ac:dyDescent="0.35">
      <c r="A630">
        <v>2018</v>
      </c>
      <c r="B630">
        <v>3130556</v>
      </c>
      <c r="C630" t="str">
        <f>VLOOKUP(B630,SAEB!$A:$B,2,0)</f>
        <v>Imbé de Minas</v>
      </c>
      <c r="D630">
        <v>284</v>
      </c>
      <c r="E630">
        <v>0</v>
      </c>
      <c r="F630">
        <v>207</v>
      </c>
      <c r="G630">
        <v>0</v>
      </c>
      <c r="H630" s="7">
        <f t="shared" si="37"/>
        <v>57.841140529531565</v>
      </c>
      <c r="I630" s="7">
        <f t="shared" si="38"/>
        <v>0</v>
      </c>
      <c r="J630" s="7">
        <f t="shared" si="39"/>
        <v>42.158859470468428</v>
      </c>
      <c r="K630" s="7">
        <f t="shared" si="40"/>
        <v>0</v>
      </c>
    </row>
    <row r="631" spans="1:11" x14ac:dyDescent="0.35">
      <c r="A631">
        <v>2018</v>
      </c>
      <c r="B631">
        <v>3130655</v>
      </c>
      <c r="C631" t="str">
        <f>VLOOKUP(B631,SAEB!$A:$B,2,0)</f>
        <v>Indaiabira</v>
      </c>
      <c r="D631">
        <v>189</v>
      </c>
      <c r="E631">
        <v>0</v>
      </c>
      <c r="F631">
        <v>196</v>
      </c>
      <c r="G631">
        <v>83</v>
      </c>
      <c r="H631" s="7">
        <f t="shared" si="37"/>
        <v>40.384615384615387</v>
      </c>
      <c r="I631" s="7">
        <f t="shared" si="38"/>
        <v>0</v>
      </c>
      <c r="J631" s="7">
        <f t="shared" si="39"/>
        <v>41.880341880341881</v>
      </c>
      <c r="K631" s="7">
        <f t="shared" si="40"/>
        <v>17.735042735042736</v>
      </c>
    </row>
    <row r="632" spans="1:11" x14ac:dyDescent="0.35">
      <c r="A632">
        <v>2018</v>
      </c>
      <c r="B632">
        <v>3130903</v>
      </c>
      <c r="C632" t="str">
        <f>VLOOKUP(B632,SAEB!$A:$B,2,0)</f>
        <v>Inhapim</v>
      </c>
      <c r="D632">
        <v>348</v>
      </c>
      <c r="E632">
        <v>0</v>
      </c>
      <c r="F632">
        <v>484</v>
      </c>
      <c r="G632">
        <v>71</v>
      </c>
      <c r="H632" s="7">
        <f t="shared" si="37"/>
        <v>38.538205980066451</v>
      </c>
      <c r="I632" s="7">
        <f t="shared" si="38"/>
        <v>0</v>
      </c>
      <c r="J632" s="7">
        <f t="shared" si="39"/>
        <v>53.599114064230349</v>
      </c>
      <c r="K632" s="7">
        <f t="shared" si="40"/>
        <v>7.8626799557032108</v>
      </c>
    </row>
    <row r="633" spans="1:11" x14ac:dyDescent="0.35">
      <c r="A633">
        <v>2018</v>
      </c>
      <c r="B633">
        <v>3131109</v>
      </c>
      <c r="C633" t="str">
        <f>VLOOKUP(B633,SAEB!$A:$B,2,0)</f>
        <v>Inimutaba</v>
      </c>
      <c r="D633">
        <v>349</v>
      </c>
      <c r="E633">
        <v>0</v>
      </c>
      <c r="F633">
        <v>96</v>
      </c>
      <c r="G633">
        <v>0</v>
      </c>
      <c r="H633" s="7">
        <f t="shared" si="37"/>
        <v>78.426966292134836</v>
      </c>
      <c r="I633" s="7">
        <f t="shared" si="38"/>
        <v>0</v>
      </c>
      <c r="J633" s="7">
        <f t="shared" si="39"/>
        <v>21.573033707865168</v>
      </c>
      <c r="K633" s="7">
        <f t="shared" si="40"/>
        <v>0</v>
      </c>
    </row>
    <row r="634" spans="1:11" x14ac:dyDescent="0.35">
      <c r="A634">
        <v>2018</v>
      </c>
      <c r="B634">
        <v>3131208</v>
      </c>
      <c r="C634" t="str">
        <f>VLOOKUP(B634,SAEB!$A:$B,2,0)</f>
        <v>Ipanema</v>
      </c>
      <c r="D634">
        <v>659</v>
      </c>
      <c r="E634">
        <v>395</v>
      </c>
      <c r="F634">
        <v>43</v>
      </c>
      <c r="G634">
        <v>44</v>
      </c>
      <c r="H634" s="7">
        <f t="shared" si="37"/>
        <v>57.756354075372485</v>
      </c>
      <c r="I634" s="7">
        <f t="shared" si="38"/>
        <v>34.618755477651177</v>
      </c>
      <c r="J634" s="7">
        <f t="shared" si="39"/>
        <v>3.7686240140227865</v>
      </c>
      <c r="K634" s="7">
        <f t="shared" si="40"/>
        <v>3.8562664329535492</v>
      </c>
    </row>
    <row r="635" spans="1:11" x14ac:dyDescent="0.35">
      <c r="A635">
        <v>2018</v>
      </c>
      <c r="B635">
        <v>3131802</v>
      </c>
      <c r="C635" t="str">
        <f>VLOOKUP(B635,SAEB!$A:$B,2,0)</f>
        <v>Itabirinha</v>
      </c>
      <c r="D635">
        <v>554</v>
      </c>
      <c r="E635">
        <v>0</v>
      </c>
      <c r="F635">
        <v>125</v>
      </c>
      <c r="G635">
        <v>0</v>
      </c>
      <c r="H635" s="7">
        <f t="shared" si="37"/>
        <v>81.590574374079523</v>
      </c>
      <c r="I635" s="7">
        <f t="shared" si="38"/>
        <v>0</v>
      </c>
      <c r="J635" s="7">
        <f t="shared" si="39"/>
        <v>18.409425625920473</v>
      </c>
      <c r="K635" s="7">
        <f t="shared" si="40"/>
        <v>0</v>
      </c>
    </row>
    <row r="636" spans="1:11" x14ac:dyDescent="0.35">
      <c r="A636">
        <v>2018</v>
      </c>
      <c r="B636">
        <v>3132107</v>
      </c>
      <c r="C636" t="str">
        <f>VLOOKUP(B636,SAEB!$A:$B,2,0)</f>
        <v>Itacarambi</v>
      </c>
      <c r="D636">
        <v>1044</v>
      </c>
      <c r="E636">
        <v>841</v>
      </c>
      <c r="F636">
        <v>99</v>
      </c>
      <c r="G636">
        <v>94</v>
      </c>
      <c r="H636" s="7">
        <f t="shared" si="37"/>
        <v>50.24061597690087</v>
      </c>
      <c r="I636" s="7">
        <f t="shared" si="38"/>
        <v>40.471607314725702</v>
      </c>
      <c r="J636" s="7">
        <f t="shared" si="39"/>
        <v>4.7641963426371507</v>
      </c>
      <c r="K636" s="7">
        <f t="shared" si="40"/>
        <v>4.5235803657362847</v>
      </c>
    </row>
    <row r="637" spans="1:11" x14ac:dyDescent="0.35">
      <c r="A637">
        <v>2018</v>
      </c>
      <c r="B637">
        <v>3132305</v>
      </c>
      <c r="C637" t="str">
        <f>VLOOKUP(B637,SAEB!$A:$B,2,0)</f>
        <v>Itaipé</v>
      </c>
      <c r="D637">
        <v>294</v>
      </c>
      <c r="E637">
        <v>445</v>
      </c>
      <c r="F637">
        <v>379</v>
      </c>
      <c r="G637">
        <v>0</v>
      </c>
      <c r="H637" s="7">
        <f t="shared" si="37"/>
        <v>26.296958855098389</v>
      </c>
      <c r="I637" s="7">
        <f t="shared" si="38"/>
        <v>39.803220035778175</v>
      </c>
      <c r="J637" s="7">
        <f t="shared" si="39"/>
        <v>33.899821109123437</v>
      </c>
      <c r="K637" s="7">
        <f t="shared" si="40"/>
        <v>0</v>
      </c>
    </row>
    <row r="638" spans="1:11" x14ac:dyDescent="0.35">
      <c r="A638">
        <v>2018</v>
      </c>
      <c r="B638">
        <v>3132503</v>
      </c>
      <c r="C638" t="str">
        <f>VLOOKUP(B638,SAEB!$A:$B,2,0)</f>
        <v>Itamarandiba</v>
      </c>
      <c r="D638">
        <v>1149</v>
      </c>
      <c r="E638">
        <v>231</v>
      </c>
      <c r="F638">
        <v>316</v>
      </c>
      <c r="G638">
        <v>69</v>
      </c>
      <c r="H638" s="7">
        <f t="shared" si="37"/>
        <v>65.099150141643065</v>
      </c>
      <c r="I638" s="7">
        <f t="shared" si="38"/>
        <v>13.087818696883852</v>
      </c>
      <c r="J638" s="7">
        <f t="shared" si="39"/>
        <v>17.903682719546744</v>
      </c>
      <c r="K638" s="7">
        <f t="shared" si="40"/>
        <v>3.9093484419263453</v>
      </c>
    </row>
    <row r="639" spans="1:11" x14ac:dyDescent="0.35">
      <c r="A639">
        <v>2018</v>
      </c>
      <c r="B639">
        <v>3132701</v>
      </c>
      <c r="C639" t="str">
        <f>VLOOKUP(B639,SAEB!$A:$B,2,0)</f>
        <v>Itambacuri</v>
      </c>
      <c r="D639">
        <v>200</v>
      </c>
      <c r="E639">
        <v>81</v>
      </c>
      <c r="F639">
        <v>420</v>
      </c>
      <c r="G639">
        <v>347</v>
      </c>
      <c r="H639" s="7">
        <f t="shared" si="37"/>
        <v>19.083969465648856</v>
      </c>
      <c r="I639" s="7">
        <f t="shared" si="38"/>
        <v>7.7290076335877869</v>
      </c>
      <c r="J639" s="7">
        <f t="shared" si="39"/>
        <v>40.076335877862597</v>
      </c>
      <c r="K639" s="7">
        <f t="shared" si="40"/>
        <v>33.110687022900763</v>
      </c>
    </row>
    <row r="640" spans="1:11" x14ac:dyDescent="0.35">
      <c r="A640">
        <v>2018</v>
      </c>
      <c r="B640">
        <v>3133204</v>
      </c>
      <c r="C640" t="str">
        <f>VLOOKUP(B640,SAEB!$A:$B,2,0)</f>
        <v>Itanhomi</v>
      </c>
      <c r="D640">
        <v>818</v>
      </c>
      <c r="E640">
        <v>0</v>
      </c>
      <c r="F640">
        <v>32</v>
      </c>
      <c r="G640">
        <v>0</v>
      </c>
      <c r="H640" s="7">
        <f t="shared" si="37"/>
        <v>96.235294117647058</v>
      </c>
      <c r="I640" s="7">
        <f t="shared" si="38"/>
        <v>0</v>
      </c>
      <c r="J640" s="7">
        <f t="shared" si="39"/>
        <v>3.7647058823529407</v>
      </c>
      <c r="K640" s="7">
        <f t="shared" si="40"/>
        <v>0</v>
      </c>
    </row>
    <row r="641" spans="1:11" x14ac:dyDescent="0.35">
      <c r="A641">
        <v>2018</v>
      </c>
      <c r="B641">
        <v>3133303</v>
      </c>
      <c r="C641" t="str">
        <f>VLOOKUP(B641,SAEB!$A:$B,2,0)</f>
        <v>Itaobim</v>
      </c>
      <c r="D641">
        <v>460</v>
      </c>
      <c r="E641">
        <v>163</v>
      </c>
      <c r="F641">
        <v>275</v>
      </c>
      <c r="G641">
        <v>113</v>
      </c>
      <c r="H641" s="7">
        <f t="shared" si="37"/>
        <v>45.499505440158259</v>
      </c>
      <c r="I641" s="7">
        <f t="shared" si="38"/>
        <v>16.122650840751731</v>
      </c>
      <c r="J641" s="7">
        <f t="shared" si="39"/>
        <v>27.200791295746786</v>
      </c>
      <c r="K641" s="7">
        <f t="shared" si="40"/>
        <v>11.177052423343223</v>
      </c>
    </row>
    <row r="642" spans="1:11" x14ac:dyDescent="0.35">
      <c r="A642">
        <v>2018</v>
      </c>
      <c r="B642">
        <v>3134004</v>
      </c>
      <c r="C642" t="str">
        <f>VLOOKUP(B642,SAEB!$A:$B,2,0)</f>
        <v>Itinga</v>
      </c>
      <c r="D642">
        <v>225</v>
      </c>
      <c r="E642">
        <v>0</v>
      </c>
      <c r="F642">
        <v>366</v>
      </c>
      <c r="G642">
        <v>301</v>
      </c>
      <c r="H642" s="7">
        <f t="shared" si="37"/>
        <v>25.224215246636771</v>
      </c>
      <c r="I642" s="7">
        <f t="shared" si="38"/>
        <v>0</v>
      </c>
      <c r="J642" s="7">
        <f t="shared" si="39"/>
        <v>41.031390134529147</v>
      </c>
      <c r="K642" s="7">
        <f t="shared" si="40"/>
        <v>33.744394618834079</v>
      </c>
    </row>
    <row r="643" spans="1:11" x14ac:dyDescent="0.35">
      <c r="A643">
        <v>2018</v>
      </c>
      <c r="B643">
        <v>3134103</v>
      </c>
      <c r="C643" t="str">
        <f>VLOOKUP(B643,SAEB!$A:$B,2,0)</f>
        <v>Itueta</v>
      </c>
      <c r="D643">
        <v>141</v>
      </c>
      <c r="E643">
        <v>103</v>
      </c>
      <c r="F643">
        <v>109</v>
      </c>
      <c r="G643">
        <v>73</v>
      </c>
      <c r="H643" s="7">
        <f t="shared" ref="H643:H706" si="41">D643/SUM($D643:$G643)*100</f>
        <v>33.098591549295776</v>
      </c>
      <c r="I643" s="7">
        <f t="shared" ref="I643:I706" si="42">E643/SUM($D643:$G643)*100</f>
        <v>24.178403755868544</v>
      </c>
      <c r="J643" s="7">
        <f t="shared" ref="J643:J706" si="43">F643/SUM($D643:$G643)*100</f>
        <v>25.586854460093893</v>
      </c>
      <c r="K643" s="7">
        <f t="shared" ref="K643:K706" si="44">G643/SUM($D643:$G643)*100</f>
        <v>17.136150234741784</v>
      </c>
    </row>
    <row r="644" spans="1:11" x14ac:dyDescent="0.35">
      <c r="A644">
        <v>2018</v>
      </c>
      <c r="B644">
        <v>3134707</v>
      </c>
      <c r="C644" t="str">
        <f>VLOOKUP(B644,SAEB!$A:$B,2,0)</f>
        <v>Jacinto</v>
      </c>
      <c r="D644">
        <v>757</v>
      </c>
      <c r="E644">
        <v>0</v>
      </c>
      <c r="F644">
        <v>68</v>
      </c>
      <c r="G644">
        <v>23</v>
      </c>
      <c r="H644" s="7">
        <f t="shared" si="41"/>
        <v>89.268867924528308</v>
      </c>
      <c r="I644" s="7">
        <f t="shared" si="42"/>
        <v>0</v>
      </c>
      <c r="J644" s="7">
        <f t="shared" si="43"/>
        <v>8.0188679245283012</v>
      </c>
      <c r="K644" s="7">
        <f t="shared" si="44"/>
        <v>2.7122641509433962</v>
      </c>
    </row>
    <row r="645" spans="1:11" x14ac:dyDescent="0.35">
      <c r="A645">
        <v>2018</v>
      </c>
      <c r="B645">
        <v>3135050</v>
      </c>
      <c r="C645" t="str">
        <f>VLOOKUP(B645,SAEB!$A:$B,2,0)</f>
        <v>Jaíba</v>
      </c>
      <c r="D645">
        <v>600</v>
      </c>
      <c r="E645">
        <v>0</v>
      </c>
      <c r="F645">
        <v>407</v>
      </c>
      <c r="G645">
        <v>243</v>
      </c>
      <c r="H645" s="7">
        <f t="shared" si="41"/>
        <v>48</v>
      </c>
      <c r="I645" s="7">
        <f t="shared" si="42"/>
        <v>0</v>
      </c>
      <c r="J645" s="7">
        <f t="shared" si="43"/>
        <v>32.56</v>
      </c>
      <c r="K645" s="7">
        <f t="shared" si="44"/>
        <v>19.439999999999998</v>
      </c>
    </row>
    <row r="646" spans="1:11" x14ac:dyDescent="0.35">
      <c r="A646">
        <v>2018</v>
      </c>
      <c r="B646">
        <v>3135100</v>
      </c>
      <c r="C646" t="str">
        <f>VLOOKUP(B646,SAEB!$A:$B,2,0)</f>
        <v>Janaúba</v>
      </c>
      <c r="D646">
        <v>1667</v>
      </c>
      <c r="E646">
        <v>526</v>
      </c>
      <c r="F646">
        <v>217</v>
      </c>
      <c r="G646">
        <v>0</v>
      </c>
      <c r="H646" s="7">
        <f t="shared" si="41"/>
        <v>69.170124481327804</v>
      </c>
      <c r="I646" s="7">
        <f t="shared" si="42"/>
        <v>21.825726141078839</v>
      </c>
      <c r="J646" s="7">
        <f t="shared" si="43"/>
        <v>9.004149377593361</v>
      </c>
      <c r="K646" s="7">
        <f t="shared" si="44"/>
        <v>0</v>
      </c>
    </row>
    <row r="647" spans="1:11" x14ac:dyDescent="0.35">
      <c r="A647">
        <v>2018</v>
      </c>
      <c r="B647">
        <v>3135209</v>
      </c>
      <c r="C647" t="str">
        <f>VLOOKUP(B647,SAEB!$A:$B,2,0)</f>
        <v>Januária</v>
      </c>
      <c r="D647">
        <v>646</v>
      </c>
      <c r="E647">
        <v>317</v>
      </c>
      <c r="F647">
        <v>885</v>
      </c>
      <c r="G647">
        <v>541</v>
      </c>
      <c r="H647" s="7">
        <f t="shared" si="41"/>
        <v>27.040602762662203</v>
      </c>
      <c r="I647" s="7">
        <f t="shared" si="42"/>
        <v>13.269150272080369</v>
      </c>
      <c r="J647" s="7">
        <f t="shared" si="43"/>
        <v>37.044788614483046</v>
      </c>
      <c r="K647" s="7">
        <f t="shared" si="44"/>
        <v>22.645458350774383</v>
      </c>
    </row>
    <row r="648" spans="1:11" x14ac:dyDescent="0.35">
      <c r="A648">
        <v>2018</v>
      </c>
      <c r="B648">
        <v>3135357</v>
      </c>
      <c r="C648" t="str">
        <f>VLOOKUP(B648,SAEB!$A:$B,2,0)</f>
        <v>Japonvar</v>
      </c>
      <c r="D648">
        <v>125</v>
      </c>
      <c r="E648">
        <v>153</v>
      </c>
      <c r="F648">
        <v>187</v>
      </c>
      <c r="G648">
        <v>162</v>
      </c>
      <c r="H648" s="7">
        <f t="shared" si="41"/>
        <v>19.936204146730464</v>
      </c>
      <c r="I648" s="7">
        <f t="shared" si="42"/>
        <v>24.401913875598087</v>
      </c>
      <c r="J648" s="7">
        <f t="shared" si="43"/>
        <v>29.82456140350877</v>
      </c>
      <c r="K648" s="7">
        <f t="shared" si="44"/>
        <v>25.837320574162682</v>
      </c>
    </row>
    <row r="649" spans="1:11" x14ac:dyDescent="0.35">
      <c r="A649">
        <v>2018</v>
      </c>
      <c r="B649">
        <v>3135605</v>
      </c>
      <c r="C649" t="str">
        <f>VLOOKUP(B649,SAEB!$A:$B,2,0)</f>
        <v>Jequitaí</v>
      </c>
      <c r="D649">
        <v>333</v>
      </c>
      <c r="E649">
        <v>0</v>
      </c>
      <c r="F649">
        <v>31</v>
      </c>
      <c r="G649">
        <v>15</v>
      </c>
      <c r="H649" s="7">
        <f t="shared" si="41"/>
        <v>87.862796833773089</v>
      </c>
      <c r="I649" s="7">
        <f t="shared" si="42"/>
        <v>0</v>
      </c>
      <c r="J649" s="7">
        <f t="shared" si="43"/>
        <v>8.1794195250659634</v>
      </c>
      <c r="K649" s="7">
        <f t="shared" si="44"/>
        <v>3.9577836411609502</v>
      </c>
    </row>
    <row r="650" spans="1:11" x14ac:dyDescent="0.35">
      <c r="A650">
        <v>2018</v>
      </c>
      <c r="B650">
        <v>3135803</v>
      </c>
      <c r="C650" t="str">
        <f>VLOOKUP(B650,SAEB!$A:$B,2,0)</f>
        <v>Jequitinhonha</v>
      </c>
      <c r="D650">
        <v>725</v>
      </c>
      <c r="E650">
        <v>0</v>
      </c>
      <c r="F650">
        <v>253</v>
      </c>
      <c r="G650">
        <v>137</v>
      </c>
      <c r="H650" s="7">
        <f t="shared" si="41"/>
        <v>65.02242152466367</v>
      </c>
      <c r="I650" s="7">
        <f t="shared" si="42"/>
        <v>0</v>
      </c>
      <c r="J650" s="7">
        <f t="shared" si="43"/>
        <v>22.690582959641254</v>
      </c>
      <c r="K650" s="7">
        <f t="shared" si="44"/>
        <v>12.286995515695068</v>
      </c>
    </row>
    <row r="651" spans="1:11" x14ac:dyDescent="0.35">
      <c r="A651">
        <v>2018</v>
      </c>
      <c r="B651">
        <v>3136009</v>
      </c>
      <c r="C651" t="str">
        <f>VLOOKUP(B651,SAEB!$A:$B,2,0)</f>
        <v>Joaíma</v>
      </c>
      <c r="D651">
        <v>733</v>
      </c>
      <c r="E651">
        <v>277</v>
      </c>
      <c r="F651">
        <v>244</v>
      </c>
      <c r="G651">
        <v>137</v>
      </c>
      <c r="H651" s="7">
        <f t="shared" si="41"/>
        <v>52.69590222861251</v>
      </c>
      <c r="I651" s="7">
        <f t="shared" si="42"/>
        <v>19.9137311286844</v>
      </c>
      <c r="J651" s="7">
        <f t="shared" si="43"/>
        <v>17.541337167505393</v>
      </c>
      <c r="K651" s="7">
        <f t="shared" si="44"/>
        <v>9.8490294751976997</v>
      </c>
    </row>
    <row r="652" spans="1:11" x14ac:dyDescent="0.35">
      <c r="A652">
        <v>2018</v>
      </c>
      <c r="B652">
        <v>3136405</v>
      </c>
      <c r="C652" t="str">
        <f>VLOOKUP(B652,SAEB!$A:$B,2,0)</f>
        <v>Joaquim Felício</v>
      </c>
      <c r="D652">
        <v>259</v>
      </c>
      <c r="E652">
        <v>255</v>
      </c>
      <c r="F652">
        <v>0</v>
      </c>
      <c r="G652">
        <v>0</v>
      </c>
      <c r="H652" s="7">
        <f t="shared" si="41"/>
        <v>50.389105058365757</v>
      </c>
      <c r="I652" s="7">
        <f t="shared" si="42"/>
        <v>49.610894941634243</v>
      </c>
      <c r="J652" s="7">
        <f t="shared" si="43"/>
        <v>0</v>
      </c>
      <c r="K652" s="7">
        <f t="shared" si="44"/>
        <v>0</v>
      </c>
    </row>
    <row r="653" spans="1:11" x14ac:dyDescent="0.35">
      <c r="A653">
        <v>2018</v>
      </c>
      <c r="B653">
        <v>3136553</v>
      </c>
      <c r="C653" t="str">
        <f>VLOOKUP(B653,SAEB!$A:$B,2,0)</f>
        <v>José Raydan</v>
      </c>
      <c r="D653">
        <v>177</v>
      </c>
      <c r="E653">
        <v>0</v>
      </c>
      <c r="F653">
        <v>132</v>
      </c>
      <c r="G653">
        <v>0</v>
      </c>
      <c r="H653" s="7">
        <f t="shared" si="41"/>
        <v>57.28155339805825</v>
      </c>
      <c r="I653" s="7">
        <f t="shared" si="42"/>
        <v>0</v>
      </c>
      <c r="J653" s="7">
        <f t="shared" si="43"/>
        <v>42.718446601941743</v>
      </c>
      <c r="K653" s="7">
        <f t="shared" si="44"/>
        <v>0</v>
      </c>
    </row>
    <row r="654" spans="1:11" x14ac:dyDescent="0.35">
      <c r="A654">
        <v>2018</v>
      </c>
      <c r="B654">
        <v>3136801</v>
      </c>
      <c r="C654" t="str">
        <f>VLOOKUP(B654,SAEB!$A:$B,2,0)</f>
        <v>Juramento</v>
      </c>
      <c r="D654">
        <v>201</v>
      </c>
      <c r="E654">
        <v>0</v>
      </c>
      <c r="F654">
        <v>68</v>
      </c>
      <c r="G654">
        <v>0</v>
      </c>
      <c r="H654" s="7">
        <f t="shared" si="41"/>
        <v>74.721189591078058</v>
      </c>
      <c r="I654" s="7">
        <f t="shared" si="42"/>
        <v>0</v>
      </c>
      <c r="J654" s="7">
        <f t="shared" si="43"/>
        <v>25.278810408921931</v>
      </c>
      <c r="K654" s="7">
        <f t="shared" si="44"/>
        <v>0</v>
      </c>
    </row>
    <row r="655" spans="1:11" x14ac:dyDescent="0.35">
      <c r="A655">
        <v>2018</v>
      </c>
      <c r="B655">
        <v>3136959</v>
      </c>
      <c r="C655" t="str">
        <f>VLOOKUP(B655,SAEB!$A:$B,2,0)</f>
        <v>Juvenília</v>
      </c>
      <c r="D655">
        <v>291</v>
      </c>
      <c r="E655">
        <v>149</v>
      </c>
      <c r="F655">
        <v>40</v>
      </c>
      <c r="G655">
        <v>20</v>
      </c>
      <c r="H655" s="7">
        <f t="shared" si="41"/>
        <v>58.199999999999996</v>
      </c>
      <c r="I655" s="7">
        <f t="shared" si="42"/>
        <v>29.799999999999997</v>
      </c>
      <c r="J655" s="7">
        <f t="shared" si="43"/>
        <v>8</v>
      </c>
      <c r="K655" s="7">
        <f t="shared" si="44"/>
        <v>4</v>
      </c>
    </row>
    <row r="656" spans="1:11" x14ac:dyDescent="0.35">
      <c r="A656">
        <v>2018</v>
      </c>
      <c r="B656">
        <v>3137007</v>
      </c>
      <c r="C656" t="str">
        <f>VLOOKUP(B656,SAEB!$A:$B,2,0)</f>
        <v>Ladainha</v>
      </c>
      <c r="D656">
        <v>0</v>
      </c>
      <c r="E656">
        <v>0</v>
      </c>
      <c r="F656">
        <v>627</v>
      </c>
      <c r="G656">
        <v>216</v>
      </c>
      <c r="H656" s="7">
        <f t="shared" si="41"/>
        <v>0</v>
      </c>
      <c r="I656" s="7">
        <f t="shared" si="42"/>
        <v>0</v>
      </c>
      <c r="J656" s="7">
        <f t="shared" si="43"/>
        <v>74.377224199288264</v>
      </c>
      <c r="K656" s="7">
        <f t="shared" si="44"/>
        <v>25.622775800711743</v>
      </c>
    </row>
    <row r="657" spans="1:11" x14ac:dyDescent="0.35">
      <c r="A657">
        <v>2018</v>
      </c>
      <c r="B657">
        <v>3137304</v>
      </c>
      <c r="C657" t="str">
        <f>VLOOKUP(B657,SAEB!$A:$B,2,0)</f>
        <v>Lagoa dos Patos</v>
      </c>
      <c r="D657">
        <v>297</v>
      </c>
      <c r="E657">
        <v>0</v>
      </c>
      <c r="F657">
        <v>0</v>
      </c>
      <c r="G657">
        <v>0</v>
      </c>
      <c r="H657" s="7">
        <f t="shared" si="41"/>
        <v>100</v>
      </c>
      <c r="I657" s="7">
        <f t="shared" si="42"/>
        <v>0</v>
      </c>
      <c r="J657" s="7">
        <f t="shared" si="43"/>
        <v>0</v>
      </c>
      <c r="K657" s="7">
        <f t="shared" si="44"/>
        <v>0</v>
      </c>
    </row>
    <row r="658" spans="1:11" x14ac:dyDescent="0.35">
      <c r="A658">
        <v>2018</v>
      </c>
      <c r="B658">
        <v>3138104</v>
      </c>
      <c r="C658" t="str">
        <f>VLOOKUP(B658,SAEB!$A:$B,2,0)</f>
        <v>Lassance</v>
      </c>
      <c r="D658">
        <v>202</v>
      </c>
      <c r="E658">
        <v>0</v>
      </c>
      <c r="F658">
        <v>152</v>
      </c>
      <c r="G658">
        <v>119</v>
      </c>
      <c r="H658" s="7">
        <f t="shared" si="41"/>
        <v>42.706131078224104</v>
      </c>
      <c r="I658" s="7">
        <f t="shared" si="42"/>
        <v>0</v>
      </c>
      <c r="J658" s="7">
        <f t="shared" si="43"/>
        <v>32.1353065539112</v>
      </c>
      <c r="K658" s="7">
        <f t="shared" si="44"/>
        <v>25.158562367864697</v>
      </c>
    </row>
    <row r="659" spans="1:11" x14ac:dyDescent="0.35">
      <c r="A659">
        <v>2018</v>
      </c>
      <c r="B659">
        <v>3138351</v>
      </c>
      <c r="C659" t="str">
        <f>VLOOKUP(B659,SAEB!$A:$B,2,0)</f>
        <v>Leme do Prado</v>
      </c>
      <c r="D659">
        <v>22</v>
      </c>
      <c r="E659">
        <v>0</v>
      </c>
      <c r="F659">
        <v>123</v>
      </c>
      <c r="G659">
        <v>87</v>
      </c>
      <c r="H659" s="7">
        <f t="shared" si="41"/>
        <v>9.4827586206896548</v>
      </c>
      <c r="I659" s="7">
        <f t="shared" si="42"/>
        <v>0</v>
      </c>
      <c r="J659" s="7">
        <f t="shared" si="43"/>
        <v>53.017241379310342</v>
      </c>
      <c r="K659" s="7">
        <f t="shared" si="44"/>
        <v>37.5</v>
      </c>
    </row>
    <row r="660" spans="1:11" x14ac:dyDescent="0.35">
      <c r="A660">
        <v>2018</v>
      </c>
      <c r="B660">
        <v>3138658</v>
      </c>
      <c r="C660" t="str">
        <f>VLOOKUP(B660,SAEB!$A:$B,2,0)</f>
        <v>Lontra</v>
      </c>
      <c r="D660">
        <v>506</v>
      </c>
      <c r="E660">
        <v>187</v>
      </c>
      <c r="F660">
        <v>44</v>
      </c>
      <c r="G660">
        <v>0</v>
      </c>
      <c r="H660" s="7">
        <f t="shared" si="41"/>
        <v>68.656716417910445</v>
      </c>
      <c r="I660" s="7">
        <f t="shared" si="42"/>
        <v>25.373134328358208</v>
      </c>
      <c r="J660" s="7">
        <f t="shared" si="43"/>
        <v>5.9701492537313428</v>
      </c>
      <c r="K660" s="7">
        <f t="shared" si="44"/>
        <v>0</v>
      </c>
    </row>
    <row r="661" spans="1:11" x14ac:dyDescent="0.35">
      <c r="A661">
        <v>2018</v>
      </c>
      <c r="B661">
        <v>3138906</v>
      </c>
      <c r="C661" t="str">
        <f>VLOOKUP(B661,SAEB!$A:$B,2,0)</f>
        <v>Machacalis</v>
      </c>
      <c r="D661">
        <v>350</v>
      </c>
      <c r="E661">
        <v>0</v>
      </c>
      <c r="F661">
        <v>44</v>
      </c>
      <c r="G661">
        <v>0</v>
      </c>
      <c r="H661" s="7">
        <f t="shared" si="41"/>
        <v>88.832487309644677</v>
      </c>
      <c r="I661" s="7">
        <f t="shared" si="42"/>
        <v>0</v>
      </c>
      <c r="J661" s="7">
        <f t="shared" si="43"/>
        <v>11.167512690355331</v>
      </c>
      <c r="K661" s="7">
        <f t="shared" si="44"/>
        <v>0</v>
      </c>
    </row>
    <row r="662" spans="1:11" x14ac:dyDescent="0.35">
      <c r="A662">
        <v>2018</v>
      </c>
      <c r="B662">
        <v>3139201</v>
      </c>
      <c r="C662" t="str">
        <f>VLOOKUP(B662,SAEB!$A:$B,2,0)</f>
        <v>Malacacheta</v>
      </c>
      <c r="D662">
        <v>168</v>
      </c>
      <c r="E662">
        <v>0</v>
      </c>
      <c r="F662">
        <v>174</v>
      </c>
      <c r="G662">
        <v>132</v>
      </c>
      <c r="H662" s="7">
        <f t="shared" si="41"/>
        <v>35.443037974683541</v>
      </c>
      <c r="I662" s="7">
        <f t="shared" si="42"/>
        <v>0</v>
      </c>
      <c r="J662" s="7">
        <f t="shared" si="43"/>
        <v>36.708860759493675</v>
      </c>
      <c r="K662" s="7">
        <f t="shared" si="44"/>
        <v>27.848101265822784</v>
      </c>
    </row>
    <row r="663" spans="1:11" x14ac:dyDescent="0.35">
      <c r="A663">
        <v>2018</v>
      </c>
      <c r="B663">
        <v>3139250</v>
      </c>
      <c r="C663" t="str">
        <f>VLOOKUP(B663,SAEB!$A:$B,2,0)</f>
        <v>Mamonas</v>
      </c>
      <c r="D663">
        <v>330</v>
      </c>
      <c r="E663">
        <v>0</v>
      </c>
      <c r="F663">
        <v>30</v>
      </c>
      <c r="G663">
        <v>0</v>
      </c>
      <c r="H663" s="7">
        <f t="shared" si="41"/>
        <v>91.666666666666657</v>
      </c>
      <c r="I663" s="7">
        <f t="shared" si="42"/>
        <v>0</v>
      </c>
      <c r="J663" s="7">
        <f t="shared" si="43"/>
        <v>8.3333333333333321</v>
      </c>
      <c r="K663" s="7">
        <f t="shared" si="44"/>
        <v>0</v>
      </c>
    </row>
    <row r="664" spans="1:11" x14ac:dyDescent="0.35">
      <c r="A664">
        <v>2018</v>
      </c>
      <c r="B664">
        <v>3139300</v>
      </c>
      <c r="C664" t="str">
        <f>VLOOKUP(B664,SAEB!$A:$B,2,0)</f>
        <v>Manga</v>
      </c>
      <c r="D664">
        <v>604</v>
      </c>
      <c r="E664">
        <v>303</v>
      </c>
      <c r="F664">
        <v>317</v>
      </c>
      <c r="G664">
        <v>193</v>
      </c>
      <c r="H664" s="7">
        <f t="shared" si="41"/>
        <v>42.625264643613271</v>
      </c>
      <c r="I664" s="7">
        <f t="shared" si="42"/>
        <v>21.383203952011293</v>
      </c>
      <c r="J664" s="7">
        <f t="shared" si="43"/>
        <v>22.371206774876502</v>
      </c>
      <c r="K664" s="7">
        <f t="shared" si="44"/>
        <v>13.620324629498942</v>
      </c>
    </row>
    <row r="665" spans="1:11" x14ac:dyDescent="0.35">
      <c r="A665">
        <v>2018</v>
      </c>
      <c r="B665">
        <v>3139607</v>
      </c>
      <c r="C665" t="str">
        <f>VLOOKUP(B665,SAEB!$A:$B,2,0)</f>
        <v>Mantena</v>
      </c>
      <c r="D665">
        <v>1612</v>
      </c>
      <c r="E665">
        <v>623</v>
      </c>
      <c r="F665">
        <v>99</v>
      </c>
      <c r="G665">
        <v>49</v>
      </c>
      <c r="H665" s="7">
        <f t="shared" si="41"/>
        <v>67.645824590851873</v>
      </c>
      <c r="I665" s="7">
        <f t="shared" si="42"/>
        <v>26.143516575744858</v>
      </c>
      <c r="J665" s="7">
        <f t="shared" si="43"/>
        <v>4.1544271926143512</v>
      </c>
      <c r="K665" s="7">
        <f t="shared" si="44"/>
        <v>2.0562316407889214</v>
      </c>
    </row>
    <row r="666" spans="1:11" x14ac:dyDescent="0.35">
      <c r="A666">
        <v>2018</v>
      </c>
      <c r="B666">
        <v>3140100</v>
      </c>
      <c r="C666" t="str">
        <f>VLOOKUP(B666,SAEB!$A:$B,2,0)</f>
        <v>Marilac</v>
      </c>
      <c r="D666">
        <v>293</v>
      </c>
      <c r="E666">
        <v>23</v>
      </c>
      <c r="F666">
        <v>0</v>
      </c>
      <c r="G666">
        <v>0</v>
      </c>
      <c r="H666" s="7">
        <f t="shared" si="41"/>
        <v>92.721518987341767</v>
      </c>
      <c r="I666" s="7">
        <f t="shared" si="42"/>
        <v>7.2784810126582276</v>
      </c>
      <c r="J666" s="7">
        <f t="shared" si="43"/>
        <v>0</v>
      </c>
      <c r="K666" s="7">
        <f t="shared" si="44"/>
        <v>0</v>
      </c>
    </row>
    <row r="667" spans="1:11" x14ac:dyDescent="0.35">
      <c r="A667">
        <v>2018</v>
      </c>
      <c r="B667">
        <v>3140605</v>
      </c>
      <c r="C667" t="str">
        <f>VLOOKUP(B667,SAEB!$A:$B,2,0)</f>
        <v>Materlândia</v>
      </c>
      <c r="D667">
        <v>235</v>
      </c>
      <c r="E667">
        <v>0</v>
      </c>
      <c r="F667">
        <v>125</v>
      </c>
      <c r="G667">
        <v>35</v>
      </c>
      <c r="H667" s="7">
        <f t="shared" si="41"/>
        <v>59.493670886075947</v>
      </c>
      <c r="I667" s="7">
        <f t="shared" si="42"/>
        <v>0</v>
      </c>
      <c r="J667" s="7">
        <f t="shared" si="43"/>
        <v>31.645569620253166</v>
      </c>
      <c r="K667" s="7">
        <f t="shared" si="44"/>
        <v>8.8607594936708853</v>
      </c>
    </row>
    <row r="668" spans="1:11" x14ac:dyDescent="0.35">
      <c r="A668">
        <v>2018</v>
      </c>
      <c r="B668">
        <v>3171501</v>
      </c>
      <c r="C668" t="str">
        <f>VLOOKUP(B668,SAEB!$A:$B,2,0)</f>
        <v>Mathias Lobato</v>
      </c>
      <c r="D668">
        <v>309</v>
      </c>
      <c r="E668">
        <v>0</v>
      </c>
      <c r="F668">
        <v>0</v>
      </c>
      <c r="G668">
        <v>0</v>
      </c>
      <c r="H668" s="7">
        <f t="shared" si="41"/>
        <v>100</v>
      </c>
      <c r="I668" s="7">
        <f t="shared" si="42"/>
        <v>0</v>
      </c>
      <c r="J668" s="7">
        <f t="shared" si="43"/>
        <v>0</v>
      </c>
      <c r="K668" s="7">
        <f t="shared" si="44"/>
        <v>0</v>
      </c>
    </row>
    <row r="669" spans="1:11" x14ac:dyDescent="0.35">
      <c r="A669">
        <v>2018</v>
      </c>
      <c r="B669">
        <v>3140852</v>
      </c>
      <c r="C669" t="str">
        <f>VLOOKUP(B669,SAEB!$A:$B,2,0)</f>
        <v>Matias Cardoso</v>
      </c>
      <c r="D669">
        <v>454</v>
      </c>
      <c r="E669">
        <v>260</v>
      </c>
      <c r="F669">
        <v>114</v>
      </c>
      <c r="G669">
        <v>0</v>
      </c>
      <c r="H669" s="7">
        <f t="shared" si="41"/>
        <v>54.830917874396135</v>
      </c>
      <c r="I669" s="7">
        <f t="shared" si="42"/>
        <v>31.40096618357488</v>
      </c>
      <c r="J669" s="7">
        <f t="shared" si="43"/>
        <v>13.768115942028986</v>
      </c>
      <c r="K669" s="7">
        <f t="shared" si="44"/>
        <v>0</v>
      </c>
    </row>
    <row r="670" spans="1:11" x14ac:dyDescent="0.35">
      <c r="A670">
        <v>2018</v>
      </c>
      <c r="B670">
        <v>3141009</v>
      </c>
      <c r="C670" t="str">
        <f>VLOOKUP(B670,SAEB!$A:$B,2,0)</f>
        <v>Mato Verde</v>
      </c>
      <c r="D670">
        <v>348</v>
      </c>
      <c r="E670">
        <v>0</v>
      </c>
      <c r="F670">
        <v>105</v>
      </c>
      <c r="G670">
        <v>0</v>
      </c>
      <c r="H670" s="7">
        <f t="shared" si="41"/>
        <v>76.821192052980138</v>
      </c>
      <c r="I670" s="7">
        <f t="shared" si="42"/>
        <v>0</v>
      </c>
      <c r="J670" s="7">
        <f t="shared" si="43"/>
        <v>23.178807947019866</v>
      </c>
      <c r="K670" s="7">
        <f t="shared" si="44"/>
        <v>0</v>
      </c>
    </row>
    <row r="671" spans="1:11" x14ac:dyDescent="0.35">
      <c r="A671">
        <v>2018</v>
      </c>
      <c r="B671">
        <v>3141405</v>
      </c>
      <c r="C671" t="str">
        <f>VLOOKUP(B671,SAEB!$A:$B,2,0)</f>
        <v>Medina</v>
      </c>
      <c r="D671">
        <v>640</v>
      </c>
      <c r="E671">
        <v>0</v>
      </c>
      <c r="F671">
        <v>240</v>
      </c>
      <c r="G671">
        <v>0</v>
      </c>
      <c r="H671" s="7">
        <f t="shared" si="41"/>
        <v>72.727272727272734</v>
      </c>
      <c r="I671" s="7">
        <f t="shared" si="42"/>
        <v>0</v>
      </c>
      <c r="J671" s="7">
        <f t="shared" si="43"/>
        <v>27.27272727272727</v>
      </c>
      <c r="K671" s="7">
        <f t="shared" si="44"/>
        <v>0</v>
      </c>
    </row>
    <row r="672" spans="1:11" x14ac:dyDescent="0.35">
      <c r="A672">
        <v>2018</v>
      </c>
      <c r="B672">
        <v>3141504</v>
      </c>
      <c r="C672" t="str">
        <f>VLOOKUP(B672,SAEB!$A:$B,2,0)</f>
        <v>Mendes Pimentel</v>
      </c>
      <c r="D672">
        <v>234</v>
      </c>
      <c r="E672">
        <v>0</v>
      </c>
      <c r="F672">
        <v>120</v>
      </c>
      <c r="G672">
        <v>0</v>
      </c>
      <c r="H672" s="7">
        <f t="shared" si="41"/>
        <v>66.101694915254242</v>
      </c>
      <c r="I672" s="7">
        <f t="shared" si="42"/>
        <v>0</v>
      </c>
      <c r="J672" s="7">
        <f t="shared" si="43"/>
        <v>33.898305084745758</v>
      </c>
      <c r="K672" s="7">
        <f t="shared" si="44"/>
        <v>0</v>
      </c>
    </row>
    <row r="673" spans="1:11" x14ac:dyDescent="0.35">
      <c r="A673">
        <v>2018</v>
      </c>
      <c r="B673">
        <v>3141801</v>
      </c>
      <c r="C673" t="str">
        <f>VLOOKUP(B673,SAEB!$A:$B,2,0)</f>
        <v>Minas Novas</v>
      </c>
      <c r="D673">
        <v>196</v>
      </c>
      <c r="E673">
        <v>224</v>
      </c>
      <c r="F673">
        <v>467</v>
      </c>
      <c r="G673">
        <v>164</v>
      </c>
      <c r="H673" s="7">
        <f t="shared" si="41"/>
        <v>18.648905803996193</v>
      </c>
      <c r="I673" s="7">
        <f t="shared" si="42"/>
        <v>21.313035204567079</v>
      </c>
      <c r="J673" s="7">
        <f t="shared" si="43"/>
        <v>44.433872502378684</v>
      </c>
      <c r="K673" s="7">
        <f t="shared" si="44"/>
        <v>15.604186489058039</v>
      </c>
    </row>
    <row r="674" spans="1:11" x14ac:dyDescent="0.35">
      <c r="A674">
        <v>2018</v>
      </c>
      <c r="B674">
        <v>3142007</v>
      </c>
      <c r="C674" t="str">
        <f>VLOOKUP(B674,SAEB!$A:$B,2,0)</f>
        <v>Mirabela</v>
      </c>
      <c r="D674">
        <v>486</v>
      </c>
      <c r="E674">
        <v>0</v>
      </c>
      <c r="F674">
        <v>108</v>
      </c>
      <c r="G674">
        <v>105</v>
      </c>
      <c r="H674" s="7">
        <f t="shared" si="41"/>
        <v>69.527896995708147</v>
      </c>
      <c r="I674" s="7">
        <f t="shared" si="42"/>
        <v>0</v>
      </c>
      <c r="J674" s="7">
        <f t="shared" si="43"/>
        <v>15.450643776824036</v>
      </c>
      <c r="K674" s="7">
        <f t="shared" si="44"/>
        <v>15.021459227467812</v>
      </c>
    </row>
    <row r="675" spans="1:11" x14ac:dyDescent="0.35">
      <c r="A675">
        <v>2018</v>
      </c>
      <c r="B675">
        <v>3142254</v>
      </c>
      <c r="C675" t="str">
        <f>VLOOKUP(B675,SAEB!$A:$B,2,0)</f>
        <v>Miravânia</v>
      </c>
      <c r="D675">
        <v>0</v>
      </c>
      <c r="E675">
        <v>0</v>
      </c>
      <c r="F675">
        <v>160</v>
      </c>
      <c r="G675">
        <v>154</v>
      </c>
      <c r="H675" s="7">
        <f t="shared" si="41"/>
        <v>0</v>
      </c>
      <c r="I675" s="7">
        <f t="shared" si="42"/>
        <v>0</v>
      </c>
      <c r="J675" s="7">
        <f t="shared" si="43"/>
        <v>50.955414012738856</v>
      </c>
      <c r="K675" s="7">
        <f t="shared" si="44"/>
        <v>49.044585987261144</v>
      </c>
    </row>
    <row r="676" spans="1:11" x14ac:dyDescent="0.35">
      <c r="A676">
        <v>2018</v>
      </c>
      <c r="B676">
        <v>3142502</v>
      </c>
      <c r="C676" t="str">
        <f>VLOOKUP(B676,SAEB!$A:$B,2,0)</f>
        <v>Monjolos</v>
      </c>
      <c r="D676">
        <v>102</v>
      </c>
      <c r="E676">
        <v>0</v>
      </c>
      <c r="F676">
        <v>4</v>
      </c>
      <c r="G676">
        <v>0</v>
      </c>
      <c r="H676" s="7">
        <f t="shared" si="41"/>
        <v>96.226415094339629</v>
      </c>
      <c r="I676" s="7">
        <f t="shared" si="42"/>
        <v>0</v>
      </c>
      <c r="J676" s="7">
        <f t="shared" si="43"/>
        <v>3.7735849056603774</v>
      </c>
      <c r="K676" s="7">
        <f t="shared" si="44"/>
        <v>0</v>
      </c>
    </row>
    <row r="677" spans="1:11" x14ac:dyDescent="0.35">
      <c r="A677">
        <v>2018</v>
      </c>
      <c r="B677">
        <v>3142700</v>
      </c>
      <c r="C677" t="str">
        <f>VLOOKUP(B677,SAEB!$A:$B,2,0)</f>
        <v>Montalvânia</v>
      </c>
      <c r="D677">
        <v>223</v>
      </c>
      <c r="E677">
        <v>63</v>
      </c>
      <c r="F677">
        <v>171</v>
      </c>
      <c r="G677">
        <v>28</v>
      </c>
      <c r="H677" s="7">
        <f t="shared" si="41"/>
        <v>45.979381443298969</v>
      </c>
      <c r="I677" s="7">
        <f t="shared" si="42"/>
        <v>12.989690721649486</v>
      </c>
      <c r="J677" s="7">
        <f t="shared" si="43"/>
        <v>35.257731958762889</v>
      </c>
      <c r="K677" s="7">
        <f t="shared" si="44"/>
        <v>5.7731958762886597</v>
      </c>
    </row>
    <row r="678" spans="1:11" x14ac:dyDescent="0.35">
      <c r="A678">
        <v>2018</v>
      </c>
      <c r="B678">
        <v>3143153</v>
      </c>
      <c r="C678" t="str">
        <f>VLOOKUP(B678,SAEB!$A:$B,2,0)</f>
        <v>Monte Formoso</v>
      </c>
      <c r="D678">
        <v>191</v>
      </c>
      <c r="E678">
        <v>0</v>
      </c>
      <c r="F678">
        <v>204</v>
      </c>
      <c r="G678">
        <v>1</v>
      </c>
      <c r="H678" s="7">
        <f t="shared" si="41"/>
        <v>48.232323232323232</v>
      </c>
      <c r="I678" s="7">
        <f t="shared" si="42"/>
        <v>0</v>
      </c>
      <c r="J678" s="7">
        <f t="shared" si="43"/>
        <v>51.515151515151516</v>
      </c>
      <c r="K678" s="7">
        <f t="shared" si="44"/>
        <v>0.25252525252525254</v>
      </c>
    </row>
    <row r="679" spans="1:11" x14ac:dyDescent="0.35">
      <c r="A679">
        <v>2018</v>
      </c>
      <c r="B679">
        <v>3143302</v>
      </c>
      <c r="C679" t="str">
        <f>VLOOKUP(B679,SAEB!$A:$B,2,0)</f>
        <v>Montes Claros</v>
      </c>
      <c r="D679">
        <v>9568</v>
      </c>
      <c r="E679">
        <v>5336</v>
      </c>
      <c r="F679">
        <v>1394</v>
      </c>
      <c r="G679">
        <v>812</v>
      </c>
      <c r="H679" s="7">
        <f t="shared" si="41"/>
        <v>55.920514319111639</v>
      </c>
      <c r="I679" s="7">
        <f t="shared" si="42"/>
        <v>31.186440677966104</v>
      </c>
      <c r="J679" s="7">
        <f t="shared" si="43"/>
        <v>8.1472822910578611</v>
      </c>
      <c r="K679" s="7">
        <f t="shared" si="44"/>
        <v>4.7457627118644066</v>
      </c>
    </row>
    <row r="680" spans="1:11" x14ac:dyDescent="0.35">
      <c r="A680">
        <v>2018</v>
      </c>
      <c r="B680">
        <v>3143450</v>
      </c>
      <c r="C680" t="str">
        <f>VLOOKUP(B680,SAEB!$A:$B,2,0)</f>
        <v>Montezuma</v>
      </c>
      <c r="D680">
        <v>232</v>
      </c>
      <c r="E680">
        <v>0</v>
      </c>
      <c r="F680">
        <v>158</v>
      </c>
      <c r="G680">
        <v>0</v>
      </c>
      <c r="H680" s="7">
        <f t="shared" si="41"/>
        <v>59.487179487179489</v>
      </c>
      <c r="I680" s="7">
        <f t="shared" si="42"/>
        <v>0</v>
      </c>
      <c r="J680" s="7">
        <f t="shared" si="43"/>
        <v>40.512820512820511</v>
      </c>
      <c r="K680" s="7">
        <f t="shared" si="44"/>
        <v>0</v>
      </c>
    </row>
    <row r="681" spans="1:11" x14ac:dyDescent="0.35">
      <c r="A681">
        <v>2018</v>
      </c>
      <c r="B681">
        <v>3143609</v>
      </c>
      <c r="C681" t="str">
        <f>VLOOKUP(B681,SAEB!$A:$B,2,0)</f>
        <v>Morro da Garça</v>
      </c>
      <c r="D681">
        <v>146</v>
      </c>
      <c r="E681">
        <v>183</v>
      </c>
      <c r="F681">
        <v>21</v>
      </c>
      <c r="G681">
        <v>19</v>
      </c>
      <c r="H681" s="7">
        <f t="shared" si="41"/>
        <v>39.566395663956641</v>
      </c>
      <c r="I681" s="7">
        <f t="shared" si="42"/>
        <v>49.59349593495935</v>
      </c>
      <c r="J681" s="7">
        <f t="shared" si="43"/>
        <v>5.6910569105691051</v>
      </c>
      <c r="K681" s="7">
        <f t="shared" si="44"/>
        <v>5.1490514905149052</v>
      </c>
    </row>
    <row r="682" spans="1:11" x14ac:dyDescent="0.35">
      <c r="A682">
        <v>2018</v>
      </c>
      <c r="B682">
        <v>3144003</v>
      </c>
      <c r="C682" t="str">
        <f>VLOOKUP(B682,SAEB!$A:$B,2,0)</f>
        <v>Mutum</v>
      </c>
      <c r="D682">
        <v>503</v>
      </c>
      <c r="E682">
        <v>0</v>
      </c>
      <c r="F682">
        <v>391</v>
      </c>
      <c r="G682">
        <v>124</v>
      </c>
      <c r="H682" s="7">
        <f t="shared" si="41"/>
        <v>49.410609037328094</v>
      </c>
      <c r="I682" s="7">
        <f t="shared" si="42"/>
        <v>0</v>
      </c>
      <c r="J682" s="7">
        <f t="shared" si="43"/>
        <v>38.408644400785853</v>
      </c>
      <c r="K682" s="7">
        <f t="shared" si="44"/>
        <v>12.180746561886052</v>
      </c>
    </row>
    <row r="683" spans="1:11" x14ac:dyDescent="0.35">
      <c r="A683">
        <v>2018</v>
      </c>
      <c r="B683">
        <v>3144201</v>
      </c>
      <c r="C683" t="str">
        <f>VLOOKUP(B683,SAEB!$A:$B,2,0)</f>
        <v>Nacip Raydan</v>
      </c>
      <c r="D683">
        <v>161</v>
      </c>
      <c r="E683">
        <v>0</v>
      </c>
      <c r="F683">
        <v>10</v>
      </c>
      <c r="G683">
        <v>0</v>
      </c>
      <c r="H683" s="7">
        <f t="shared" si="41"/>
        <v>94.152046783625735</v>
      </c>
      <c r="I683" s="7">
        <f t="shared" si="42"/>
        <v>0</v>
      </c>
      <c r="J683" s="7">
        <f t="shared" si="43"/>
        <v>5.8479532163742682</v>
      </c>
      <c r="K683" s="7">
        <f t="shared" si="44"/>
        <v>0</v>
      </c>
    </row>
    <row r="684" spans="1:11" x14ac:dyDescent="0.35">
      <c r="A684">
        <v>2018</v>
      </c>
      <c r="B684">
        <v>3144300</v>
      </c>
      <c r="C684" t="str">
        <f>VLOOKUP(B684,SAEB!$A:$B,2,0)</f>
        <v>Nanuque</v>
      </c>
      <c r="D684">
        <v>473</v>
      </c>
      <c r="E684">
        <v>376</v>
      </c>
      <c r="F684">
        <v>123</v>
      </c>
      <c r="G684">
        <v>127</v>
      </c>
      <c r="H684" s="7">
        <f t="shared" si="41"/>
        <v>43.039126478616922</v>
      </c>
      <c r="I684" s="7">
        <f t="shared" si="42"/>
        <v>34.212920837124663</v>
      </c>
      <c r="J684" s="7">
        <f t="shared" si="43"/>
        <v>11.191992720655142</v>
      </c>
      <c r="K684" s="7">
        <f t="shared" si="44"/>
        <v>11.555959963603275</v>
      </c>
    </row>
    <row r="685" spans="1:11" x14ac:dyDescent="0.35">
      <c r="A685">
        <v>2018</v>
      </c>
      <c r="B685">
        <v>3144359</v>
      </c>
      <c r="C685" t="str">
        <f>VLOOKUP(B685,SAEB!$A:$B,2,0)</f>
        <v>Naque</v>
      </c>
      <c r="D685">
        <v>532</v>
      </c>
      <c r="E685">
        <v>0</v>
      </c>
      <c r="F685">
        <v>0</v>
      </c>
      <c r="G685">
        <v>0</v>
      </c>
      <c r="H685" s="7">
        <f t="shared" si="41"/>
        <v>100</v>
      </c>
      <c r="I685" s="7">
        <f t="shared" si="42"/>
        <v>0</v>
      </c>
      <c r="J685" s="7">
        <f t="shared" si="43"/>
        <v>0</v>
      </c>
      <c r="K685" s="7">
        <f t="shared" si="44"/>
        <v>0</v>
      </c>
    </row>
    <row r="686" spans="1:11" x14ac:dyDescent="0.35">
      <c r="A686">
        <v>2018</v>
      </c>
      <c r="B686">
        <v>3144375</v>
      </c>
      <c r="C686" t="str">
        <f>VLOOKUP(B686,SAEB!$A:$B,2,0)</f>
        <v>Natalândia</v>
      </c>
      <c r="D686">
        <v>259</v>
      </c>
      <c r="E686">
        <v>0</v>
      </c>
      <c r="F686">
        <v>0</v>
      </c>
      <c r="G686">
        <v>0</v>
      </c>
      <c r="H686" s="7">
        <f t="shared" si="41"/>
        <v>100</v>
      </c>
      <c r="I686" s="7">
        <f t="shared" si="42"/>
        <v>0</v>
      </c>
      <c r="J686" s="7">
        <f t="shared" si="43"/>
        <v>0</v>
      </c>
      <c r="K686" s="7">
        <f t="shared" si="44"/>
        <v>0</v>
      </c>
    </row>
    <row r="687" spans="1:11" x14ac:dyDescent="0.35">
      <c r="A687">
        <v>2018</v>
      </c>
      <c r="B687">
        <v>3144656</v>
      </c>
      <c r="C687" t="str">
        <f>VLOOKUP(B687,SAEB!$A:$B,2,0)</f>
        <v>Ninheira</v>
      </c>
      <c r="D687">
        <v>347</v>
      </c>
      <c r="E687">
        <v>0</v>
      </c>
      <c r="F687">
        <v>270</v>
      </c>
      <c r="G687">
        <v>0</v>
      </c>
      <c r="H687" s="7">
        <f t="shared" si="41"/>
        <v>56.239870340356568</v>
      </c>
      <c r="I687" s="7">
        <f t="shared" si="42"/>
        <v>0</v>
      </c>
      <c r="J687" s="7">
        <f t="shared" si="43"/>
        <v>43.760129659643439</v>
      </c>
      <c r="K687" s="7">
        <f t="shared" si="44"/>
        <v>0</v>
      </c>
    </row>
    <row r="688" spans="1:11" x14ac:dyDescent="0.35">
      <c r="A688">
        <v>2018</v>
      </c>
      <c r="B688">
        <v>3144672</v>
      </c>
      <c r="C688" t="str">
        <f>VLOOKUP(B688,SAEB!$A:$B,2,0)</f>
        <v>Nova Belém</v>
      </c>
      <c r="D688">
        <v>161</v>
      </c>
      <c r="E688">
        <v>0</v>
      </c>
      <c r="F688">
        <v>112</v>
      </c>
      <c r="G688">
        <v>0</v>
      </c>
      <c r="H688" s="7">
        <f t="shared" si="41"/>
        <v>58.974358974358978</v>
      </c>
      <c r="I688" s="7">
        <f t="shared" si="42"/>
        <v>0</v>
      </c>
      <c r="J688" s="7">
        <f t="shared" si="43"/>
        <v>41.025641025641022</v>
      </c>
      <c r="K688" s="7">
        <f t="shared" si="44"/>
        <v>0</v>
      </c>
    </row>
    <row r="689" spans="1:11" x14ac:dyDescent="0.35">
      <c r="A689">
        <v>2018</v>
      </c>
      <c r="B689">
        <v>3145059</v>
      </c>
      <c r="C689" t="str">
        <f>VLOOKUP(B689,SAEB!$A:$B,2,0)</f>
        <v>Nova Porteirinha</v>
      </c>
      <c r="D689">
        <v>186</v>
      </c>
      <c r="E689">
        <v>57</v>
      </c>
      <c r="F689">
        <v>150</v>
      </c>
      <c r="G689">
        <v>0</v>
      </c>
      <c r="H689" s="7">
        <f t="shared" si="41"/>
        <v>47.328244274809158</v>
      </c>
      <c r="I689" s="7">
        <f t="shared" si="42"/>
        <v>14.503816793893129</v>
      </c>
      <c r="J689" s="7">
        <f t="shared" si="43"/>
        <v>38.167938931297712</v>
      </c>
      <c r="K689" s="7">
        <f t="shared" si="44"/>
        <v>0</v>
      </c>
    </row>
    <row r="690" spans="1:11" x14ac:dyDescent="0.35">
      <c r="A690">
        <v>2018</v>
      </c>
      <c r="B690">
        <v>3145356</v>
      </c>
      <c r="C690" t="str">
        <f>VLOOKUP(B690,SAEB!$A:$B,2,0)</f>
        <v>Novo Oriente de Minas</v>
      </c>
      <c r="D690">
        <v>232</v>
      </c>
      <c r="E690">
        <v>0</v>
      </c>
      <c r="F690">
        <v>287</v>
      </c>
      <c r="G690">
        <v>91</v>
      </c>
      <c r="H690" s="7">
        <f t="shared" si="41"/>
        <v>38.032786885245898</v>
      </c>
      <c r="I690" s="7">
        <f t="shared" si="42"/>
        <v>0</v>
      </c>
      <c r="J690" s="7">
        <f t="shared" si="43"/>
        <v>47.049180327868854</v>
      </c>
      <c r="K690" s="7">
        <f t="shared" si="44"/>
        <v>14.918032786885247</v>
      </c>
    </row>
    <row r="691" spans="1:11" x14ac:dyDescent="0.35">
      <c r="A691">
        <v>2018</v>
      </c>
      <c r="B691">
        <v>3145372</v>
      </c>
      <c r="C691" t="str">
        <f>VLOOKUP(B691,SAEB!$A:$B,2,0)</f>
        <v>Novorizonte</v>
      </c>
      <c r="D691">
        <v>0</v>
      </c>
      <c r="E691">
        <v>0</v>
      </c>
      <c r="F691">
        <v>344</v>
      </c>
      <c r="G691">
        <v>92</v>
      </c>
      <c r="H691" s="7">
        <f t="shared" si="41"/>
        <v>0</v>
      </c>
      <c r="I691" s="7">
        <f t="shared" si="42"/>
        <v>0</v>
      </c>
      <c r="J691" s="7">
        <f t="shared" si="43"/>
        <v>78.899082568807344</v>
      </c>
      <c r="K691" s="7">
        <f t="shared" si="44"/>
        <v>21.100917431192663</v>
      </c>
    </row>
    <row r="692" spans="1:11" x14ac:dyDescent="0.35">
      <c r="A692">
        <v>2018</v>
      </c>
      <c r="B692">
        <v>3145455</v>
      </c>
      <c r="C692" t="str">
        <f>VLOOKUP(B692,SAEB!$A:$B,2,0)</f>
        <v>Olhos-d'Água</v>
      </c>
      <c r="D692">
        <v>375</v>
      </c>
      <c r="E692">
        <v>0</v>
      </c>
      <c r="F692">
        <v>87</v>
      </c>
      <c r="G692">
        <v>0</v>
      </c>
      <c r="H692" s="7">
        <f t="shared" si="41"/>
        <v>81.168831168831161</v>
      </c>
      <c r="I692" s="7">
        <f t="shared" si="42"/>
        <v>0</v>
      </c>
      <c r="J692" s="7">
        <f t="shared" si="43"/>
        <v>18.831168831168831</v>
      </c>
      <c r="K692" s="7">
        <f t="shared" si="44"/>
        <v>0</v>
      </c>
    </row>
    <row r="693" spans="1:11" x14ac:dyDescent="0.35">
      <c r="A693">
        <v>2018</v>
      </c>
      <c r="B693">
        <v>3146305</v>
      </c>
      <c r="C693" t="str">
        <f>VLOOKUP(B693,SAEB!$A:$B,2,0)</f>
        <v>Padre Paraíso</v>
      </c>
      <c r="D693">
        <v>374</v>
      </c>
      <c r="E693">
        <v>0</v>
      </c>
      <c r="F693">
        <v>433</v>
      </c>
      <c r="G693">
        <v>454</v>
      </c>
      <c r="H693" s="7">
        <f t="shared" si="41"/>
        <v>29.659000793021413</v>
      </c>
      <c r="I693" s="7">
        <f t="shared" si="42"/>
        <v>0</v>
      </c>
      <c r="J693" s="7">
        <f t="shared" si="43"/>
        <v>34.337827121332275</v>
      </c>
      <c r="K693" s="7">
        <f t="shared" si="44"/>
        <v>36.003172085646312</v>
      </c>
    </row>
    <row r="694" spans="1:11" x14ac:dyDescent="0.35">
      <c r="A694">
        <v>2018</v>
      </c>
      <c r="B694">
        <v>3146552</v>
      </c>
      <c r="C694" t="str">
        <f>VLOOKUP(B694,SAEB!$A:$B,2,0)</f>
        <v>Pai Pedro</v>
      </c>
      <c r="D694">
        <v>301</v>
      </c>
      <c r="E694">
        <v>0</v>
      </c>
      <c r="F694">
        <v>160</v>
      </c>
      <c r="G694">
        <v>148</v>
      </c>
      <c r="H694" s="7">
        <f t="shared" si="41"/>
        <v>49.425287356321839</v>
      </c>
      <c r="I694" s="7">
        <f t="shared" si="42"/>
        <v>0</v>
      </c>
      <c r="J694" s="7">
        <f t="shared" si="43"/>
        <v>26.272577996715928</v>
      </c>
      <c r="K694" s="7">
        <f t="shared" si="44"/>
        <v>24.302134646962234</v>
      </c>
    </row>
    <row r="695" spans="1:11" x14ac:dyDescent="0.35">
      <c r="A695">
        <v>2018</v>
      </c>
      <c r="B695">
        <v>3146750</v>
      </c>
      <c r="C695" t="str">
        <f>VLOOKUP(B695,SAEB!$A:$B,2,0)</f>
        <v>Palmópolis</v>
      </c>
      <c r="D695">
        <v>378</v>
      </c>
      <c r="E695">
        <v>44</v>
      </c>
      <c r="F695">
        <v>18</v>
      </c>
      <c r="G695">
        <v>0</v>
      </c>
      <c r="H695" s="7">
        <f t="shared" si="41"/>
        <v>85.909090909090907</v>
      </c>
      <c r="I695" s="7">
        <f t="shared" si="42"/>
        <v>10</v>
      </c>
      <c r="J695" s="7">
        <f t="shared" si="43"/>
        <v>4.0909090909090908</v>
      </c>
      <c r="K695" s="7">
        <f t="shared" si="44"/>
        <v>0</v>
      </c>
    </row>
    <row r="696" spans="1:11" x14ac:dyDescent="0.35">
      <c r="A696">
        <v>2018</v>
      </c>
      <c r="B696">
        <v>3147956</v>
      </c>
      <c r="C696" t="str">
        <f>VLOOKUP(B696,SAEB!$A:$B,2,0)</f>
        <v>Patis</v>
      </c>
      <c r="D696">
        <v>179</v>
      </c>
      <c r="E696">
        <v>108</v>
      </c>
      <c r="F696">
        <v>95</v>
      </c>
      <c r="G696">
        <v>89</v>
      </c>
      <c r="H696" s="7">
        <f t="shared" si="41"/>
        <v>38.004246284501065</v>
      </c>
      <c r="I696" s="7">
        <f t="shared" si="42"/>
        <v>22.929936305732486</v>
      </c>
      <c r="J696" s="7">
        <f t="shared" si="43"/>
        <v>20.169851380042463</v>
      </c>
      <c r="K696" s="7">
        <f t="shared" si="44"/>
        <v>18.895966029723994</v>
      </c>
    </row>
    <row r="697" spans="1:11" x14ac:dyDescent="0.35">
      <c r="A697">
        <v>2018</v>
      </c>
      <c r="B697">
        <v>3148608</v>
      </c>
      <c r="C697" t="str">
        <f>VLOOKUP(B697,SAEB!$A:$B,2,0)</f>
        <v>Peçanha</v>
      </c>
      <c r="D697">
        <v>0</v>
      </c>
      <c r="E697">
        <v>0</v>
      </c>
      <c r="F697">
        <v>426</v>
      </c>
      <c r="G697">
        <v>297</v>
      </c>
      <c r="H697" s="7">
        <f t="shared" si="41"/>
        <v>0</v>
      </c>
      <c r="I697" s="7">
        <f t="shared" si="42"/>
        <v>0</v>
      </c>
      <c r="J697" s="7">
        <f t="shared" si="43"/>
        <v>58.921161825726145</v>
      </c>
      <c r="K697" s="7">
        <f t="shared" si="44"/>
        <v>41.078838174273855</v>
      </c>
    </row>
    <row r="698" spans="1:11" x14ac:dyDescent="0.35">
      <c r="A698">
        <v>2018</v>
      </c>
      <c r="B698">
        <v>3148707</v>
      </c>
      <c r="C698" t="str">
        <f>VLOOKUP(B698,SAEB!$A:$B,2,0)</f>
        <v>Pedra Azul</v>
      </c>
      <c r="D698">
        <v>1410</v>
      </c>
      <c r="E698">
        <v>146</v>
      </c>
      <c r="F698">
        <v>116</v>
      </c>
      <c r="G698">
        <v>0</v>
      </c>
      <c r="H698" s="7">
        <f t="shared" si="41"/>
        <v>84.330143540669852</v>
      </c>
      <c r="I698" s="7">
        <f t="shared" si="42"/>
        <v>8.7320574162679421</v>
      </c>
      <c r="J698" s="7">
        <f t="shared" si="43"/>
        <v>6.937799043062201</v>
      </c>
      <c r="K698" s="7">
        <f t="shared" si="44"/>
        <v>0</v>
      </c>
    </row>
    <row r="699" spans="1:11" x14ac:dyDescent="0.35">
      <c r="A699">
        <v>2018</v>
      </c>
      <c r="B699">
        <v>3149952</v>
      </c>
      <c r="C699" t="str">
        <f>VLOOKUP(B699,SAEB!$A:$B,2,0)</f>
        <v>Periquito</v>
      </c>
      <c r="D699">
        <v>559</v>
      </c>
      <c r="E699">
        <v>238</v>
      </c>
      <c r="F699">
        <v>0</v>
      </c>
      <c r="G699">
        <v>0</v>
      </c>
      <c r="H699" s="7">
        <f t="shared" si="41"/>
        <v>70.138017565872019</v>
      </c>
      <c r="I699" s="7">
        <f t="shared" si="42"/>
        <v>29.861982434127981</v>
      </c>
      <c r="J699" s="7">
        <f t="shared" si="43"/>
        <v>0</v>
      </c>
      <c r="K699" s="7">
        <f t="shared" si="44"/>
        <v>0</v>
      </c>
    </row>
    <row r="700" spans="1:11" x14ac:dyDescent="0.35">
      <c r="A700">
        <v>2018</v>
      </c>
      <c r="B700">
        <v>3150158</v>
      </c>
      <c r="C700" t="str">
        <f>VLOOKUP(B700,SAEB!$A:$B,2,0)</f>
        <v>Piedade de Caratinga</v>
      </c>
      <c r="D700">
        <v>661</v>
      </c>
      <c r="E700">
        <v>0</v>
      </c>
      <c r="F700">
        <v>82</v>
      </c>
      <c r="G700">
        <v>0</v>
      </c>
      <c r="H700" s="7">
        <f t="shared" si="41"/>
        <v>88.963660834454913</v>
      </c>
      <c r="I700" s="7">
        <f t="shared" si="42"/>
        <v>0</v>
      </c>
      <c r="J700" s="7">
        <f t="shared" si="43"/>
        <v>11.036339165545089</v>
      </c>
      <c r="K700" s="7">
        <f t="shared" si="44"/>
        <v>0</v>
      </c>
    </row>
    <row r="701" spans="1:11" x14ac:dyDescent="0.35">
      <c r="A701">
        <v>2018</v>
      </c>
      <c r="B701">
        <v>3150570</v>
      </c>
      <c r="C701" t="str">
        <f>VLOOKUP(B701,SAEB!$A:$B,2,0)</f>
        <v>Pintópolis</v>
      </c>
      <c r="D701">
        <v>385</v>
      </c>
      <c r="E701">
        <v>0</v>
      </c>
      <c r="F701">
        <v>137</v>
      </c>
      <c r="G701">
        <v>0</v>
      </c>
      <c r="H701" s="7">
        <f t="shared" si="41"/>
        <v>73.754789272030649</v>
      </c>
      <c r="I701" s="7">
        <f t="shared" si="42"/>
        <v>0</v>
      </c>
      <c r="J701" s="7">
        <f t="shared" si="43"/>
        <v>26.245210727969347</v>
      </c>
      <c r="K701" s="7">
        <f t="shared" si="44"/>
        <v>0</v>
      </c>
    </row>
    <row r="702" spans="1:11" x14ac:dyDescent="0.35">
      <c r="A702">
        <v>2018</v>
      </c>
      <c r="B702">
        <v>3151206</v>
      </c>
      <c r="C702" t="str">
        <f>VLOOKUP(B702,SAEB!$A:$B,2,0)</f>
        <v>Pirapora</v>
      </c>
      <c r="D702">
        <v>2923</v>
      </c>
      <c r="E702">
        <v>119</v>
      </c>
      <c r="F702">
        <v>0</v>
      </c>
      <c r="G702">
        <v>0</v>
      </c>
      <c r="H702" s="7">
        <f t="shared" si="41"/>
        <v>96.088099934253776</v>
      </c>
      <c r="I702" s="7">
        <f t="shared" si="42"/>
        <v>3.9119000657462197</v>
      </c>
      <c r="J702" s="7">
        <f t="shared" si="43"/>
        <v>0</v>
      </c>
      <c r="K702" s="7">
        <f t="shared" si="44"/>
        <v>0</v>
      </c>
    </row>
    <row r="703" spans="1:11" x14ac:dyDescent="0.35">
      <c r="A703">
        <v>2018</v>
      </c>
      <c r="B703">
        <v>3152170</v>
      </c>
      <c r="C703" t="str">
        <f>VLOOKUP(B703,SAEB!$A:$B,2,0)</f>
        <v>Ponto dos Volantes</v>
      </c>
      <c r="D703">
        <v>491</v>
      </c>
      <c r="E703">
        <v>356</v>
      </c>
      <c r="F703">
        <v>445</v>
      </c>
      <c r="G703">
        <v>400</v>
      </c>
      <c r="H703" s="7">
        <f t="shared" si="41"/>
        <v>29.018912529550828</v>
      </c>
      <c r="I703" s="7">
        <f t="shared" si="42"/>
        <v>21.040189125295509</v>
      </c>
      <c r="J703" s="7">
        <f t="shared" si="43"/>
        <v>26.300236406619387</v>
      </c>
      <c r="K703" s="7">
        <f t="shared" si="44"/>
        <v>23.640661938534279</v>
      </c>
    </row>
    <row r="704" spans="1:11" x14ac:dyDescent="0.35">
      <c r="A704">
        <v>2018</v>
      </c>
      <c r="B704">
        <v>3152402</v>
      </c>
      <c r="C704" t="str">
        <f>VLOOKUP(B704,SAEB!$A:$B,2,0)</f>
        <v>Poté</v>
      </c>
      <c r="D704">
        <v>606</v>
      </c>
      <c r="E704">
        <v>296</v>
      </c>
      <c r="F704">
        <v>91</v>
      </c>
      <c r="G704">
        <v>37</v>
      </c>
      <c r="H704" s="7">
        <f t="shared" si="41"/>
        <v>58.834951456310677</v>
      </c>
      <c r="I704" s="7">
        <f t="shared" si="42"/>
        <v>28.737864077669901</v>
      </c>
      <c r="J704" s="7">
        <f t="shared" si="43"/>
        <v>8.8349514563106801</v>
      </c>
      <c r="K704" s="7">
        <f t="shared" si="44"/>
        <v>3.5922330097087376</v>
      </c>
    </row>
    <row r="705" spans="1:11" x14ac:dyDescent="0.35">
      <c r="A705">
        <v>2018</v>
      </c>
      <c r="B705">
        <v>3153301</v>
      </c>
      <c r="C705" t="str">
        <f>VLOOKUP(B705,SAEB!$A:$B,2,0)</f>
        <v>Presidente Kubitschek</v>
      </c>
      <c r="D705">
        <v>312</v>
      </c>
      <c r="E705">
        <v>0</v>
      </c>
      <c r="F705">
        <v>0</v>
      </c>
      <c r="G705">
        <v>0</v>
      </c>
      <c r="H705" s="7">
        <f t="shared" si="41"/>
        <v>100</v>
      </c>
      <c r="I705" s="7">
        <f t="shared" si="42"/>
        <v>0</v>
      </c>
      <c r="J705" s="7">
        <f t="shared" si="43"/>
        <v>0</v>
      </c>
      <c r="K705" s="7">
        <f t="shared" si="44"/>
        <v>0</v>
      </c>
    </row>
    <row r="706" spans="1:11" x14ac:dyDescent="0.35">
      <c r="A706">
        <v>2018</v>
      </c>
      <c r="B706">
        <v>3154309</v>
      </c>
      <c r="C706" t="str">
        <f>VLOOKUP(B706,SAEB!$A:$B,2,0)</f>
        <v>Resplendor</v>
      </c>
      <c r="D706">
        <v>1023</v>
      </c>
      <c r="E706">
        <v>558</v>
      </c>
      <c r="F706">
        <v>0</v>
      </c>
      <c r="G706">
        <v>0</v>
      </c>
      <c r="H706" s="7">
        <f t="shared" si="41"/>
        <v>64.705882352941174</v>
      </c>
      <c r="I706" s="7">
        <f t="shared" si="42"/>
        <v>35.294117647058826</v>
      </c>
      <c r="J706" s="7">
        <f t="shared" si="43"/>
        <v>0</v>
      </c>
      <c r="K706" s="7">
        <f t="shared" si="44"/>
        <v>0</v>
      </c>
    </row>
    <row r="707" spans="1:11" x14ac:dyDescent="0.35">
      <c r="A707">
        <v>2018</v>
      </c>
      <c r="B707">
        <v>3155108</v>
      </c>
      <c r="C707" t="str">
        <f>VLOOKUP(B707,SAEB!$A:$B,2,0)</f>
        <v>Rio do Prado</v>
      </c>
      <c r="D707">
        <v>0</v>
      </c>
      <c r="E707">
        <v>0</v>
      </c>
      <c r="F707">
        <v>153</v>
      </c>
      <c r="G707">
        <v>140</v>
      </c>
      <c r="H707" s="7">
        <f t="shared" ref="H707:H770" si="45">D707/SUM($D707:$G707)*100</f>
        <v>0</v>
      </c>
      <c r="I707" s="7">
        <f t="shared" ref="I707:I770" si="46">E707/SUM($D707:$G707)*100</f>
        <v>0</v>
      </c>
      <c r="J707" s="7">
        <f t="shared" ref="J707:J770" si="47">F707/SUM($D707:$G707)*100</f>
        <v>52.218430034129696</v>
      </c>
      <c r="K707" s="7">
        <f t="shared" ref="K707:K770" si="48">G707/SUM($D707:$G707)*100</f>
        <v>47.781569965870304</v>
      </c>
    </row>
    <row r="708" spans="1:11" x14ac:dyDescent="0.35">
      <c r="A708">
        <v>2018</v>
      </c>
      <c r="B708">
        <v>3155603</v>
      </c>
      <c r="C708" t="str">
        <f>VLOOKUP(B708,SAEB!$A:$B,2,0)</f>
        <v>Rio Pardo de Minas</v>
      </c>
      <c r="D708">
        <v>754</v>
      </c>
      <c r="E708">
        <v>297</v>
      </c>
      <c r="F708">
        <v>480</v>
      </c>
      <c r="G708">
        <v>492</v>
      </c>
      <c r="H708" s="7">
        <f t="shared" si="45"/>
        <v>37.271379139891252</v>
      </c>
      <c r="I708" s="7">
        <f t="shared" si="46"/>
        <v>14.681166584280772</v>
      </c>
      <c r="J708" s="7">
        <f t="shared" si="47"/>
        <v>23.727137913989125</v>
      </c>
      <c r="K708" s="7">
        <f t="shared" si="48"/>
        <v>24.320316361838852</v>
      </c>
    </row>
    <row r="709" spans="1:11" x14ac:dyDescent="0.35">
      <c r="A709">
        <v>2018</v>
      </c>
      <c r="B709">
        <v>3156502</v>
      </c>
      <c r="C709" t="str">
        <f>VLOOKUP(B709,SAEB!$A:$B,2,0)</f>
        <v>Rubelita</v>
      </c>
      <c r="D709">
        <v>132</v>
      </c>
      <c r="E709">
        <v>0</v>
      </c>
      <c r="F709">
        <v>120</v>
      </c>
      <c r="G709">
        <v>0</v>
      </c>
      <c r="H709" s="7">
        <f t="shared" si="45"/>
        <v>52.380952380952387</v>
      </c>
      <c r="I709" s="7">
        <f t="shared" si="46"/>
        <v>0</v>
      </c>
      <c r="J709" s="7">
        <f t="shared" si="47"/>
        <v>47.619047619047613</v>
      </c>
      <c r="K709" s="7">
        <f t="shared" si="48"/>
        <v>0</v>
      </c>
    </row>
    <row r="710" spans="1:11" x14ac:dyDescent="0.35">
      <c r="A710">
        <v>2018</v>
      </c>
      <c r="B710">
        <v>3156601</v>
      </c>
      <c r="C710" t="str">
        <f>VLOOKUP(B710,SAEB!$A:$B,2,0)</f>
        <v>Rubim</v>
      </c>
      <c r="D710">
        <v>519</v>
      </c>
      <c r="E710">
        <v>459</v>
      </c>
      <c r="F710">
        <v>82</v>
      </c>
      <c r="G710">
        <v>0</v>
      </c>
      <c r="H710" s="7">
        <f t="shared" si="45"/>
        <v>48.962264150943398</v>
      </c>
      <c r="I710" s="7">
        <f t="shared" si="46"/>
        <v>43.301886792452834</v>
      </c>
      <c r="J710" s="7">
        <f t="shared" si="47"/>
        <v>7.7358490566037732</v>
      </c>
      <c r="K710" s="7">
        <f t="shared" si="48"/>
        <v>0</v>
      </c>
    </row>
    <row r="711" spans="1:11" x14ac:dyDescent="0.35">
      <c r="A711">
        <v>2018</v>
      </c>
      <c r="B711">
        <v>3156809</v>
      </c>
      <c r="C711" t="str">
        <f>VLOOKUP(B711,SAEB!$A:$B,2,0)</f>
        <v>Sabinópolis</v>
      </c>
      <c r="D711">
        <v>246</v>
      </c>
      <c r="E711">
        <v>0</v>
      </c>
      <c r="F711">
        <v>139</v>
      </c>
      <c r="G711">
        <v>0</v>
      </c>
      <c r="H711" s="7">
        <f t="shared" si="45"/>
        <v>63.896103896103895</v>
      </c>
      <c r="I711" s="7">
        <f t="shared" si="46"/>
        <v>0</v>
      </c>
      <c r="J711" s="7">
        <f t="shared" si="47"/>
        <v>36.103896103896105</v>
      </c>
      <c r="K711" s="7">
        <f t="shared" si="48"/>
        <v>0</v>
      </c>
    </row>
    <row r="712" spans="1:11" x14ac:dyDescent="0.35">
      <c r="A712">
        <v>2018</v>
      </c>
      <c r="B712">
        <v>3157005</v>
      </c>
      <c r="C712" t="str">
        <f>VLOOKUP(B712,SAEB!$A:$B,2,0)</f>
        <v>Salinas</v>
      </c>
      <c r="D712">
        <v>553</v>
      </c>
      <c r="E712">
        <v>0</v>
      </c>
      <c r="F712">
        <v>220</v>
      </c>
      <c r="G712">
        <v>90</v>
      </c>
      <c r="H712" s="7">
        <f t="shared" si="45"/>
        <v>64.07879490150637</v>
      </c>
      <c r="I712" s="7">
        <f t="shared" si="46"/>
        <v>0</v>
      </c>
      <c r="J712" s="7">
        <f t="shared" si="47"/>
        <v>25.492468134414832</v>
      </c>
      <c r="K712" s="7">
        <f t="shared" si="48"/>
        <v>10.428736964078796</v>
      </c>
    </row>
    <row r="713" spans="1:11" x14ac:dyDescent="0.35">
      <c r="A713">
        <v>2018</v>
      </c>
      <c r="B713">
        <v>3157104</v>
      </c>
      <c r="C713" t="str">
        <f>VLOOKUP(B713,SAEB!$A:$B,2,0)</f>
        <v>Salto da Divisa</v>
      </c>
      <c r="D713">
        <v>507</v>
      </c>
      <c r="E713">
        <v>0</v>
      </c>
      <c r="F713">
        <v>28</v>
      </c>
      <c r="G713">
        <v>0</v>
      </c>
      <c r="H713" s="7">
        <f t="shared" si="45"/>
        <v>94.766355140186917</v>
      </c>
      <c r="I713" s="7">
        <f t="shared" si="46"/>
        <v>0</v>
      </c>
      <c r="J713" s="7">
        <f t="shared" si="47"/>
        <v>5.2336448598130847</v>
      </c>
      <c r="K713" s="7">
        <f t="shared" si="48"/>
        <v>0</v>
      </c>
    </row>
    <row r="714" spans="1:11" x14ac:dyDescent="0.35">
      <c r="A714">
        <v>2018</v>
      </c>
      <c r="B714">
        <v>3157252</v>
      </c>
      <c r="C714" t="str">
        <f>VLOOKUP(B714,SAEB!$A:$B,2,0)</f>
        <v>Santa Bárbara do Leste</v>
      </c>
      <c r="D714">
        <v>117</v>
      </c>
      <c r="E714">
        <v>157</v>
      </c>
      <c r="F714">
        <v>175</v>
      </c>
      <c r="G714">
        <v>76</v>
      </c>
      <c r="H714" s="7">
        <f t="shared" si="45"/>
        <v>22.285714285714285</v>
      </c>
      <c r="I714" s="7">
        <f t="shared" si="46"/>
        <v>29.904761904761905</v>
      </c>
      <c r="J714" s="7">
        <f t="shared" si="47"/>
        <v>33.333333333333329</v>
      </c>
      <c r="K714" s="7">
        <f t="shared" si="48"/>
        <v>14.476190476190476</v>
      </c>
    </row>
    <row r="715" spans="1:11" x14ac:dyDescent="0.35">
      <c r="A715">
        <v>2018</v>
      </c>
      <c r="B715">
        <v>3157377</v>
      </c>
      <c r="C715" t="str">
        <f>VLOOKUP(B715,SAEB!$A:$B,2,0)</f>
        <v>Santa Cruz de Salinas</v>
      </c>
      <c r="D715">
        <v>180</v>
      </c>
      <c r="E715">
        <v>0</v>
      </c>
      <c r="F715">
        <v>154</v>
      </c>
      <c r="G715">
        <v>29</v>
      </c>
      <c r="H715" s="7">
        <f t="shared" si="45"/>
        <v>49.586776859504134</v>
      </c>
      <c r="I715" s="7">
        <f t="shared" si="46"/>
        <v>0</v>
      </c>
      <c r="J715" s="7">
        <f t="shared" si="47"/>
        <v>42.424242424242422</v>
      </c>
      <c r="K715" s="7">
        <f t="shared" si="48"/>
        <v>7.9889807162534439</v>
      </c>
    </row>
    <row r="716" spans="1:11" x14ac:dyDescent="0.35">
      <c r="A716">
        <v>2018</v>
      </c>
      <c r="B716">
        <v>3157500</v>
      </c>
      <c r="C716" t="str">
        <f>VLOOKUP(B716,SAEB!$A:$B,2,0)</f>
        <v>Santa Efigênia de Minas</v>
      </c>
      <c r="D716">
        <v>302</v>
      </c>
      <c r="E716">
        <v>0</v>
      </c>
      <c r="F716">
        <v>56</v>
      </c>
      <c r="G716">
        <v>0</v>
      </c>
      <c r="H716" s="7">
        <f t="shared" si="45"/>
        <v>84.357541899441344</v>
      </c>
      <c r="I716" s="7">
        <f t="shared" si="46"/>
        <v>0</v>
      </c>
      <c r="J716" s="7">
        <f t="shared" si="47"/>
        <v>15.64245810055866</v>
      </c>
      <c r="K716" s="7">
        <f t="shared" si="48"/>
        <v>0</v>
      </c>
    </row>
    <row r="717" spans="1:11" x14ac:dyDescent="0.35">
      <c r="A717">
        <v>2018</v>
      </c>
      <c r="B717">
        <v>3157658</v>
      </c>
      <c r="C717" t="str">
        <f>VLOOKUP(B717,SAEB!$A:$B,2,0)</f>
        <v>Santa Helena de Minas</v>
      </c>
      <c r="D717">
        <v>176</v>
      </c>
      <c r="E717">
        <v>0</v>
      </c>
      <c r="F717">
        <v>67</v>
      </c>
      <c r="G717">
        <v>63</v>
      </c>
      <c r="H717" s="7">
        <f t="shared" si="45"/>
        <v>57.51633986928104</v>
      </c>
      <c r="I717" s="7">
        <f t="shared" si="46"/>
        <v>0</v>
      </c>
      <c r="J717" s="7">
        <f t="shared" si="47"/>
        <v>21.895424836601308</v>
      </c>
      <c r="K717" s="7">
        <f t="shared" si="48"/>
        <v>20.588235294117645</v>
      </c>
    </row>
    <row r="718" spans="1:11" x14ac:dyDescent="0.35">
      <c r="A718">
        <v>2018</v>
      </c>
      <c r="B718">
        <v>3158201</v>
      </c>
      <c r="C718" t="str">
        <f>VLOOKUP(B718,SAEB!$A:$B,2,0)</f>
        <v>Santa Maria do Suaçuí</v>
      </c>
      <c r="D718">
        <v>329</v>
      </c>
      <c r="E718">
        <v>22</v>
      </c>
      <c r="F718">
        <v>57</v>
      </c>
      <c r="G718">
        <v>0</v>
      </c>
      <c r="H718" s="7">
        <f t="shared" si="45"/>
        <v>80.637254901960787</v>
      </c>
      <c r="I718" s="7">
        <f t="shared" si="46"/>
        <v>5.3921568627450984</v>
      </c>
      <c r="J718" s="7">
        <f t="shared" si="47"/>
        <v>13.970588235294118</v>
      </c>
      <c r="K718" s="7">
        <f t="shared" si="48"/>
        <v>0</v>
      </c>
    </row>
    <row r="719" spans="1:11" x14ac:dyDescent="0.35">
      <c r="A719">
        <v>2018</v>
      </c>
      <c r="B719">
        <v>3159357</v>
      </c>
      <c r="C719" t="str">
        <f>VLOOKUP(B719,SAEB!$A:$B,2,0)</f>
        <v>Santa Rita de Minas</v>
      </c>
      <c r="D719">
        <v>407</v>
      </c>
      <c r="E719">
        <v>0</v>
      </c>
      <c r="F719">
        <v>69</v>
      </c>
      <c r="G719">
        <v>0</v>
      </c>
      <c r="H719" s="7">
        <f t="shared" si="45"/>
        <v>85.504201680672267</v>
      </c>
      <c r="I719" s="7">
        <f t="shared" si="46"/>
        <v>0</v>
      </c>
      <c r="J719" s="7">
        <f t="shared" si="47"/>
        <v>14.495798319327733</v>
      </c>
      <c r="K719" s="7">
        <f t="shared" si="48"/>
        <v>0</v>
      </c>
    </row>
    <row r="720" spans="1:11" x14ac:dyDescent="0.35">
      <c r="A720">
        <v>2018</v>
      </c>
      <c r="B720">
        <v>3159506</v>
      </c>
      <c r="C720" t="str">
        <f>VLOOKUP(B720,SAEB!$A:$B,2,0)</f>
        <v>Santa Rita do Itueto</v>
      </c>
      <c r="D720">
        <v>149</v>
      </c>
      <c r="E720">
        <v>0</v>
      </c>
      <c r="F720">
        <v>179</v>
      </c>
      <c r="G720">
        <v>87</v>
      </c>
      <c r="H720" s="7">
        <f t="shared" si="45"/>
        <v>35.903614457831324</v>
      </c>
      <c r="I720" s="7">
        <f t="shared" si="46"/>
        <v>0</v>
      </c>
      <c r="J720" s="7">
        <f t="shared" si="47"/>
        <v>43.132530120481924</v>
      </c>
      <c r="K720" s="7">
        <f t="shared" si="48"/>
        <v>20.963855421686748</v>
      </c>
    </row>
    <row r="721" spans="1:11" x14ac:dyDescent="0.35">
      <c r="A721">
        <v>2018</v>
      </c>
      <c r="B721">
        <v>3160454</v>
      </c>
      <c r="C721" t="str">
        <f>VLOOKUP(B721,SAEB!$A:$B,2,0)</f>
        <v>Santo Antônio do Retiro</v>
      </c>
      <c r="D721">
        <v>295</v>
      </c>
      <c r="E721">
        <v>299</v>
      </c>
      <c r="F721">
        <v>183</v>
      </c>
      <c r="G721">
        <v>168</v>
      </c>
      <c r="H721" s="7">
        <f t="shared" si="45"/>
        <v>31.216931216931215</v>
      </c>
      <c r="I721" s="7">
        <f t="shared" si="46"/>
        <v>31.640211640211639</v>
      </c>
      <c r="J721" s="7">
        <f t="shared" si="47"/>
        <v>19.365079365079367</v>
      </c>
      <c r="K721" s="7">
        <f t="shared" si="48"/>
        <v>17.777777777777779</v>
      </c>
    </row>
    <row r="722" spans="1:11" x14ac:dyDescent="0.35">
      <c r="A722">
        <v>2018</v>
      </c>
      <c r="B722">
        <v>3160603</v>
      </c>
      <c r="C722" t="str">
        <f>VLOOKUP(B722,SAEB!$A:$B,2,0)</f>
        <v>Santo Hipólito</v>
      </c>
      <c r="D722">
        <v>170</v>
      </c>
      <c r="E722">
        <v>0</v>
      </c>
      <c r="F722">
        <v>9</v>
      </c>
      <c r="G722">
        <v>0</v>
      </c>
      <c r="H722" s="7">
        <f t="shared" si="45"/>
        <v>94.97206703910615</v>
      </c>
      <c r="I722" s="7">
        <f t="shared" si="46"/>
        <v>0</v>
      </c>
      <c r="J722" s="7">
        <f t="shared" si="47"/>
        <v>5.027932960893855</v>
      </c>
      <c r="K722" s="7">
        <f t="shared" si="48"/>
        <v>0</v>
      </c>
    </row>
    <row r="723" spans="1:11" x14ac:dyDescent="0.35">
      <c r="A723">
        <v>2018</v>
      </c>
      <c r="B723">
        <v>3160959</v>
      </c>
      <c r="C723" t="str">
        <f>VLOOKUP(B723,SAEB!$A:$B,2,0)</f>
        <v>São Domingos das Dores</v>
      </c>
      <c r="D723">
        <v>302</v>
      </c>
      <c r="E723">
        <v>0</v>
      </c>
      <c r="F723">
        <v>200</v>
      </c>
      <c r="G723">
        <v>178</v>
      </c>
      <c r="H723" s="7">
        <f t="shared" si="45"/>
        <v>44.411764705882348</v>
      </c>
      <c r="I723" s="7">
        <f t="shared" si="46"/>
        <v>0</v>
      </c>
      <c r="J723" s="7">
        <f t="shared" si="47"/>
        <v>29.411764705882355</v>
      </c>
      <c r="K723" s="7">
        <f t="shared" si="48"/>
        <v>26.176470588235297</v>
      </c>
    </row>
    <row r="724" spans="1:11" x14ac:dyDescent="0.35">
      <c r="A724">
        <v>2018</v>
      </c>
      <c r="B724">
        <v>3161601</v>
      </c>
      <c r="C724" t="str">
        <f>VLOOKUP(B724,SAEB!$A:$B,2,0)</f>
        <v>São Geraldo da Piedade</v>
      </c>
      <c r="D724">
        <v>136</v>
      </c>
      <c r="E724">
        <v>0</v>
      </c>
      <c r="F724">
        <v>156</v>
      </c>
      <c r="G724">
        <v>101</v>
      </c>
      <c r="H724" s="7">
        <f t="shared" si="45"/>
        <v>34.605597964376585</v>
      </c>
      <c r="I724" s="7">
        <f t="shared" si="46"/>
        <v>0</v>
      </c>
      <c r="J724" s="7">
        <f t="shared" si="47"/>
        <v>39.694656488549619</v>
      </c>
      <c r="K724" s="7">
        <f t="shared" si="48"/>
        <v>25.699745547073793</v>
      </c>
    </row>
    <row r="725" spans="1:11" x14ac:dyDescent="0.35">
      <c r="A725">
        <v>2018</v>
      </c>
      <c r="B725">
        <v>3125507</v>
      </c>
      <c r="C725" t="str">
        <f>VLOOKUP(B725,SAEB!$A:$B,2,0)</f>
        <v>São Gonçalo do Rio Preto</v>
      </c>
      <c r="D725">
        <v>211</v>
      </c>
      <c r="E725">
        <v>0</v>
      </c>
      <c r="F725">
        <v>0</v>
      </c>
      <c r="G725">
        <v>0</v>
      </c>
      <c r="H725" s="7">
        <f t="shared" si="45"/>
        <v>100</v>
      </c>
      <c r="I725" s="7">
        <f t="shared" si="46"/>
        <v>0</v>
      </c>
      <c r="J725" s="7">
        <f t="shared" si="47"/>
        <v>0</v>
      </c>
      <c r="K725" s="7">
        <f t="shared" si="48"/>
        <v>0</v>
      </c>
    </row>
    <row r="726" spans="1:11" x14ac:dyDescent="0.35">
      <c r="A726">
        <v>2018</v>
      </c>
      <c r="B726">
        <v>3162252</v>
      </c>
      <c r="C726" t="str">
        <f>VLOOKUP(B726,SAEB!$A:$B,2,0)</f>
        <v>São João da Lagoa</v>
      </c>
      <c r="D726">
        <v>246</v>
      </c>
      <c r="E726">
        <v>0</v>
      </c>
      <c r="F726">
        <v>53</v>
      </c>
      <c r="G726">
        <v>68</v>
      </c>
      <c r="H726" s="7">
        <f t="shared" si="45"/>
        <v>67.029972752043605</v>
      </c>
      <c r="I726" s="7">
        <f t="shared" si="46"/>
        <v>0</v>
      </c>
      <c r="J726" s="7">
        <f t="shared" si="47"/>
        <v>14.441416893732969</v>
      </c>
      <c r="K726" s="7">
        <f t="shared" si="48"/>
        <v>18.528610354223432</v>
      </c>
    </row>
    <row r="727" spans="1:11" x14ac:dyDescent="0.35">
      <c r="A727">
        <v>2018</v>
      </c>
      <c r="B727">
        <v>3162401</v>
      </c>
      <c r="C727" t="str">
        <f>VLOOKUP(B727,SAEB!$A:$B,2,0)</f>
        <v>São João da Ponte</v>
      </c>
      <c r="D727">
        <v>253</v>
      </c>
      <c r="E727">
        <v>344</v>
      </c>
      <c r="F727">
        <v>966</v>
      </c>
      <c r="G727">
        <v>707</v>
      </c>
      <c r="H727" s="7">
        <f t="shared" si="45"/>
        <v>11.145374449339208</v>
      </c>
      <c r="I727" s="7">
        <f t="shared" si="46"/>
        <v>15.15418502202643</v>
      </c>
      <c r="J727" s="7">
        <f t="shared" si="47"/>
        <v>42.555066079295159</v>
      </c>
      <c r="K727" s="7">
        <f t="shared" si="48"/>
        <v>31.145374449339208</v>
      </c>
    </row>
    <row r="728" spans="1:11" x14ac:dyDescent="0.35">
      <c r="A728">
        <v>2018</v>
      </c>
      <c r="B728">
        <v>3162575</v>
      </c>
      <c r="C728" t="str">
        <f>VLOOKUP(B728,SAEB!$A:$B,2,0)</f>
        <v>São João do Manteninha</v>
      </c>
      <c r="D728">
        <v>268</v>
      </c>
      <c r="E728">
        <v>0</v>
      </c>
      <c r="F728">
        <v>147</v>
      </c>
      <c r="G728">
        <v>0</v>
      </c>
      <c r="H728" s="7">
        <f t="shared" si="45"/>
        <v>64.578313253012041</v>
      </c>
      <c r="I728" s="7">
        <f t="shared" si="46"/>
        <v>0</v>
      </c>
      <c r="J728" s="7">
        <f t="shared" si="47"/>
        <v>35.421686746987952</v>
      </c>
      <c r="K728" s="7">
        <f t="shared" si="48"/>
        <v>0</v>
      </c>
    </row>
    <row r="729" spans="1:11" x14ac:dyDescent="0.35">
      <c r="A729">
        <v>2018</v>
      </c>
      <c r="B729">
        <v>3162807</v>
      </c>
      <c r="C729" t="str">
        <f>VLOOKUP(B729,SAEB!$A:$B,2,0)</f>
        <v>São João Evangelista</v>
      </c>
      <c r="D729">
        <v>874</v>
      </c>
      <c r="E729">
        <v>0</v>
      </c>
      <c r="F729">
        <v>144</v>
      </c>
      <c r="G729">
        <v>53</v>
      </c>
      <c r="H729" s="7">
        <f t="shared" si="45"/>
        <v>81.605975723622777</v>
      </c>
      <c r="I729" s="7">
        <f t="shared" si="46"/>
        <v>0</v>
      </c>
      <c r="J729" s="7">
        <f t="shared" si="47"/>
        <v>13.445378151260504</v>
      </c>
      <c r="K729" s="7">
        <f t="shared" si="48"/>
        <v>4.9486461251167135</v>
      </c>
    </row>
    <row r="730" spans="1:11" x14ac:dyDescent="0.35">
      <c r="A730">
        <v>2018</v>
      </c>
      <c r="B730">
        <v>3163508</v>
      </c>
      <c r="C730" t="str">
        <f>VLOOKUP(B730,SAEB!$A:$B,2,0)</f>
        <v>São José do Jacuri</v>
      </c>
      <c r="D730">
        <v>0</v>
      </c>
      <c r="E730">
        <v>0</v>
      </c>
      <c r="F730">
        <v>178</v>
      </c>
      <c r="G730">
        <v>85</v>
      </c>
      <c r="H730" s="7">
        <f t="shared" si="45"/>
        <v>0</v>
      </c>
      <c r="I730" s="7">
        <f t="shared" si="46"/>
        <v>0</v>
      </c>
      <c r="J730" s="7">
        <f t="shared" si="47"/>
        <v>67.680608365019012</v>
      </c>
      <c r="K730" s="7">
        <f t="shared" si="48"/>
        <v>32.319391634980988</v>
      </c>
    </row>
    <row r="731" spans="1:11" x14ac:dyDescent="0.35">
      <c r="A731">
        <v>2018</v>
      </c>
      <c r="B731">
        <v>3164100</v>
      </c>
      <c r="C731" t="str">
        <f>VLOOKUP(B731,SAEB!$A:$B,2,0)</f>
        <v>São Pedro do Suaçuí</v>
      </c>
      <c r="D731">
        <v>229</v>
      </c>
      <c r="E731">
        <v>0</v>
      </c>
      <c r="F731">
        <v>68</v>
      </c>
      <c r="G731">
        <v>0</v>
      </c>
      <c r="H731" s="7">
        <f t="shared" si="45"/>
        <v>77.104377104377107</v>
      </c>
      <c r="I731" s="7">
        <f t="shared" si="46"/>
        <v>0</v>
      </c>
      <c r="J731" s="7">
        <f t="shared" si="47"/>
        <v>22.895622895622896</v>
      </c>
      <c r="K731" s="7">
        <f t="shared" si="48"/>
        <v>0</v>
      </c>
    </row>
    <row r="732" spans="1:11" x14ac:dyDescent="0.35">
      <c r="A732">
        <v>2018</v>
      </c>
      <c r="B732">
        <v>3164472</v>
      </c>
      <c r="C732" t="str">
        <f>VLOOKUP(B732,SAEB!$A:$B,2,0)</f>
        <v>São Sebastião do Anta</v>
      </c>
      <c r="D732">
        <v>509</v>
      </c>
      <c r="E732">
        <v>219</v>
      </c>
      <c r="F732">
        <v>15</v>
      </c>
      <c r="G732">
        <v>0</v>
      </c>
      <c r="H732" s="7">
        <f t="shared" si="45"/>
        <v>68.506056527590857</v>
      </c>
      <c r="I732" s="7">
        <f t="shared" si="46"/>
        <v>29.475100942126513</v>
      </c>
      <c r="J732" s="7">
        <f t="shared" si="47"/>
        <v>2.0188425302826376</v>
      </c>
      <c r="K732" s="7">
        <f t="shared" si="48"/>
        <v>0</v>
      </c>
    </row>
    <row r="733" spans="1:11" x14ac:dyDescent="0.35">
      <c r="A733">
        <v>2018</v>
      </c>
      <c r="B733">
        <v>3165503</v>
      </c>
      <c r="C733" t="str">
        <f>VLOOKUP(B733,SAEB!$A:$B,2,0)</f>
        <v>Sardoá</v>
      </c>
      <c r="D733">
        <v>211</v>
      </c>
      <c r="E733">
        <v>0</v>
      </c>
      <c r="F733">
        <v>162</v>
      </c>
      <c r="G733">
        <v>119</v>
      </c>
      <c r="H733" s="7">
        <f t="shared" si="45"/>
        <v>42.886178861788615</v>
      </c>
      <c r="I733" s="7">
        <f t="shared" si="46"/>
        <v>0</v>
      </c>
      <c r="J733" s="7">
        <f t="shared" si="47"/>
        <v>32.926829268292686</v>
      </c>
      <c r="K733" s="7">
        <f t="shared" si="48"/>
        <v>24.1869918699187</v>
      </c>
    </row>
    <row r="734" spans="1:11" x14ac:dyDescent="0.35">
      <c r="A734">
        <v>2018</v>
      </c>
      <c r="B734">
        <v>3165909</v>
      </c>
      <c r="C734" t="str">
        <f>VLOOKUP(B734,SAEB!$A:$B,2,0)</f>
        <v>Senador Modestino Gonçalves</v>
      </c>
      <c r="D734">
        <v>187</v>
      </c>
      <c r="E734">
        <v>0</v>
      </c>
      <c r="F734">
        <v>63</v>
      </c>
      <c r="G734">
        <v>0</v>
      </c>
      <c r="H734" s="7">
        <f t="shared" si="45"/>
        <v>74.8</v>
      </c>
      <c r="I734" s="7">
        <f t="shared" si="46"/>
        <v>0</v>
      </c>
      <c r="J734" s="7">
        <f t="shared" si="47"/>
        <v>25.2</v>
      </c>
      <c r="K734" s="7">
        <f t="shared" si="48"/>
        <v>0</v>
      </c>
    </row>
    <row r="735" spans="1:11" x14ac:dyDescent="0.35">
      <c r="A735">
        <v>2018</v>
      </c>
      <c r="B735">
        <v>3166105</v>
      </c>
      <c r="C735" t="str">
        <f>VLOOKUP(B735,SAEB!$A:$B,2,0)</f>
        <v>Senhora do Porto</v>
      </c>
      <c r="D735">
        <v>241</v>
      </c>
      <c r="E735">
        <v>0</v>
      </c>
      <c r="F735">
        <v>10</v>
      </c>
      <c r="G735">
        <v>0</v>
      </c>
      <c r="H735" s="7">
        <f t="shared" si="45"/>
        <v>96.01593625498009</v>
      </c>
      <c r="I735" s="7">
        <f t="shared" si="46"/>
        <v>0</v>
      </c>
      <c r="J735" s="7">
        <f t="shared" si="47"/>
        <v>3.9840637450199203</v>
      </c>
      <c r="K735" s="7">
        <f t="shared" si="48"/>
        <v>0</v>
      </c>
    </row>
    <row r="736" spans="1:11" x14ac:dyDescent="0.35">
      <c r="A736">
        <v>2018</v>
      </c>
      <c r="B736">
        <v>3166709</v>
      </c>
      <c r="C736" t="str">
        <f>VLOOKUP(B736,SAEB!$A:$B,2,0)</f>
        <v>Serra dos Aimorés</v>
      </c>
      <c r="D736">
        <v>242</v>
      </c>
      <c r="E736">
        <v>0</v>
      </c>
      <c r="F736">
        <v>132</v>
      </c>
      <c r="G736">
        <v>0</v>
      </c>
      <c r="H736" s="7">
        <f t="shared" si="45"/>
        <v>64.705882352941174</v>
      </c>
      <c r="I736" s="7">
        <f t="shared" si="46"/>
        <v>0</v>
      </c>
      <c r="J736" s="7">
        <f t="shared" si="47"/>
        <v>35.294117647058826</v>
      </c>
      <c r="K736" s="7">
        <f t="shared" si="48"/>
        <v>0</v>
      </c>
    </row>
    <row r="737" spans="1:11" x14ac:dyDescent="0.35">
      <c r="A737">
        <v>2018</v>
      </c>
      <c r="B737">
        <v>3166956</v>
      </c>
      <c r="C737" t="str">
        <f>VLOOKUP(B737,SAEB!$A:$B,2,0)</f>
        <v>Serranópolis de Minas</v>
      </c>
      <c r="D737">
        <v>0</v>
      </c>
      <c r="E737">
        <v>0</v>
      </c>
      <c r="F737">
        <v>165</v>
      </c>
      <c r="G737">
        <v>124</v>
      </c>
      <c r="H737" s="7">
        <f t="shared" si="45"/>
        <v>0</v>
      </c>
      <c r="I737" s="7">
        <f t="shared" si="46"/>
        <v>0</v>
      </c>
      <c r="J737" s="7">
        <f t="shared" si="47"/>
        <v>57.093425605536332</v>
      </c>
      <c r="K737" s="7">
        <f t="shared" si="48"/>
        <v>42.906574394463668</v>
      </c>
    </row>
    <row r="738" spans="1:11" x14ac:dyDescent="0.35">
      <c r="A738">
        <v>2018</v>
      </c>
      <c r="B738">
        <v>3168002</v>
      </c>
      <c r="C738" t="str">
        <f>VLOOKUP(B738,SAEB!$A:$B,2,0)</f>
        <v>Taiobeiras</v>
      </c>
      <c r="D738">
        <v>949</v>
      </c>
      <c r="E738">
        <v>199</v>
      </c>
      <c r="F738">
        <v>113</v>
      </c>
      <c r="G738">
        <v>98</v>
      </c>
      <c r="H738" s="7">
        <f t="shared" si="45"/>
        <v>69.830757910228115</v>
      </c>
      <c r="I738" s="7">
        <f t="shared" si="46"/>
        <v>14.643119941133186</v>
      </c>
      <c r="J738" s="7">
        <f t="shared" si="47"/>
        <v>8.3149374540103018</v>
      </c>
      <c r="K738" s="7">
        <f t="shared" si="48"/>
        <v>7.2111846946284031</v>
      </c>
    </row>
    <row r="739" spans="1:11" x14ac:dyDescent="0.35">
      <c r="A739">
        <v>2018</v>
      </c>
      <c r="B739">
        <v>3168051</v>
      </c>
      <c r="C739" t="str">
        <f>VLOOKUP(B739,SAEB!$A:$B,2,0)</f>
        <v>Taparuba</v>
      </c>
      <c r="D739">
        <v>226</v>
      </c>
      <c r="E739">
        <v>41</v>
      </c>
      <c r="F739">
        <v>28</v>
      </c>
      <c r="G739">
        <v>0</v>
      </c>
      <c r="H739" s="7">
        <f t="shared" si="45"/>
        <v>76.610169491525426</v>
      </c>
      <c r="I739" s="7">
        <f t="shared" si="46"/>
        <v>13.898305084745763</v>
      </c>
      <c r="J739" s="7">
        <f t="shared" si="47"/>
        <v>9.4915254237288131</v>
      </c>
      <c r="K739" s="7">
        <f t="shared" si="48"/>
        <v>0</v>
      </c>
    </row>
    <row r="740" spans="1:11" x14ac:dyDescent="0.35">
      <c r="A740">
        <v>2018</v>
      </c>
      <c r="B740">
        <v>3168408</v>
      </c>
      <c r="C740" t="str">
        <f>VLOOKUP(B740,SAEB!$A:$B,2,0)</f>
        <v>Tarumirim</v>
      </c>
      <c r="D740">
        <v>205</v>
      </c>
      <c r="E740">
        <v>82</v>
      </c>
      <c r="F740">
        <v>33</v>
      </c>
      <c r="G740">
        <v>16</v>
      </c>
      <c r="H740" s="7">
        <f t="shared" si="45"/>
        <v>61.011904761904766</v>
      </c>
      <c r="I740" s="7">
        <f t="shared" si="46"/>
        <v>24.404761904761905</v>
      </c>
      <c r="J740" s="7">
        <f t="shared" si="47"/>
        <v>9.8214285714285712</v>
      </c>
      <c r="K740" s="7">
        <f t="shared" si="48"/>
        <v>4.7619047619047619</v>
      </c>
    </row>
    <row r="741" spans="1:11" x14ac:dyDescent="0.35">
      <c r="A741">
        <v>2018</v>
      </c>
      <c r="B741">
        <v>3168606</v>
      </c>
      <c r="C741" t="str">
        <f>VLOOKUP(B741,SAEB!$A:$B,2,0)</f>
        <v>Teófilo Otoni</v>
      </c>
      <c r="D741">
        <v>3263</v>
      </c>
      <c r="E741">
        <v>1552</v>
      </c>
      <c r="F741">
        <v>891</v>
      </c>
      <c r="G741">
        <v>248</v>
      </c>
      <c r="H741" s="7">
        <f t="shared" si="45"/>
        <v>54.803493449781662</v>
      </c>
      <c r="I741" s="7">
        <f t="shared" si="46"/>
        <v>26.066509909304671</v>
      </c>
      <c r="J741" s="7">
        <f t="shared" si="47"/>
        <v>14.964729593550555</v>
      </c>
      <c r="K741" s="7">
        <f t="shared" si="48"/>
        <v>4.165267047363117</v>
      </c>
    </row>
    <row r="742" spans="1:11" x14ac:dyDescent="0.35">
      <c r="A742">
        <v>2018</v>
      </c>
      <c r="B742">
        <v>3169505</v>
      </c>
      <c r="C742" t="str">
        <f>VLOOKUP(B742,SAEB!$A:$B,2,0)</f>
        <v>Tumiritinga</v>
      </c>
      <c r="D742">
        <v>477</v>
      </c>
      <c r="E742">
        <v>0</v>
      </c>
      <c r="F742">
        <v>15</v>
      </c>
      <c r="G742">
        <v>0</v>
      </c>
      <c r="H742" s="7">
        <f t="shared" si="45"/>
        <v>96.951219512195124</v>
      </c>
      <c r="I742" s="7">
        <f t="shared" si="46"/>
        <v>0</v>
      </c>
      <c r="J742" s="7">
        <f t="shared" si="47"/>
        <v>3.0487804878048781</v>
      </c>
      <c r="K742" s="7">
        <f t="shared" si="48"/>
        <v>0</v>
      </c>
    </row>
    <row r="743" spans="1:11" x14ac:dyDescent="0.35">
      <c r="A743">
        <v>2018</v>
      </c>
      <c r="B743">
        <v>3169703</v>
      </c>
      <c r="C743" t="str">
        <f>VLOOKUP(B743,SAEB!$A:$B,2,0)</f>
        <v>Turmalina</v>
      </c>
      <c r="D743">
        <v>336</v>
      </c>
      <c r="E743">
        <v>57</v>
      </c>
      <c r="F743">
        <v>179</v>
      </c>
      <c r="G743">
        <v>148</v>
      </c>
      <c r="H743" s="7">
        <f t="shared" si="45"/>
        <v>46.666666666666664</v>
      </c>
      <c r="I743" s="7">
        <f t="shared" si="46"/>
        <v>7.9166666666666661</v>
      </c>
      <c r="J743" s="7">
        <f t="shared" si="47"/>
        <v>24.861111111111111</v>
      </c>
      <c r="K743" s="7">
        <f t="shared" si="48"/>
        <v>20.555555555555554</v>
      </c>
    </row>
    <row r="744" spans="1:11" x14ac:dyDescent="0.35">
      <c r="A744">
        <v>2018</v>
      </c>
      <c r="B744">
        <v>3170057</v>
      </c>
      <c r="C744" t="str">
        <f>VLOOKUP(B744,SAEB!$A:$B,2,0)</f>
        <v>Ubaporanga</v>
      </c>
      <c r="D744">
        <v>355</v>
      </c>
      <c r="E744">
        <v>0</v>
      </c>
      <c r="F744">
        <v>72</v>
      </c>
      <c r="G744">
        <v>0</v>
      </c>
      <c r="H744" s="7">
        <f t="shared" si="45"/>
        <v>83.138173302107731</v>
      </c>
      <c r="I744" s="7">
        <f t="shared" si="46"/>
        <v>0</v>
      </c>
      <c r="J744" s="7">
        <f t="shared" si="47"/>
        <v>16.861826697892273</v>
      </c>
      <c r="K744" s="7">
        <f t="shared" si="48"/>
        <v>0</v>
      </c>
    </row>
    <row r="745" spans="1:11" x14ac:dyDescent="0.35">
      <c r="A745">
        <v>2018</v>
      </c>
      <c r="B745">
        <v>3170305</v>
      </c>
      <c r="C745" t="str">
        <f>VLOOKUP(B745,SAEB!$A:$B,2,0)</f>
        <v>Umburatiba</v>
      </c>
      <c r="D745">
        <v>134</v>
      </c>
      <c r="E745">
        <v>0</v>
      </c>
      <c r="F745">
        <v>87</v>
      </c>
      <c r="G745">
        <v>72</v>
      </c>
      <c r="H745" s="7">
        <f t="shared" si="45"/>
        <v>45.733788395904433</v>
      </c>
      <c r="I745" s="7">
        <f t="shared" si="46"/>
        <v>0</v>
      </c>
      <c r="J745" s="7">
        <f t="shared" si="47"/>
        <v>29.692832764505116</v>
      </c>
      <c r="K745" s="7">
        <f t="shared" si="48"/>
        <v>24.573378839590443</v>
      </c>
    </row>
    <row r="746" spans="1:11" x14ac:dyDescent="0.35">
      <c r="A746">
        <v>2018</v>
      </c>
      <c r="B746">
        <v>3170479</v>
      </c>
      <c r="C746" t="str">
        <f>VLOOKUP(B746,SAEB!$A:$B,2,0)</f>
        <v>Uruana de Minas</v>
      </c>
      <c r="D746">
        <v>275</v>
      </c>
      <c r="E746">
        <v>240</v>
      </c>
      <c r="F746">
        <v>0</v>
      </c>
      <c r="G746">
        <v>0</v>
      </c>
      <c r="H746" s="7">
        <f t="shared" si="45"/>
        <v>53.398058252427184</v>
      </c>
      <c r="I746" s="7">
        <f t="shared" si="46"/>
        <v>46.601941747572816</v>
      </c>
      <c r="J746" s="7">
        <f t="shared" si="47"/>
        <v>0</v>
      </c>
      <c r="K746" s="7">
        <f t="shared" si="48"/>
        <v>0</v>
      </c>
    </row>
    <row r="747" spans="1:11" x14ac:dyDescent="0.35">
      <c r="A747">
        <v>2018</v>
      </c>
      <c r="B747">
        <v>3170529</v>
      </c>
      <c r="C747" t="str">
        <f>VLOOKUP(B747,SAEB!$A:$B,2,0)</f>
        <v>Urucuia</v>
      </c>
      <c r="D747">
        <v>499</v>
      </c>
      <c r="E747">
        <v>211</v>
      </c>
      <c r="F747">
        <v>236</v>
      </c>
      <c r="G747">
        <v>330</v>
      </c>
      <c r="H747" s="7">
        <f t="shared" si="45"/>
        <v>39.106583072100314</v>
      </c>
      <c r="I747" s="7">
        <f t="shared" si="46"/>
        <v>16.536050156739812</v>
      </c>
      <c r="J747" s="7">
        <f t="shared" si="47"/>
        <v>18.495297805642632</v>
      </c>
      <c r="K747" s="7">
        <f t="shared" si="48"/>
        <v>25.862068965517242</v>
      </c>
    </row>
    <row r="748" spans="1:11" x14ac:dyDescent="0.35">
      <c r="A748">
        <v>2018</v>
      </c>
      <c r="B748">
        <v>3170651</v>
      </c>
      <c r="C748" t="str">
        <f>VLOOKUP(B748,SAEB!$A:$B,2,0)</f>
        <v>Vargem Grande do Rio Pardo</v>
      </c>
      <c r="D748">
        <v>221</v>
      </c>
      <c r="E748">
        <v>0</v>
      </c>
      <c r="F748">
        <v>100</v>
      </c>
      <c r="G748">
        <v>0</v>
      </c>
      <c r="H748" s="7">
        <f t="shared" si="45"/>
        <v>68.847352024922117</v>
      </c>
      <c r="I748" s="7">
        <f t="shared" si="46"/>
        <v>0</v>
      </c>
      <c r="J748" s="7">
        <f t="shared" si="47"/>
        <v>31.15264797507788</v>
      </c>
      <c r="K748" s="7">
        <f t="shared" si="48"/>
        <v>0</v>
      </c>
    </row>
    <row r="749" spans="1:11" x14ac:dyDescent="0.35">
      <c r="A749">
        <v>2018</v>
      </c>
      <c r="B749">
        <v>3170800</v>
      </c>
      <c r="C749" t="str">
        <f>VLOOKUP(B749,SAEB!$A:$B,2,0)</f>
        <v>Várzea da Palma</v>
      </c>
      <c r="D749">
        <v>1555</v>
      </c>
      <c r="E749">
        <v>0</v>
      </c>
      <c r="F749">
        <v>190</v>
      </c>
      <c r="G749">
        <v>133</v>
      </c>
      <c r="H749" s="7">
        <f t="shared" si="45"/>
        <v>82.800851970181043</v>
      </c>
      <c r="I749" s="7">
        <f t="shared" si="46"/>
        <v>0</v>
      </c>
      <c r="J749" s="7">
        <f t="shared" si="47"/>
        <v>10.117145899893504</v>
      </c>
      <c r="K749" s="7">
        <f t="shared" si="48"/>
        <v>7.0820021299254519</v>
      </c>
    </row>
    <row r="750" spans="1:11" x14ac:dyDescent="0.35">
      <c r="A750">
        <v>2018</v>
      </c>
      <c r="B750">
        <v>3171071</v>
      </c>
      <c r="C750" t="str">
        <f>VLOOKUP(B750,SAEB!$A:$B,2,0)</f>
        <v>Veredinha</v>
      </c>
      <c r="D750">
        <v>300</v>
      </c>
      <c r="E750">
        <v>0</v>
      </c>
      <c r="F750">
        <v>21</v>
      </c>
      <c r="G750">
        <v>0</v>
      </c>
      <c r="H750" s="7">
        <f t="shared" si="45"/>
        <v>93.45794392523365</v>
      </c>
      <c r="I750" s="7">
        <f t="shared" si="46"/>
        <v>0</v>
      </c>
      <c r="J750" s="7">
        <f t="shared" si="47"/>
        <v>6.5420560747663545</v>
      </c>
      <c r="K750" s="7">
        <f t="shared" si="48"/>
        <v>0</v>
      </c>
    </row>
    <row r="751" spans="1:11" x14ac:dyDescent="0.35">
      <c r="A751">
        <v>2018</v>
      </c>
      <c r="B751">
        <v>3171600</v>
      </c>
      <c r="C751" t="str">
        <f>VLOOKUP(B751,SAEB!$A:$B,2,0)</f>
        <v>Virgem da Lapa</v>
      </c>
      <c r="D751">
        <v>354</v>
      </c>
      <c r="E751">
        <v>0</v>
      </c>
      <c r="F751">
        <v>108</v>
      </c>
      <c r="G751">
        <v>0</v>
      </c>
      <c r="H751" s="7">
        <f t="shared" si="45"/>
        <v>76.623376623376629</v>
      </c>
      <c r="I751" s="7">
        <f t="shared" si="46"/>
        <v>0</v>
      </c>
      <c r="J751" s="7">
        <f t="shared" si="47"/>
        <v>23.376623376623375</v>
      </c>
      <c r="K751" s="7">
        <f t="shared" si="48"/>
        <v>0</v>
      </c>
    </row>
    <row r="752" spans="1:11" x14ac:dyDescent="0.35">
      <c r="A752">
        <v>2018</v>
      </c>
      <c r="B752">
        <v>3171808</v>
      </c>
      <c r="C752" t="str">
        <f>VLOOKUP(B752,SAEB!$A:$B,2,0)</f>
        <v>Virginópolis</v>
      </c>
      <c r="D752">
        <v>491</v>
      </c>
      <c r="E752">
        <v>0</v>
      </c>
      <c r="F752">
        <v>228</v>
      </c>
      <c r="G752">
        <v>0</v>
      </c>
      <c r="H752" s="7">
        <f t="shared" si="45"/>
        <v>68.289290681502095</v>
      </c>
      <c r="I752" s="7">
        <f t="shared" si="46"/>
        <v>0</v>
      </c>
      <c r="J752" s="7">
        <f t="shared" si="47"/>
        <v>31.710709318497916</v>
      </c>
      <c r="K752" s="7">
        <f t="shared" si="48"/>
        <v>0</v>
      </c>
    </row>
    <row r="753" spans="1:11" x14ac:dyDescent="0.35">
      <c r="A753">
        <v>2018</v>
      </c>
      <c r="B753">
        <v>3171907</v>
      </c>
      <c r="C753" t="str">
        <f>VLOOKUP(B753,SAEB!$A:$B,2,0)</f>
        <v>Virgolândia</v>
      </c>
      <c r="D753">
        <v>342</v>
      </c>
      <c r="E753">
        <v>0</v>
      </c>
      <c r="F753">
        <v>0</v>
      </c>
      <c r="G753">
        <v>0</v>
      </c>
      <c r="H753" s="7">
        <f t="shared" si="45"/>
        <v>100</v>
      </c>
      <c r="I753" s="7">
        <f t="shared" si="46"/>
        <v>0</v>
      </c>
      <c r="J753" s="7">
        <f t="shared" si="47"/>
        <v>0</v>
      </c>
      <c r="K753" s="7">
        <f t="shared" si="48"/>
        <v>0</v>
      </c>
    </row>
    <row r="754" spans="1:11" x14ac:dyDescent="0.35">
      <c r="A754">
        <v>2019</v>
      </c>
      <c r="B754">
        <v>3101003</v>
      </c>
      <c r="C754" t="str">
        <f>VLOOKUP(B754,SAEB!$A:$B,2,0)</f>
        <v>Águas Vermelhas</v>
      </c>
      <c r="D754">
        <v>283</v>
      </c>
      <c r="E754">
        <v>0</v>
      </c>
      <c r="F754">
        <v>53</v>
      </c>
      <c r="G754">
        <v>0</v>
      </c>
      <c r="H754" s="7">
        <f t="shared" si="45"/>
        <v>84.226190476190482</v>
      </c>
      <c r="I754" s="7">
        <f t="shared" si="46"/>
        <v>0</v>
      </c>
      <c r="J754" s="7">
        <f t="shared" si="47"/>
        <v>15.773809523809524</v>
      </c>
      <c r="K754" s="7">
        <f t="shared" si="48"/>
        <v>0</v>
      </c>
    </row>
    <row r="755" spans="1:11" x14ac:dyDescent="0.35">
      <c r="A755">
        <v>2019</v>
      </c>
      <c r="B755">
        <v>3101102</v>
      </c>
      <c r="C755" t="str">
        <f>VLOOKUP(B755,SAEB!$A:$B,2,0)</f>
        <v>Aimorés</v>
      </c>
      <c r="D755">
        <v>599</v>
      </c>
      <c r="E755">
        <v>512</v>
      </c>
      <c r="F755">
        <v>49</v>
      </c>
      <c r="G755">
        <v>0</v>
      </c>
      <c r="H755" s="7">
        <f t="shared" si="45"/>
        <v>51.637931034482754</v>
      </c>
      <c r="I755" s="7">
        <f t="shared" si="46"/>
        <v>44.137931034482762</v>
      </c>
      <c r="J755" s="7">
        <f t="shared" si="47"/>
        <v>4.2241379310344831</v>
      </c>
      <c r="K755" s="7">
        <f t="shared" si="48"/>
        <v>0</v>
      </c>
    </row>
    <row r="756" spans="1:11" x14ac:dyDescent="0.35">
      <c r="A756">
        <v>2019</v>
      </c>
      <c r="B756">
        <v>3101706</v>
      </c>
      <c r="C756" t="str">
        <f>VLOOKUP(B756,SAEB!$A:$B,2,0)</f>
        <v>Almenara</v>
      </c>
      <c r="D756">
        <v>2322</v>
      </c>
      <c r="E756">
        <v>572</v>
      </c>
      <c r="F756">
        <v>436</v>
      </c>
      <c r="G756">
        <v>220</v>
      </c>
      <c r="H756" s="7">
        <f t="shared" si="45"/>
        <v>65.408450704225345</v>
      </c>
      <c r="I756" s="7">
        <f t="shared" si="46"/>
        <v>16.112676056338028</v>
      </c>
      <c r="J756" s="7">
        <f t="shared" si="47"/>
        <v>12.281690140845072</v>
      </c>
      <c r="K756" s="7">
        <f t="shared" si="48"/>
        <v>6.197183098591549</v>
      </c>
    </row>
    <row r="757" spans="1:11" x14ac:dyDescent="0.35">
      <c r="A757">
        <v>2019</v>
      </c>
      <c r="B757">
        <v>3101805</v>
      </c>
      <c r="C757" t="str">
        <f>VLOOKUP(B757,SAEB!$A:$B,2,0)</f>
        <v>Alpercata</v>
      </c>
      <c r="D757">
        <v>421</v>
      </c>
      <c r="E757">
        <v>193</v>
      </c>
      <c r="F757">
        <v>82</v>
      </c>
      <c r="G757">
        <v>0</v>
      </c>
      <c r="H757" s="7">
        <f t="shared" si="45"/>
        <v>60.488505747126439</v>
      </c>
      <c r="I757" s="7">
        <f t="shared" si="46"/>
        <v>27.729885057471265</v>
      </c>
      <c r="J757" s="7">
        <f t="shared" si="47"/>
        <v>11.781609195402298</v>
      </c>
      <c r="K757" s="7">
        <f t="shared" si="48"/>
        <v>0</v>
      </c>
    </row>
    <row r="758" spans="1:11" x14ac:dyDescent="0.35">
      <c r="A758">
        <v>2019</v>
      </c>
      <c r="B758">
        <v>3102852</v>
      </c>
      <c r="C758" t="str">
        <f>VLOOKUP(B758,SAEB!$A:$B,2,0)</f>
        <v>Angelândia</v>
      </c>
      <c r="D758">
        <v>336</v>
      </c>
      <c r="E758">
        <v>0</v>
      </c>
      <c r="F758">
        <v>36</v>
      </c>
      <c r="G758">
        <v>0</v>
      </c>
      <c r="H758" s="7">
        <f t="shared" si="45"/>
        <v>90.322580645161281</v>
      </c>
      <c r="I758" s="7">
        <f t="shared" si="46"/>
        <v>0</v>
      </c>
      <c r="J758" s="7">
        <f t="shared" si="47"/>
        <v>9.67741935483871</v>
      </c>
      <c r="K758" s="7">
        <f t="shared" si="48"/>
        <v>0</v>
      </c>
    </row>
    <row r="759" spans="1:11" x14ac:dyDescent="0.35">
      <c r="A759">
        <v>2019</v>
      </c>
      <c r="B759">
        <v>3103405</v>
      </c>
      <c r="C759" t="str">
        <f>VLOOKUP(B759,SAEB!$A:$B,2,0)</f>
        <v>Araçuaí</v>
      </c>
      <c r="D759">
        <v>340</v>
      </c>
      <c r="E759">
        <v>0</v>
      </c>
      <c r="F759">
        <v>356</v>
      </c>
      <c r="G759">
        <v>277</v>
      </c>
      <c r="H759" s="7">
        <f t="shared" si="45"/>
        <v>34.943473792394656</v>
      </c>
      <c r="I759" s="7">
        <f t="shared" si="46"/>
        <v>0</v>
      </c>
      <c r="J759" s="7">
        <f t="shared" si="47"/>
        <v>36.58787255909558</v>
      </c>
      <c r="K759" s="7">
        <f t="shared" si="48"/>
        <v>28.468653648509761</v>
      </c>
    </row>
    <row r="760" spans="1:11" x14ac:dyDescent="0.35">
      <c r="A760">
        <v>2019</v>
      </c>
      <c r="B760">
        <v>3104452</v>
      </c>
      <c r="C760" t="str">
        <f>VLOOKUP(B760,SAEB!$A:$B,2,0)</f>
        <v>Aricanduva</v>
      </c>
      <c r="D760">
        <v>213</v>
      </c>
      <c r="E760">
        <v>0</v>
      </c>
      <c r="F760">
        <v>35</v>
      </c>
      <c r="G760">
        <v>0</v>
      </c>
      <c r="H760" s="7">
        <f t="shared" si="45"/>
        <v>85.887096774193552</v>
      </c>
      <c r="I760" s="7">
        <f t="shared" si="46"/>
        <v>0</v>
      </c>
      <c r="J760" s="7">
        <f t="shared" si="47"/>
        <v>14.112903225806454</v>
      </c>
      <c r="K760" s="7">
        <f t="shared" si="48"/>
        <v>0</v>
      </c>
    </row>
    <row r="761" spans="1:11" x14ac:dyDescent="0.35">
      <c r="A761">
        <v>2019</v>
      </c>
      <c r="B761">
        <v>3104502</v>
      </c>
      <c r="C761" t="str">
        <f>VLOOKUP(B761,SAEB!$A:$B,2,0)</f>
        <v>Arinos</v>
      </c>
      <c r="D761">
        <v>363</v>
      </c>
      <c r="E761">
        <v>0</v>
      </c>
      <c r="F761">
        <v>301</v>
      </c>
      <c r="G761">
        <v>226</v>
      </c>
      <c r="H761" s="7">
        <f t="shared" si="45"/>
        <v>40.786516853932589</v>
      </c>
      <c r="I761" s="7">
        <f t="shared" si="46"/>
        <v>0</v>
      </c>
      <c r="J761" s="7">
        <f t="shared" si="47"/>
        <v>33.82022471910112</v>
      </c>
      <c r="K761" s="7">
        <f t="shared" si="48"/>
        <v>25.393258426966291</v>
      </c>
    </row>
    <row r="762" spans="1:11" x14ac:dyDescent="0.35">
      <c r="A762">
        <v>2019</v>
      </c>
      <c r="B762">
        <v>3104700</v>
      </c>
      <c r="C762" t="str">
        <f>VLOOKUP(B762,SAEB!$A:$B,2,0)</f>
        <v>Ataléia</v>
      </c>
      <c r="D762">
        <v>174</v>
      </c>
      <c r="E762">
        <v>57</v>
      </c>
      <c r="F762">
        <v>240</v>
      </c>
      <c r="G762">
        <v>0</v>
      </c>
      <c r="H762" s="7">
        <f t="shared" si="45"/>
        <v>36.942675159235669</v>
      </c>
      <c r="I762" s="7">
        <f t="shared" si="46"/>
        <v>12.101910828025478</v>
      </c>
      <c r="J762" s="7">
        <f t="shared" si="47"/>
        <v>50.955414012738856</v>
      </c>
      <c r="K762" s="7">
        <f t="shared" si="48"/>
        <v>0</v>
      </c>
    </row>
    <row r="763" spans="1:11" x14ac:dyDescent="0.35">
      <c r="A763">
        <v>2019</v>
      </c>
      <c r="B763">
        <v>3105202</v>
      </c>
      <c r="C763" t="str">
        <f>VLOOKUP(B763,SAEB!$A:$B,2,0)</f>
        <v>Bandeira</v>
      </c>
      <c r="D763">
        <v>171</v>
      </c>
      <c r="E763">
        <v>0</v>
      </c>
      <c r="F763">
        <v>64</v>
      </c>
      <c r="G763">
        <v>60</v>
      </c>
      <c r="H763" s="7">
        <f t="shared" si="45"/>
        <v>57.966101694915253</v>
      </c>
      <c r="I763" s="7">
        <f t="shared" si="46"/>
        <v>0</v>
      </c>
      <c r="J763" s="7">
        <f t="shared" si="47"/>
        <v>21.694915254237287</v>
      </c>
      <c r="K763" s="7">
        <f t="shared" si="48"/>
        <v>20.33898305084746</v>
      </c>
    </row>
    <row r="764" spans="1:11" x14ac:dyDescent="0.35">
      <c r="A764">
        <v>2019</v>
      </c>
      <c r="B764">
        <v>3106655</v>
      </c>
      <c r="C764" t="str">
        <f>VLOOKUP(B764,SAEB!$A:$B,2,0)</f>
        <v>Berizal</v>
      </c>
      <c r="D764">
        <v>260</v>
      </c>
      <c r="E764">
        <v>0</v>
      </c>
      <c r="F764">
        <v>30</v>
      </c>
      <c r="G764">
        <v>0</v>
      </c>
      <c r="H764" s="7">
        <f t="shared" si="45"/>
        <v>89.65517241379311</v>
      </c>
      <c r="I764" s="7">
        <f t="shared" si="46"/>
        <v>0</v>
      </c>
      <c r="J764" s="7">
        <f t="shared" si="47"/>
        <v>10.344827586206897</v>
      </c>
      <c r="K764" s="7">
        <f t="shared" si="48"/>
        <v>0</v>
      </c>
    </row>
    <row r="765" spans="1:11" x14ac:dyDescent="0.35">
      <c r="A765">
        <v>2019</v>
      </c>
      <c r="B765">
        <v>3107307</v>
      </c>
      <c r="C765" t="str">
        <f>VLOOKUP(B765,SAEB!$A:$B,2,0)</f>
        <v>Bocaiúva</v>
      </c>
      <c r="D765">
        <v>408</v>
      </c>
      <c r="E765">
        <v>287</v>
      </c>
      <c r="F765">
        <v>320</v>
      </c>
      <c r="G765">
        <v>180</v>
      </c>
      <c r="H765" s="7">
        <f t="shared" si="45"/>
        <v>34.14225941422594</v>
      </c>
      <c r="I765" s="7">
        <f t="shared" si="46"/>
        <v>24.01673640167364</v>
      </c>
      <c r="J765" s="7">
        <f t="shared" si="47"/>
        <v>26.778242677824267</v>
      </c>
      <c r="K765" s="7">
        <f t="shared" si="48"/>
        <v>15.062761506276152</v>
      </c>
    </row>
    <row r="766" spans="1:11" x14ac:dyDescent="0.35">
      <c r="A766">
        <v>2019</v>
      </c>
      <c r="B766">
        <v>3108206</v>
      </c>
      <c r="C766" t="str">
        <f>VLOOKUP(B766,SAEB!$A:$B,2,0)</f>
        <v>Bonfinópolis de Minas</v>
      </c>
      <c r="D766">
        <v>246</v>
      </c>
      <c r="E766">
        <v>201</v>
      </c>
      <c r="F766">
        <v>40</v>
      </c>
      <c r="G766">
        <v>0</v>
      </c>
      <c r="H766" s="7">
        <f t="shared" si="45"/>
        <v>50.513347022587276</v>
      </c>
      <c r="I766" s="7">
        <f t="shared" si="46"/>
        <v>41.273100616016428</v>
      </c>
      <c r="J766" s="7">
        <f t="shared" si="47"/>
        <v>8.2135523613963031</v>
      </c>
      <c r="K766" s="7">
        <f t="shared" si="48"/>
        <v>0</v>
      </c>
    </row>
    <row r="767" spans="1:11" x14ac:dyDescent="0.35">
      <c r="A767">
        <v>2019</v>
      </c>
      <c r="B767">
        <v>3108602</v>
      </c>
      <c r="C767" t="str">
        <f>VLOOKUP(B767,SAEB!$A:$B,2,0)</f>
        <v>Brasília de Minas</v>
      </c>
      <c r="D767">
        <v>0</v>
      </c>
      <c r="E767">
        <v>145</v>
      </c>
      <c r="F767">
        <v>359</v>
      </c>
      <c r="G767">
        <v>140</v>
      </c>
      <c r="H767" s="7">
        <f t="shared" si="45"/>
        <v>0</v>
      </c>
      <c r="I767" s="7">
        <f t="shared" si="46"/>
        <v>22.51552795031056</v>
      </c>
      <c r="J767" s="7">
        <f t="shared" si="47"/>
        <v>55.745341614906827</v>
      </c>
      <c r="K767" s="7">
        <f t="shared" si="48"/>
        <v>21.739130434782609</v>
      </c>
    </row>
    <row r="768" spans="1:11" x14ac:dyDescent="0.35">
      <c r="A768">
        <v>2019</v>
      </c>
      <c r="B768">
        <v>3109204</v>
      </c>
      <c r="C768" t="str">
        <f>VLOOKUP(B768,SAEB!$A:$B,2,0)</f>
        <v>Buenópolis</v>
      </c>
      <c r="D768">
        <v>527</v>
      </c>
      <c r="E768">
        <v>0</v>
      </c>
      <c r="F768">
        <v>44</v>
      </c>
      <c r="G768">
        <v>0</v>
      </c>
      <c r="H768" s="7">
        <f t="shared" si="45"/>
        <v>92.294220665499125</v>
      </c>
      <c r="I768" s="7">
        <f t="shared" si="46"/>
        <v>0</v>
      </c>
      <c r="J768" s="7">
        <f t="shared" si="47"/>
        <v>7.7057793345008756</v>
      </c>
      <c r="K768" s="7">
        <f t="shared" si="48"/>
        <v>0</v>
      </c>
    </row>
    <row r="769" spans="1:11" x14ac:dyDescent="0.35">
      <c r="A769">
        <v>2019</v>
      </c>
      <c r="B769">
        <v>3109402</v>
      </c>
      <c r="C769" t="str">
        <f>VLOOKUP(B769,SAEB!$A:$B,2,0)</f>
        <v>Buritizeiro</v>
      </c>
      <c r="D769">
        <v>1076</v>
      </c>
      <c r="E769">
        <v>0</v>
      </c>
      <c r="F769">
        <v>121</v>
      </c>
      <c r="G769">
        <v>0</v>
      </c>
      <c r="H769" s="7">
        <f t="shared" si="45"/>
        <v>89.891395154553038</v>
      </c>
      <c r="I769" s="7">
        <f t="shared" si="46"/>
        <v>0</v>
      </c>
      <c r="J769" s="7">
        <f t="shared" si="47"/>
        <v>10.108604845446949</v>
      </c>
      <c r="K769" s="7">
        <f t="shared" si="48"/>
        <v>0</v>
      </c>
    </row>
    <row r="770" spans="1:11" x14ac:dyDescent="0.35">
      <c r="A770">
        <v>2019</v>
      </c>
      <c r="B770">
        <v>3102704</v>
      </c>
      <c r="C770" t="str">
        <f>VLOOKUP(B770,SAEB!$A:$B,2,0)</f>
        <v>Cachoeira de Pajeú</v>
      </c>
      <c r="D770">
        <v>211</v>
      </c>
      <c r="E770">
        <v>0</v>
      </c>
      <c r="F770">
        <v>354</v>
      </c>
      <c r="G770">
        <v>94</v>
      </c>
      <c r="H770" s="7">
        <f t="shared" si="45"/>
        <v>32.018209408194231</v>
      </c>
      <c r="I770" s="7">
        <f t="shared" si="46"/>
        <v>0</v>
      </c>
      <c r="J770" s="7">
        <f t="shared" si="47"/>
        <v>53.717754172989373</v>
      </c>
      <c r="K770" s="7">
        <f t="shared" si="48"/>
        <v>14.264036418816389</v>
      </c>
    </row>
    <row r="771" spans="1:11" x14ac:dyDescent="0.35">
      <c r="A771">
        <v>2019</v>
      </c>
      <c r="B771">
        <v>3110806</v>
      </c>
      <c r="C771" t="str">
        <f>VLOOKUP(B771,SAEB!$A:$B,2,0)</f>
        <v>Campanário</v>
      </c>
      <c r="D771">
        <v>243</v>
      </c>
      <c r="E771">
        <v>0</v>
      </c>
      <c r="F771">
        <v>0</v>
      </c>
      <c r="G771">
        <v>0</v>
      </c>
      <c r="H771" s="7">
        <f t="shared" ref="H771:H834" si="49">D771/SUM($D771:$G771)*100</f>
        <v>100</v>
      </c>
      <c r="I771" s="7">
        <f t="shared" ref="I771:I834" si="50">E771/SUM($D771:$G771)*100</f>
        <v>0</v>
      </c>
      <c r="J771" s="7">
        <f t="shared" ref="J771:J834" si="51">F771/SUM($D771:$G771)*100</f>
        <v>0</v>
      </c>
      <c r="K771" s="7">
        <f t="shared" ref="K771:K834" si="52">G771/SUM($D771:$G771)*100</f>
        <v>0</v>
      </c>
    </row>
    <row r="772" spans="1:11" x14ac:dyDescent="0.35">
      <c r="A772">
        <v>2019</v>
      </c>
      <c r="B772">
        <v>3111150</v>
      </c>
      <c r="C772" t="str">
        <f>VLOOKUP(B772,SAEB!$A:$B,2,0)</f>
        <v>Campo Azul</v>
      </c>
      <c r="D772">
        <v>177</v>
      </c>
      <c r="E772">
        <v>0</v>
      </c>
      <c r="F772">
        <v>84</v>
      </c>
      <c r="G772">
        <v>64</v>
      </c>
      <c r="H772" s="7">
        <f t="shared" si="49"/>
        <v>54.46153846153846</v>
      </c>
      <c r="I772" s="7">
        <f t="shared" si="50"/>
        <v>0</v>
      </c>
      <c r="J772" s="7">
        <f t="shared" si="51"/>
        <v>25.846153846153847</v>
      </c>
      <c r="K772" s="7">
        <f t="shared" si="52"/>
        <v>19.692307692307693</v>
      </c>
    </row>
    <row r="773" spans="1:11" x14ac:dyDescent="0.35">
      <c r="A773">
        <v>2019</v>
      </c>
      <c r="B773">
        <v>3112059</v>
      </c>
      <c r="C773" t="str">
        <f>VLOOKUP(B773,SAEB!$A:$B,2,0)</f>
        <v>Cantagalo</v>
      </c>
      <c r="D773">
        <v>247</v>
      </c>
      <c r="E773">
        <v>0</v>
      </c>
      <c r="F773">
        <v>66</v>
      </c>
      <c r="G773">
        <v>0</v>
      </c>
      <c r="H773" s="7">
        <f t="shared" si="49"/>
        <v>78.91373801916933</v>
      </c>
      <c r="I773" s="7">
        <f t="shared" si="50"/>
        <v>0</v>
      </c>
      <c r="J773" s="7">
        <f t="shared" si="51"/>
        <v>21.08626198083067</v>
      </c>
      <c r="K773" s="7">
        <f t="shared" si="52"/>
        <v>0</v>
      </c>
    </row>
    <row r="774" spans="1:11" x14ac:dyDescent="0.35">
      <c r="A774">
        <v>2019</v>
      </c>
      <c r="B774">
        <v>3112307</v>
      </c>
      <c r="C774" t="str">
        <f>VLOOKUP(B774,SAEB!$A:$B,2,0)</f>
        <v>Capelinha</v>
      </c>
      <c r="D774">
        <v>330</v>
      </c>
      <c r="E774">
        <v>0</v>
      </c>
      <c r="F774">
        <v>696</v>
      </c>
      <c r="G774">
        <v>0</v>
      </c>
      <c r="H774" s="7">
        <f t="shared" si="49"/>
        <v>32.163742690058477</v>
      </c>
      <c r="I774" s="7">
        <f t="shared" si="50"/>
        <v>0</v>
      </c>
      <c r="J774" s="7">
        <f t="shared" si="51"/>
        <v>67.836257309941516</v>
      </c>
      <c r="K774" s="7">
        <f t="shared" si="52"/>
        <v>0</v>
      </c>
    </row>
    <row r="775" spans="1:11" x14ac:dyDescent="0.35">
      <c r="A775">
        <v>2019</v>
      </c>
      <c r="B775">
        <v>3112703</v>
      </c>
      <c r="C775" t="str">
        <f>VLOOKUP(B775,SAEB!$A:$B,2,0)</f>
        <v>Capitão Enéas</v>
      </c>
      <c r="D775">
        <v>375</v>
      </c>
      <c r="E775">
        <v>221</v>
      </c>
      <c r="F775">
        <v>80</v>
      </c>
      <c r="G775">
        <v>33</v>
      </c>
      <c r="H775" s="7">
        <f t="shared" si="49"/>
        <v>52.891396332863181</v>
      </c>
      <c r="I775" s="7">
        <f t="shared" si="50"/>
        <v>31.170662905500706</v>
      </c>
      <c r="J775" s="7">
        <f t="shared" si="51"/>
        <v>11.283497884344147</v>
      </c>
      <c r="K775" s="7">
        <f t="shared" si="52"/>
        <v>4.6544428772919604</v>
      </c>
    </row>
    <row r="776" spans="1:11" x14ac:dyDescent="0.35">
      <c r="A776">
        <v>2019</v>
      </c>
      <c r="B776">
        <v>3113008</v>
      </c>
      <c r="C776" t="str">
        <f>VLOOKUP(B776,SAEB!$A:$B,2,0)</f>
        <v>Caraí</v>
      </c>
      <c r="D776">
        <v>58</v>
      </c>
      <c r="E776">
        <v>177</v>
      </c>
      <c r="F776">
        <v>744</v>
      </c>
      <c r="G776">
        <v>363</v>
      </c>
      <c r="H776" s="7">
        <f t="shared" si="49"/>
        <v>4.3219076005961252</v>
      </c>
      <c r="I776" s="7">
        <f t="shared" si="50"/>
        <v>13.189269746646795</v>
      </c>
      <c r="J776" s="7">
        <f t="shared" si="51"/>
        <v>55.439642324888226</v>
      </c>
      <c r="K776" s="7">
        <f t="shared" si="52"/>
        <v>27.049180327868854</v>
      </c>
    </row>
    <row r="777" spans="1:11" x14ac:dyDescent="0.35">
      <c r="A777">
        <v>2019</v>
      </c>
      <c r="B777">
        <v>3113503</v>
      </c>
      <c r="C777" t="str">
        <f>VLOOKUP(B777,SAEB!$A:$B,2,0)</f>
        <v>Carbonita</v>
      </c>
      <c r="D777">
        <v>486</v>
      </c>
      <c r="E777">
        <v>0</v>
      </c>
      <c r="F777">
        <v>68</v>
      </c>
      <c r="G777">
        <v>62</v>
      </c>
      <c r="H777" s="7">
        <f t="shared" si="49"/>
        <v>78.896103896103895</v>
      </c>
      <c r="I777" s="7">
        <f t="shared" si="50"/>
        <v>0</v>
      </c>
      <c r="J777" s="7">
        <f t="shared" si="51"/>
        <v>11.038961038961039</v>
      </c>
      <c r="K777" s="7">
        <f t="shared" si="52"/>
        <v>10.064935064935066</v>
      </c>
    </row>
    <row r="778" spans="1:11" x14ac:dyDescent="0.35">
      <c r="A778">
        <v>2019</v>
      </c>
      <c r="B778">
        <v>3113701</v>
      </c>
      <c r="C778" t="str">
        <f>VLOOKUP(B778,SAEB!$A:$B,2,0)</f>
        <v>Carlos Chagas</v>
      </c>
      <c r="D778">
        <v>937</v>
      </c>
      <c r="E778">
        <v>234</v>
      </c>
      <c r="F778">
        <v>285</v>
      </c>
      <c r="G778">
        <v>142</v>
      </c>
      <c r="H778" s="7">
        <f t="shared" si="49"/>
        <v>58.63579474342928</v>
      </c>
      <c r="I778" s="7">
        <f t="shared" si="50"/>
        <v>14.643304130162704</v>
      </c>
      <c r="J778" s="7">
        <f t="shared" si="51"/>
        <v>17.834793491864829</v>
      </c>
      <c r="K778" s="7">
        <f t="shared" si="52"/>
        <v>8.8861076345431798</v>
      </c>
    </row>
    <row r="779" spans="1:11" x14ac:dyDescent="0.35">
      <c r="A779">
        <v>2019</v>
      </c>
      <c r="B779">
        <v>3113800</v>
      </c>
      <c r="C779" t="str">
        <f>VLOOKUP(B779,SAEB!$A:$B,2,0)</f>
        <v>Carmésia</v>
      </c>
      <c r="D779">
        <v>154</v>
      </c>
      <c r="E779">
        <v>143</v>
      </c>
      <c r="F779">
        <v>0</v>
      </c>
      <c r="G779">
        <v>0</v>
      </c>
      <c r="H779" s="7">
        <f t="shared" si="49"/>
        <v>51.851851851851848</v>
      </c>
      <c r="I779" s="7">
        <f t="shared" si="50"/>
        <v>48.148148148148145</v>
      </c>
      <c r="J779" s="7">
        <f t="shared" si="51"/>
        <v>0</v>
      </c>
      <c r="K779" s="7">
        <f t="shared" si="52"/>
        <v>0</v>
      </c>
    </row>
    <row r="780" spans="1:11" x14ac:dyDescent="0.35">
      <c r="A780">
        <v>2019</v>
      </c>
      <c r="B780">
        <v>3115458</v>
      </c>
      <c r="C780" t="str">
        <f>VLOOKUP(B780,SAEB!$A:$B,2,0)</f>
        <v>Catuji</v>
      </c>
      <c r="D780">
        <v>267</v>
      </c>
      <c r="E780">
        <v>0</v>
      </c>
      <c r="F780">
        <v>274</v>
      </c>
      <c r="G780">
        <v>0</v>
      </c>
      <c r="H780" s="7">
        <f t="shared" si="49"/>
        <v>49.353049907578558</v>
      </c>
      <c r="I780" s="7">
        <f t="shared" si="50"/>
        <v>0</v>
      </c>
      <c r="J780" s="7">
        <f t="shared" si="51"/>
        <v>50.646950092421442</v>
      </c>
      <c r="K780" s="7">
        <f t="shared" si="52"/>
        <v>0</v>
      </c>
    </row>
    <row r="781" spans="1:11" x14ac:dyDescent="0.35">
      <c r="A781">
        <v>2019</v>
      </c>
      <c r="B781">
        <v>3115474</v>
      </c>
      <c r="C781" t="str">
        <f>VLOOKUP(B781,SAEB!$A:$B,2,0)</f>
        <v>Catuti</v>
      </c>
      <c r="D781">
        <v>182</v>
      </c>
      <c r="E781">
        <v>0</v>
      </c>
      <c r="F781">
        <v>112</v>
      </c>
      <c r="G781">
        <v>67</v>
      </c>
      <c r="H781" s="7">
        <f t="shared" si="49"/>
        <v>50.415512465373958</v>
      </c>
      <c r="I781" s="7">
        <f t="shared" si="50"/>
        <v>0</v>
      </c>
      <c r="J781" s="7">
        <f t="shared" si="51"/>
        <v>31.024930747922436</v>
      </c>
      <c r="K781" s="7">
        <f t="shared" si="52"/>
        <v>18.559556786703602</v>
      </c>
    </row>
    <row r="782" spans="1:11" x14ac:dyDescent="0.35">
      <c r="A782">
        <v>2019</v>
      </c>
      <c r="B782">
        <v>3116100</v>
      </c>
      <c r="C782" t="str">
        <f>VLOOKUP(B782,SAEB!$A:$B,2,0)</f>
        <v>Chapada do Norte</v>
      </c>
      <c r="D782">
        <v>182</v>
      </c>
      <c r="E782">
        <v>0</v>
      </c>
      <c r="F782">
        <v>258</v>
      </c>
      <c r="G782">
        <v>0</v>
      </c>
      <c r="H782" s="7">
        <f t="shared" si="49"/>
        <v>41.363636363636367</v>
      </c>
      <c r="I782" s="7">
        <f t="shared" si="50"/>
        <v>0</v>
      </c>
      <c r="J782" s="7">
        <f t="shared" si="51"/>
        <v>58.636363636363633</v>
      </c>
      <c r="K782" s="7">
        <f t="shared" si="52"/>
        <v>0</v>
      </c>
    </row>
    <row r="783" spans="1:11" x14ac:dyDescent="0.35">
      <c r="A783">
        <v>2019</v>
      </c>
      <c r="B783">
        <v>3116159</v>
      </c>
      <c r="C783" t="str">
        <f>VLOOKUP(B783,SAEB!$A:$B,2,0)</f>
        <v>Chapada Gaúcha</v>
      </c>
      <c r="D783">
        <v>475</v>
      </c>
      <c r="E783">
        <v>146</v>
      </c>
      <c r="F783">
        <v>306</v>
      </c>
      <c r="G783">
        <v>264</v>
      </c>
      <c r="H783" s="7">
        <f t="shared" si="49"/>
        <v>39.882451721242653</v>
      </c>
      <c r="I783" s="7">
        <f t="shared" si="50"/>
        <v>12.258606213266162</v>
      </c>
      <c r="J783" s="7">
        <f t="shared" si="51"/>
        <v>25.692695214105793</v>
      </c>
      <c r="K783" s="7">
        <f t="shared" si="52"/>
        <v>22.166246851385392</v>
      </c>
    </row>
    <row r="784" spans="1:11" x14ac:dyDescent="0.35">
      <c r="A784">
        <v>2019</v>
      </c>
      <c r="B784">
        <v>3116506</v>
      </c>
      <c r="C784" t="str">
        <f>VLOOKUP(B784,SAEB!$A:$B,2,0)</f>
        <v>Claro dos Poções</v>
      </c>
      <c r="D784">
        <v>326</v>
      </c>
      <c r="E784">
        <v>0</v>
      </c>
      <c r="F784">
        <v>14</v>
      </c>
      <c r="G784">
        <v>16</v>
      </c>
      <c r="H784" s="7">
        <f t="shared" si="49"/>
        <v>91.573033707865164</v>
      </c>
      <c r="I784" s="7">
        <f t="shared" si="50"/>
        <v>0</v>
      </c>
      <c r="J784" s="7">
        <f t="shared" si="51"/>
        <v>3.9325842696629212</v>
      </c>
      <c r="K784" s="7">
        <f t="shared" si="52"/>
        <v>4.4943820224719104</v>
      </c>
    </row>
    <row r="785" spans="1:11" x14ac:dyDescent="0.35">
      <c r="A785">
        <v>2019</v>
      </c>
      <c r="B785">
        <v>3116803</v>
      </c>
      <c r="C785" t="str">
        <f>VLOOKUP(B785,SAEB!$A:$B,2,0)</f>
        <v>Coluna</v>
      </c>
      <c r="D785">
        <v>110</v>
      </c>
      <c r="E785">
        <v>0</v>
      </c>
      <c r="F785">
        <v>250</v>
      </c>
      <c r="G785">
        <v>0</v>
      </c>
      <c r="H785" s="7">
        <f t="shared" si="49"/>
        <v>30.555555555555557</v>
      </c>
      <c r="I785" s="7">
        <f t="shared" si="50"/>
        <v>0</v>
      </c>
      <c r="J785" s="7">
        <f t="shared" si="51"/>
        <v>69.444444444444443</v>
      </c>
      <c r="K785" s="7">
        <f t="shared" si="52"/>
        <v>0</v>
      </c>
    </row>
    <row r="786" spans="1:11" x14ac:dyDescent="0.35">
      <c r="A786">
        <v>2019</v>
      </c>
      <c r="B786">
        <v>3117009</v>
      </c>
      <c r="C786" t="str">
        <f>VLOOKUP(B786,SAEB!$A:$B,2,0)</f>
        <v>Comercinho</v>
      </c>
      <c r="D786">
        <v>246</v>
      </c>
      <c r="E786">
        <v>0</v>
      </c>
      <c r="F786">
        <v>152</v>
      </c>
      <c r="G786">
        <v>89</v>
      </c>
      <c r="H786" s="7">
        <f t="shared" si="49"/>
        <v>50.513347022587276</v>
      </c>
      <c r="I786" s="7">
        <f t="shared" si="50"/>
        <v>0</v>
      </c>
      <c r="J786" s="7">
        <f t="shared" si="51"/>
        <v>31.211498973305957</v>
      </c>
      <c r="K786" s="7">
        <f t="shared" si="52"/>
        <v>18.275154004106774</v>
      </c>
    </row>
    <row r="787" spans="1:11" x14ac:dyDescent="0.35">
      <c r="A787">
        <v>2019</v>
      </c>
      <c r="B787">
        <v>3118403</v>
      </c>
      <c r="C787" t="str">
        <f>VLOOKUP(B787,SAEB!$A:$B,2,0)</f>
        <v>Conselheiro Pena</v>
      </c>
      <c r="D787">
        <v>800</v>
      </c>
      <c r="E787">
        <v>81</v>
      </c>
      <c r="F787">
        <v>93</v>
      </c>
      <c r="G787">
        <v>62</v>
      </c>
      <c r="H787" s="7">
        <f t="shared" si="49"/>
        <v>77.220077220077215</v>
      </c>
      <c r="I787" s="7">
        <f t="shared" si="50"/>
        <v>7.8185328185328178</v>
      </c>
      <c r="J787" s="7">
        <f t="shared" si="51"/>
        <v>8.9768339768339764</v>
      </c>
      <c r="K787" s="7">
        <f t="shared" si="52"/>
        <v>5.9845559845559846</v>
      </c>
    </row>
    <row r="788" spans="1:11" x14ac:dyDescent="0.35">
      <c r="A788">
        <v>2019</v>
      </c>
      <c r="B788">
        <v>3119104</v>
      </c>
      <c r="C788" t="str">
        <f>VLOOKUP(B788,SAEB!$A:$B,2,0)</f>
        <v>Corinto</v>
      </c>
      <c r="D788">
        <v>1292</v>
      </c>
      <c r="E788">
        <v>412</v>
      </c>
      <c r="F788">
        <v>9</v>
      </c>
      <c r="G788">
        <v>0</v>
      </c>
      <c r="H788" s="7">
        <f t="shared" si="49"/>
        <v>75.423234092235845</v>
      </c>
      <c r="I788" s="7">
        <f t="shared" si="50"/>
        <v>24.051371862230006</v>
      </c>
      <c r="J788" s="7">
        <f t="shared" si="51"/>
        <v>0.52539404553415059</v>
      </c>
      <c r="K788" s="7">
        <f t="shared" si="52"/>
        <v>0</v>
      </c>
    </row>
    <row r="789" spans="1:11" x14ac:dyDescent="0.35">
      <c r="A789">
        <v>2019</v>
      </c>
      <c r="B789">
        <v>3119203</v>
      </c>
      <c r="C789" t="str">
        <f>VLOOKUP(B789,SAEB!$A:$B,2,0)</f>
        <v>Coroaci</v>
      </c>
      <c r="D789">
        <v>394</v>
      </c>
      <c r="E789">
        <v>54</v>
      </c>
      <c r="F789">
        <v>183</v>
      </c>
      <c r="G789">
        <v>82</v>
      </c>
      <c r="H789" s="7">
        <f t="shared" si="49"/>
        <v>55.259467040673215</v>
      </c>
      <c r="I789" s="7">
        <f t="shared" si="50"/>
        <v>7.5736325385694245</v>
      </c>
      <c r="J789" s="7">
        <f t="shared" si="51"/>
        <v>25.666199158485277</v>
      </c>
      <c r="K789" s="7">
        <f t="shared" si="52"/>
        <v>11.50070126227209</v>
      </c>
    </row>
    <row r="790" spans="1:11" x14ac:dyDescent="0.35">
      <c r="A790">
        <v>2019</v>
      </c>
      <c r="B790">
        <v>3119500</v>
      </c>
      <c r="C790" t="str">
        <f>VLOOKUP(B790,SAEB!$A:$B,2,0)</f>
        <v>Coronel Murta</v>
      </c>
      <c r="D790">
        <v>398</v>
      </c>
      <c r="E790">
        <v>299</v>
      </c>
      <c r="F790">
        <v>29</v>
      </c>
      <c r="G790">
        <v>0</v>
      </c>
      <c r="H790" s="7">
        <f t="shared" si="49"/>
        <v>54.820936639118457</v>
      </c>
      <c r="I790" s="7">
        <f t="shared" si="50"/>
        <v>41.184573002754817</v>
      </c>
      <c r="J790" s="7">
        <f t="shared" si="51"/>
        <v>3.9944903581267219</v>
      </c>
      <c r="K790" s="7">
        <f t="shared" si="52"/>
        <v>0</v>
      </c>
    </row>
    <row r="791" spans="1:11" x14ac:dyDescent="0.35">
      <c r="A791">
        <v>2019</v>
      </c>
      <c r="B791">
        <v>3120151</v>
      </c>
      <c r="C791" t="str">
        <f>VLOOKUP(B791,SAEB!$A:$B,2,0)</f>
        <v>Crisólita</v>
      </c>
      <c r="D791">
        <v>372</v>
      </c>
      <c r="E791">
        <v>137</v>
      </c>
      <c r="F791">
        <v>0</v>
      </c>
      <c r="G791">
        <v>0</v>
      </c>
      <c r="H791" s="7">
        <f t="shared" si="49"/>
        <v>73.084479371316306</v>
      </c>
      <c r="I791" s="7">
        <f t="shared" si="50"/>
        <v>26.915520628683691</v>
      </c>
      <c r="J791" s="7">
        <f t="shared" si="51"/>
        <v>0</v>
      </c>
      <c r="K791" s="7">
        <f t="shared" si="52"/>
        <v>0</v>
      </c>
    </row>
    <row r="792" spans="1:11" x14ac:dyDescent="0.35">
      <c r="A792">
        <v>2019</v>
      </c>
      <c r="B792">
        <v>3120870</v>
      </c>
      <c r="C792" t="str">
        <f>VLOOKUP(B792,SAEB!$A:$B,2,0)</f>
        <v>Curral de Dentro</v>
      </c>
      <c r="D792">
        <v>425</v>
      </c>
      <c r="E792">
        <v>0</v>
      </c>
      <c r="F792">
        <v>158</v>
      </c>
      <c r="G792">
        <v>0</v>
      </c>
      <c r="H792" s="7">
        <f t="shared" si="49"/>
        <v>72.898799313893662</v>
      </c>
      <c r="I792" s="7">
        <f t="shared" si="50"/>
        <v>0</v>
      </c>
      <c r="J792" s="7">
        <f t="shared" si="51"/>
        <v>27.101200686106345</v>
      </c>
      <c r="K792" s="7">
        <f t="shared" si="52"/>
        <v>0</v>
      </c>
    </row>
    <row r="793" spans="1:11" x14ac:dyDescent="0.35">
      <c r="A793">
        <v>2019</v>
      </c>
      <c r="B793">
        <v>3120904</v>
      </c>
      <c r="C793" t="str">
        <f>VLOOKUP(B793,SAEB!$A:$B,2,0)</f>
        <v>Curvelo</v>
      </c>
      <c r="D793">
        <v>3846</v>
      </c>
      <c r="E793">
        <v>0</v>
      </c>
      <c r="F793">
        <v>444</v>
      </c>
      <c r="G793">
        <v>0</v>
      </c>
      <c r="H793" s="7">
        <f t="shared" si="49"/>
        <v>89.650349650349654</v>
      </c>
      <c r="I793" s="7">
        <f t="shared" si="50"/>
        <v>0</v>
      </c>
      <c r="J793" s="7">
        <f t="shared" si="51"/>
        <v>10.34965034965035</v>
      </c>
      <c r="K793" s="7">
        <f t="shared" si="52"/>
        <v>0</v>
      </c>
    </row>
    <row r="794" spans="1:11" x14ac:dyDescent="0.35">
      <c r="A794">
        <v>2019</v>
      </c>
      <c r="B794">
        <v>3121001</v>
      </c>
      <c r="C794" t="str">
        <f>VLOOKUP(B794,SAEB!$A:$B,2,0)</f>
        <v>Datas</v>
      </c>
      <c r="D794">
        <v>273</v>
      </c>
      <c r="E794">
        <v>0</v>
      </c>
      <c r="F794">
        <v>138</v>
      </c>
      <c r="G794">
        <v>0</v>
      </c>
      <c r="H794" s="7">
        <f t="shared" si="49"/>
        <v>66.423357664233578</v>
      </c>
      <c r="I794" s="7">
        <f t="shared" si="50"/>
        <v>0</v>
      </c>
      <c r="J794" s="7">
        <f t="shared" si="51"/>
        <v>33.576642335766422</v>
      </c>
      <c r="K794" s="7">
        <f t="shared" si="52"/>
        <v>0</v>
      </c>
    </row>
    <row r="795" spans="1:11" x14ac:dyDescent="0.35">
      <c r="A795">
        <v>2019</v>
      </c>
      <c r="B795">
        <v>3121605</v>
      </c>
      <c r="C795" t="str">
        <f>VLOOKUP(B795,SAEB!$A:$B,2,0)</f>
        <v>Diamantina</v>
      </c>
      <c r="D795">
        <v>637</v>
      </c>
      <c r="E795">
        <v>80</v>
      </c>
      <c r="F795">
        <v>368</v>
      </c>
      <c r="G795">
        <v>79</v>
      </c>
      <c r="H795" s="7">
        <f t="shared" si="49"/>
        <v>54.725085910652929</v>
      </c>
      <c r="I795" s="7">
        <f t="shared" si="50"/>
        <v>6.8728522336769764</v>
      </c>
      <c r="J795" s="7">
        <f t="shared" si="51"/>
        <v>31.615120274914087</v>
      </c>
      <c r="K795" s="7">
        <f t="shared" si="52"/>
        <v>6.7869415807560136</v>
      </c>
    </row>
    <row r="796" spans="1:11" x14ac:dyDescent="0.35">
      <c r="A796">
        <v>2019</v>
      </c>
      <c r="B796">
        <v>3122108</v>
      </c>
      <c r="C796" t="str">
        <f>VLOOKUP(B796,SAEB!$A:$B,2,0)</f>
        <v>Divino das Laranjeiras</v>
      </c>
      <c r="D796">
        <v>164</v>
      </c>
      <c r="E796">
        <v>0</v>
      </c>
      <c r="F796">
        <v>0</v>
      </c>
      <c r="G796">
        <v>0</v>
      </c>
      <c r="H796" s="7">
        <f t="shared" si="49"/>
        <v>100</v>
      </c>
      <c r="I796" s="7">
        <f t="shared" si="50"/>
        <v>0</v>
      </c>
      <c r="J796" s="7">
        <f t="shared" si="51"/>
        <v>0</v>
      </c>
      <c r="K796" s="7">
        <f t="shared" si="52"/>
        <v>0</v>
      </c>
    </row>
    <row r="797" spans="1:11" x14ac:dyDescent="0.35">
      <c r="A797">
        <v>2019</v>
      </c>
      <c r="B797">
        <v>3122207</v>
      </c>
      <c r="C797" t="str">
        <f>VLOOKUP(B797,SAEB!$A:$B,2,0)</f>
        <v>Divinolândia de Minas</v>
      </c>
      <c r="D797">
        <v>385</v>
      </c>
      <c r="E797">
        <v>0</v>
      </c>
      <c r="F797">
        <v>148</v>
      </c>
      <c r="G797">
        <v>0</v>
      </c>
      <c r="H797" s="7">
        <f t="shared" si="49"/>
        <v>72.23264540337712</v>
      </c>
      <c r="I797" s="7">
        <f t="shared" si="50"/>
        <v>0</v>
      </c>
      <c r="J797" s="7">
        <f t="shared" si="51"/>
        <v>27.767354596622891</v>
      </c>
      <c r="K797" s="7">
        <f t="shared" si="52"/>
        <v>0</v>
      </c>
    </row>
    <row r="798" spans="1:11" x14ac:dyDescent="0.35">
      <c r="A798">
        <v>2019</v>
      </c>
      <c r="B798">
        <v>3122454</v>
      </c>
      <c r="C798" t="str">
        <f>VLOOKUP(B798,SAEB!$A:$B,2,0)</f>
        <v>Divisópolis</v>
      </c>
      <c r="D798">
        <v>545</v>
      </c>
      <c r="E798">
        <v>0</v>
      </c>
      <c r="F798">
        <v>60</v>
      </c>
      <c r="G798">
        <v>0</v>
      </c>
      <c r="H798" s="7">
        <f t="shared" si="49"/>
        <v>90.082644628099175</v>
      </c>
      <c r="I798" s="7">
        <f t="shared" si="50"/>
        <v>0</v>
      </c>
      <c r="J798" s="7">
        <f t="shared" si="51"/>
        <v>9.9173553719008272</v>
      </c>
      <c r="K798" s="7">
        <f t="shared" si="52"/>
        <v>0</v>
      </c>
    </row>
    <row r="799" spans="1:11" x14ac:dyDescent="0.35">
      <c r="A799">
        <v>2019</v>
      </c>
      <c r="B799">
        <v>3122470</v>
      </c>
      <c r="C799" t="str">
        <f>VLOOKUP(B799,SAEB!$A:$B,2,0)</f>
        <v>Dom Bosco</v>
      </c>
      <c r="D799">
        <v>49</v>
      </c>
      <c r="E799">
        <v>39</v>
      </c>
      <c r="F799">
        <v>66</v>
      </c>
      <c r="G799">
        <v>0</v>
      </c>
      <c r="H799" s="7">
        <f t="shared" si="49"/>
        <v>31.818181818181817</v>
      </c>
      <c r="I799" s="7">
        <f t="shared" si="50"/>
        <v>25.324675324675322</v>
      </c>
      <c r="J799" s="7">
        <f t="shared" si="51"/>
        <v>42.857142857142854</v>
      </c>
      <c r="K799" s="7">
        <f t="shared" si="52"/>
        <v>0</v>
      </c>
    </row>
    <row r="800" spans="1:11" x14ac:dyDescent="0.35">
      <c r="A800">
        <v>2019</v>
      </c>
      <c r="B800">
        <v>3123106</v>
      </c>
      <c r="C800" t="str">
        <f>VLOOKUP(B800,SAEB!$A:$B,2,0)</f>
        <v>Dores de Guanhães</v>
      </c>
      <c r="D800">
        <v>223</v>
      </c>
      <c r="E800">
        <v>0</v>
      </c>
      <c r="F800">
        <v>91</v>
      </c>
      <c r="G800">
        <v>0</v>
      </c>
      <c r="H800" s="7">
        <f t="shared" si="49"/>
        <v>71.01910828025477</v>
      </c>
      <c r="I800" s="7">
        <f t="shared" si="50"/>
        <v>0</v>
      </c>
      <c r="J800" s="7">
        <f t="shared" si="51"/>
        <v>28.980891719745223</v>
      </c>
      <c r="K800" s="7">
        <f t="shared" si="52"/>
        <v>0</v>
      </c>
    </row>
    <row r="801" spans="1:11" x14ac:dyDescent="0.35">
      <c r="A801">
        <v>2019</v>
      </c>
      <c r="B801">
        <v>3123700</v>
      </c>
      <c r="C801" t="str">
        <f>VLOOKUP(B801,SAEB!$A:$B,2,0)</f>
        <v>Engenheiro Caldas</v>
      </c>
      <c r="D801">
        <v>646</v>
      </c>
      <c r="E801">
        <v>130</v>
      </c>
      <c r="F801">
        <v>0</v>
      </c>
      <c r="G801">
        <v>0</v>
      </c>
      <c r="H801" s="7">
        <f t="shared" si="49"/>
        <v>83.24742268041237</v>
      </c>
      <c r="I801" s="7">
        <f t="shared" si="50"/>
        <v>16.752577319587626</v>
      </c>
      <c r="J801" s="7">
        <f t="shared" si="51"/>
        <v>0</v>
      </c>
      <c r="K801" s="7">
        <f t="shared" si="52"/>
        <v>0</v>
      </c>
    </row>
    <row r="802" spans="1:11" x14ac:dyDescent="0.35">
      <c r="A802">
        <v>2019</v>
      </c>
      <c r="B802">
        <v>3123809</v>
      </c>
      <c r="C802" t="str">
        <f>VLOOKUP(B802,SAEB!$A:$B,2,0)</f>
        <v>Engenheiro Navarro</v>
      </c>
      <c r="D802">
        <v>398</v>
      </c>
      <c r="E802">
        <v>0</v>
      </c>
      <c r="F802">
        <v>42</v>
      </c>
      <c r="G802">
        <v>0</v>
      </c>
      <c r="H802" s="7">
        <f t="shared" si="49"/>
        <v>90.454545454545453</v>
      </c>
      <c r="I802" s="7">
        <f t="shared" si="50"/>
        <v>0</v>
      </c>
      <c r="J802" s="7">
        <f t="shared" si="51"/>
        <v>9.5454545454545467</v>
      </c>
      <c r="K802" s="7">
        <f t="shared" si="52"/>
        <v>0</v>
      </c>
    </row>
    <row r="803" spans="1:11" x14ac:dyDescent="0.35">
      <c r="A803">
        <v>2019</v>
      </c>
      <c r="B803">
        <v>3124302</v>
      </c>
      <c r="C803" t="str">
        <f>VLOOKUP(B803,SAEB!$A:$B,2,0)</f>
        <v>Espinosa</v>
      </c>
      <c r="D803">
        <v>392</v>
      </c>
      <c r="E803">
        <v>0</v>
      </c>
      <c r="F803">
        <v>531</v>
      </c>
      <c r="G803">
        <v>0</v>
      </c>
      <c r="H803" s="7">
        <f t="shared" si="49"/>
        <v>42.470205850487538</v>
      </c>
      <c r="I803" s="7">
        <f t="shared" si="50"/>
        <v>0</v>
      </c>
      <c r="J803" s="7">
        <f t="shared" si="51"/>
        <v>57.529794149512462</v>
      </c>
      <c r="K803" s="7">
        <f t="shared" si="52"/>
        <v>0</v>
      </c>
    </row>
    <row r="804" spans="1:11" x14ac:dyDescent="0.35">
      <c r="A804">
        <v>2019</v>
      </c>
      <c r="B804">
        <v>3125408</v>
      </c>
      <c r="C804" t="str">
        <f>VLOOKUP(B804,SAEB!$A:$B,2,0)</f>
        <v>Felício dos Santos</v>
      </c>
      <c r="D804">
        <v>0</v>
      </c>
      <c r="E804">
        <v>0</v>
      </c>
      <c r="F804">
        <v>379</v>
      </c>
      <c r="G804">
        <v>0</v>
      </c>
      <c r="H804" s="7">
        <f t="shared" si="49"/>
        <v>0</v>
      </c>
      <c r="I804" s="7">
        <f t="shared" si="50"/>
        <v>0</v>
      </c>
      <c r="J804" s="7">
        <f t="shared" si="51"/>
        <v>100</v>
      </c>
      <c r="K804" s="7">
        <f t="shared" si="52"/>
        <v>0</v>
      </c>
    </row>
    <row r="805" spans="1:11" x14ac:dyDescent="0.35">
      <c r="A805">
        <v>2019</v>
      </c>
      <c r="B805">
        <v>3125705</v>
      </c>
      <c r="C805" t="str">
        <f>VLOOKUP(B805,SAEB!$A:$B,2,0)</f>
        <v>Felixlândia</v>
      </c>
      <c r="D805">
        <v>693</v>
      </c>
      <c r="E805">
        <v>413</v>
      </c>
      <c r="F805">
        <v>55</v>
      </c>
      <c r="G805">
        <v>0</v>
      </c>
      <c r="H805" s="7">
        <f t="shared" si="49"/>
        <v>59.689922480620147</v>
      </c>
      <c r="I805" s="7">
        <f t="shared" si="50"/>
        <v>35.572782084409994</v>
      </c>
      <c r="J805" s="7">
        <f t="shared" si="51"/>
        <v>4.7372954349698535</v>
      </c>
      <c r="K805" s="7">
        <f t="shared" si="52"/>
        <v>0</v>
      </c>
    </row>
    <row r="806" spans="1:11" x14ac:dyDescent="0.35">
      <c r="A806">
        <v>2019</v>
      </c>
      <c r="B806">
        <v>3126604</v>
      </c>
      <c r="C806" t="str">
        <f>VLOOKUP(B806,SAEB!$A:$B,2,0)</f>
        <v>Francisco Dumont</v>
      </c>
      <c r="D806">
        <v>286</v>
      </c>
      <c r="E806">
        <v>0</v>
      </c>
      <c r="F806">
        <v>48</v>
      </c>
      <c r="G806">
        <v>49</v>
      </c>
      <c r="H806" s="7">
        <f t="shared" si="49"/>
        <v>74.673629242819842</v>
      </c>
      <c r="I806" s="7">
        <f t="shared" si="50"/>
        <v>0</v>
      </c>
      <c r="J806" s="7">
        <f t="shared" si="51"/>
        <v>12.532637075718014</v>
      </c>
      <c r="K806" s="7">
        <f t="shared" si="52"/>
        <v>12.793733681462141</v>
      </c>
    </row>
    <row r="807" spans="1:11" x14ac:dyDescent="0.35">
      <c r="A807">
        <v>2019</v>
      </c>
      <c r="B807">
        <v>3126703</v>
      </c>
      <c r="C807" t="str">
        <f>VLOOKUP(B807,SAEB!$A:$B,2,0)</f>
        <v>Francisco Sá</v>
      </c>
      <c r="D807">
        <v>531</v>
      </c>
      <c r="E807">
        <v>110</v>
      </c>
      <c r="F807">
        <v>310</v>
      </c>
      <c r="G807">
        <v>76</v>
      </c>
      <c r="H807" s="7">
        <f t="shared" si="49"/>
        <v>51.703992210321324</v>
      </c>
      <c r="I807" s="7">
        <f t="shared" si="50"/>
        <v>10.710808179162608</v>
      </c>
      <c r="J807" s="7">
        <f t="shared" si="51"/>
        <v>30.185004868549171</v>
      </c>
      <c r="K807" s="7">
        <f t="shared" si="52"/>
        <v>7.4001947419668941</v>
      </c>
    </row>
    <row r="808" spans="1:11" x14ac:dyDescent="0.35">
      <c r="A808">
        <v>2019</v>
      </c>
      <c r="B808">
        <v>3126901</v>
      </c>
      <c r="C808" t="str">
        <f>VLOOKUP(B808,SAEB!$A:$B,2,0)</f>
        <v>Frei Inocêncio</v>
      </c>
      <c r="D808">
        <v>301</v>
      </c>
      <c r="E808">
        <v>0</v>
      </c>
      <c r="F808">
        <v>62</v>
      </c>
      <c r="G808">
        <v>0</v>
      </c>
      <c r="H808" s="7">
        <f t="shared" si="49"/>
        <v>82.92011019283747</v>
      </c>
      <c r="I808" s="7">
        <f t="shared" si="50"/>
        <v>0</v>
      </c>
      <c r="J808" s="7">
        <f t="shared" si="51"/>
        <v>17.079889807162534</v>
      </c>
      <c r="K808" s="7">
        <f t="shared" si="52"/>
        <v>0</v>
      </c>
    </row>
    <row r="809" spans="1:11" x14ac:dyDescent="0.35">
      <c r="A809">
        <v>2019</v>
      </c>
      <c r="B809">
        <v>3127073</v>
      </c>
      <c r="C809" t="str">
        <f>VLOOKUP(B809,SAEB!$A:$B,2,0)</f>
        <v>Fruta de Leite</v>
      </c>
      <c r="D809">
        <v>0</v>
      </c>
      <c r="E809">
        <v>0</v>
      </c>
      <c r="F809">
        <v>229</v>
      </c>
      <c r="G809">
        <v>0</v>
      </c>
      <c r="H809" s="7">
        <f t="shared" si="49"/>
        <v>0</v>
      </c>
      <c r="I809" s="7">
        <f t="shared" si="50"/>
        <v>0</v>
      </c>
      <c r="J809" s="7">
        <f t="shared" si="51"/>
        <v>100</v>
      </c>
      <c r="K809" s="7">
        <f t="shared" si="52"/>
        <v>0</v>
      </c>
    </row>
    <row r="810" spans="1:11" x14ac:dyDescent="0.35">
      <c r="A810">
        <v>2019</v>
      </c>
      <c r="B810">
        <v>3127354</v>
      </c>
      <c r="C810" t="str">
        <f>VLOOKUP(B810,SAEB!$A:$B,2,0)</f>
        <v>Glaucilândia</v>
      </c>
      <c r="D810">
        <v>120</v>
      </c>
      <c r="E810">
        <v>0</v>
      </c>
      <c r="F810">
        <v>85</v>
      </c>
      <c r="G810">
        <v>0</v>
      </c>
      <c r="H810" s="7">
        <f t="shared" si="49"/>
        <v>58.536585365853654</v>
      </c>
      <c r="I810" s="7">
        <f t="shared" si="50"/>
        <v>0</v>
      </c>
      <c r="J810" s="7">
        <f t="shared" si="51"/>
        <v>41.463414634146339</v>
      </c>
      <c r="K810" s="7">
        <f t="shared" si="52"/>
        <v>0</v>
      </c>
    </row>
    <row r="811" spans="1:11" x14ac:dyDescent="0.35">
      <c r="A811">
        <v>2019</v>
      </c>
      <c r="B811">
        <v>3127503</v>
      </c>
      <c r="C811" t="str">
        <f>VLOOKUP(B811,SAEB!$A:$B,2,0)</f>
        <v>Gonzaga</v>
      </c>
      <c r="D811">
        <v>294</v>
      </c>
      <c r="E811">
        <v>0</v>
      </c>
      <c r="F811">
        <v>112</v>
      </c>
      <c r="G811">
        <v>0</v>
      </c>
      <c r="H811" s="7">
        <f t="shared" si="49"/>
        <v>72.41379310344827</v>
      </c>
      <c r="I811" s="7">
        <f t="shared" si="50"/>
        <v>0</v>
      </c>
      <c r="J811" s="7">
        <f t="shared" si="51"/>
        <v>27.586206896551722</v>
      </c>
      <c r="K811" s="7">
        <f t="shared" si="52"/>
        <v>0</v>
      </c>
    </row>
    <row r="812" spans="1:11" x14ac:dyDescent="0.35">
      <c r="A812">
        <v>2019</v>
      </c>
      <c r="B812">
        <v>3127602</v>
      </c>
      <c r="C812" t="str">
        <f>VLOOKUP(B812,SAEB!$A:$B,2,0)</f>
        <v>Gouveia</v>
      </c>
      <c r="D812">
        <v>618</v>
      </c>
      <c r="E812">
        <v>0</v>
      </c>
      <c r="F812">
        <v>84</v>
      </c>
      <c r="G812">
        <v>49</v>
      </c>
      <c r="H812" s="7">
        <f t="shared" si="49"/>
        <v>82.290279627163784</v>
      </c>
      <c r="I812" s="7">
        <f t="shared" si="50"/>
        <v>0</v>
      </c>
      <c r="J812" s="7">
        <f t="shared" si="51"/>
        <v>11.18508655126498</v>
      </c>
      <c r="K812" s="7">
        <f t="shared" si="52"/>
        <v>6.5246338215712383</v>
      </c>
    </row>
    <row r="813" spans="1:11" x14ac:dyDescent="0.35">
      <c r="A813">
        <v>2019</v>
      </c>
      <c r="B813">
        <v>3127701</v>
      </c>
      <c r="C813" t="str">
        <f>VLOOKUP(B813,SAEB!$A:$B,2,0)</f>
        <v>Governador Valadares</v>
      </c>
      <c r="D813">
        <v>5932</v>
      </c>
      <c r="E813">
        <v>2918</v>
      </c>
      <c r="F813">
        <v>478</v>
      </c>
      <c r="G813">
        <v>378</v>
      </c>
      <c r="H813" s="7">
        <f t="shared" si="49"/>
        <v>61.116834947455182</v>
      </c>
      <c r="I813" s="7">
        <f t="shared" si="50"/>
        <v>30.063878013599837</v>
      </c>
      <c r="J813" s="7">
        <f t="shared" si="51"/>
        <v>4.9247887904389041</v>
      </c>
      <c r="K813" s="7">
        <f t="shared" si="52"/>
        <v>3.8944982485060784</v>
      </c>
    </row>
    <row r="814" spans="1:11" x14ac:dyDescent="0.35">
      <c r="A814">
        <v>2019</v>
      </c>
      <c r="B814">
        <v>3128006</v>
      </c>
      <c r="C814" t="str">
        <f>VLOOKUP(B814,SAEB!$A:$B,2,0)</f>
        <v>Guanhães</v>
      </c>
      <c r="D814">
        <v>1183</v>
      </c>
      <c r="E814">
        <v>0</v>
      </c>
      <c r="F814">
        <v>102</v>
      </c>
      <c r="G814">
        <v>0</v>
      </c>
      <c r="H814" s="7">
        <f t="shared" si="49"/>
        <v>92.062256809338521</v>
      </c>
      <c r="I814" s="7">
        <f t="shared" si="50"/>
        <v>0</v>
      </c>
      <c r="J814" s="7">
        <f t="shared" si="51"/>
        <v>7.9377431906614779</v>
      </c>
      <c r="K814" s="7">
        <f t="shared" si="52"/>
        <v>0</v>
      </c>
    </row>
    <row r="815" spans="1:11" x14ac:dyDescent="0.35">
      <c r="A815">
        <v>2019</v>
      </c>
      <c r="B815">
        <v>3128253</v>
      </c>
      <c r="C815" t="str">
        <f>VLOOKUP(B815,SAEB!$A:$B,2,0)</f>
        <v>Guaraciama</v>
      </c>
      <c r="D815">
        <v>326</v>
      </c>
      <c r="E815">
        <v>0</v>
      </c>
      <c r="F815">
        <v>0</v>
      </c>
      <c r="G815">
        <v>0</v>
      </c>
      <c r="H815" s="7">
        <f t="shared" si="49"/>
        <v>100</v>
      </c>
      <c r="I815" s="7">
        <f t="shared" si="50"/>
        <v>0</v>
      </c>
      <c r="J815" s="7">
        <f t="shared" si="51"/>
        <v>0</v>
      </c>
      <c r="K815" s="7">
        <f t="shared" si="52"/>
        <v>0</v>
      </c>
    </row>
    <row r="816" spans="1:11" x14ac:dyDescent="0.35">
      <c r="A816">
        <v>2019</v>
      </c>
      <c r="B816">
        <v>3129657</v>
      </c>
      <c r="C816" t="str">
        <f>VLOOKUP(B816,SAEB!$A:$B,2,0)</f>
        <v>Ibiracatu</v>
      </c>
      <c r="D816">
        <v>116</v>
      </c>
      <c r="E816">
        <v>129</v>
      </c>
      <c r="F816">
        <v>87</v>
      </c>
      <c r="G816">
        <v>41</v>
      </c>
      <c r="H816" s="7">
        <f t="shared" si="49"/>
        <v>31.099195710455763</v>
      </c>
      <c r="I816" s="7">
        <f t="shared" si="50"/>
        <v>34.584450402144775</v>
      </c>
      <c r="J816" s="7">
        <f t="shared" si="51"/>
        <v>23.324396782841823</v>
      </c>
      <c r="K816" s="7">
        <f t="shared" si="52"/>
        <v>10.991957104557642</v>
      </c>
    </row>
    <row r="817" spans="1:11" x14ac:dyDescent="0.35">
      <c r="A817">
        <v>2019</v>
      </c>
      <c r="B817">
        <v>3130051</v>
      </c>
      <c r="C817" t="str">
        <f>VLOOKUP(B817,SAEB!$A:$B,2,0)</f>
        <v>Icaraí de Minas</v>
      </c>
      <c r="D817">
        <v>352</v>
      </c>
      <c r="E817">
        <v>0</v>
      </c>
      <c r="F817">
        <v>76</v>
      </c>
      <c r="G817">
        <v>0</v>
      </c>
      <c r="H817" s="7">
        <f t="shared" si="49"/>
        <v>82.242990654205599</v>
      </c>
      <c r="I817" s="7">
        <f t="shared" si="50"/>
        <v>0</v>
      </c>
      <c r="J817" s="7">
        <f t="shared" si="51"/>
        <v>17.75700934579439</v>
      </c>
      <c r="K817" s="7">
        <f t="shared" si="52"/>
        <v>0</v>
      </c>
    </row>
    <row r="818" spans="1:11" x14ac:dyDescent="0.35">
      <c r="A818">
        <v>2019</v>
      </c>
      <c r="B818">
        <v>3130556</v>
      </c>
      <c r="C818" t="str">
        <f>VLOOKUP(B818,SAEB!$A:$B,2,0)</f>
        <v>Imbé de Minas</v>
      </c>
      <c r="D818">
        <v>273</v>
      </c>
      <c r="E818">
        <v>0</v>
      </c>
      <c r="F818">
        <v>179</v>
      </c>
      <c r="G818">
        <v>0</v>
      </c>
      <c r="H818" s="7">
        <f t="shared" si="49"/>
        <v>60.398230088495573</v>
      </c>
      <c r="I818" s="7">
        <f t="shared" si="50"/>
        <v>0</v>
      </c>
      <c r="J818" s="7">
        <f t="shared" si="51"/>
        <v>39.601769911504427</v>
      </c>
      <c r="K818" s="7">
        <f t="shared" si="52"/>
        <v>0</v>
      </c>
    </row>
    <row r="819" spans="1:11" x14ac:dyDescent="0.35">
      <c r="A819">
        <v>2019</v>
      </c>
      <c r="B819">
        <v>3130655</v>
      </c>
      <c r="C819" t="str">
        <f>VLOOKUP(B819,SAEB!$A:$B,2,0)</f>
        <v>Indaiabira</v>
      </c>
      <c r="D819">
        <v>153</v>
      </c>
      <c r="E819">
        <v>0</v>
      </c>
      <c r="F819">
        <v>177</v>
      </c>
      <c r="G819">
        <v>79</v>
      </c>
      <c r="H819" s="7">
        <f t="shared" si="49"/>
        <v>37.408312958435211</v>
      </c>
      <c r="I819" s="7">
        <f t="shared" si="50"/>
        <v>0</v>
      </c>
      <c r="J819" s="7">
        <f t="shared" si="51"/>
        <v>43.276283618581907</v>
      </c>
      <c r="K819" s="7">
        <f t="shared" si="52"/>
        <v>19.315403422982886</v>
      </c>
    </row>
    <row r="820" spans="1:11" x14ac:dyDescent="0.35">
      <c r="A820">
        <v>2019</v>
      </c>
      <c r="B820">
        <v>3130903</v>
      </c>
      <c r="C820" t="str">
        <f>VLOOKUP(B820,SAEB!$A:$B,2,0)</f>
        <v>Inhapim</v>
      </c>
      <c r="D820">
        <v>373</v>
      </c>
      <c r="E820">
        <v>0</v>
      </c>
      <c r="F820">
        <v>462</v>
      </c>
      <c r="G820">
        <v>81</v>
      </c>
      <c r="H820" s="7">
        <f t="shared" si="49"/>
        <v>40.720524017467248</v>
      </c>
      <c r="I820" s="7">
        <f t="shared" si="50"/>
        <v>0</v>
      </c>
      <c r="J820" s="7">
        <f t="shared" si="51"/>
        <v>50.436681222707428</v>
      </c>
      <c r="K820" s="7">
        <f t="shared" si="52"/>
        <v>8.8427947598253276</v>
      </c>
    </row>
    <row r="821" spans="1:11" x14ac:dyDescent="0.35">
      <c r="A821">
        <v>2019</v>
      </c>
      <c r="B821">
        <v>3131109</v>
      </c>
      <c r="C821" t="str">
        <f>VLOOKUP(B821,SAEB!$A:$B,2,0)</f>
        <v>Inimutaba</v>
      </c>
      <c r="D821">
        <v>322</v>
      </c>
      <c r="E821">
        <v>0</v>
      </c>
      <c r="F821">
        <v>79</v>
      </c>
      <c r="G821">
        <v>0</v>
      </c>
      <c r="H821" s="7">
        <f t="shared" si="49"/>
        <v>80.299251870324184</v>
      </c>
      <c r="I821" s="7">
        <f t="shared" si="50"/>
        <v>0</v>
      </c>
      <c r="J821" s="7">
        <f t="shared" si="51"/>
        <v>19.700748129675809</v>
      </c>
      <c r="K821" s="7">
        <f t="shared" si="52"/>
        <v>0</v>
      </c>
    </row>
    <row r="822" spans="1:11" x14ac:dyDescent="0.35">
      <c r="A822">
        <v>2019</v>
      </c>
      <c r="B822">
        <v>3131208</v>
      </c>
      <c r="C822" t="str">
        <f>VLOOKUP(B822,SAEB!$A:$B,2,0)</f>
        <v>Ipanema</v>
      </c>
      <c r="D822">
        <v>624</v>
      </c>
      <c r="E822">
        <v>425</v>
      </c>
      <c r="F822">
        <v>37</v>
      </c>
      <c r="G822">
        <v>41</v>
      </c>
      <c r="H822" s="7">
        <f t="shared" si="49"/>
        <v>55.368234250221825</v>
      </c>
      <c r="I822" s="7">
        <f t="shared" si="50"/>
        <v>37.710736468500443</v>
      </c>
      <c r="J822" s="7">
        <f t="shared" si="51"/>
        <v>3.2830523513753325</v>
      </c>
      <c r="K822" s="7">
        <f t="shared" si="52"/>
        <v>3.6379769299023956</v>
      </c>
    </row>
    <row r="823" spans="1:11" x14ac:dyDescent="0.35">
      <c r="A823">
        <v>2019</v>
      </c>
      <c r="B823">
        <v>3131802</v>
      </c>
      <c r="C823" t="str">
        <f>VLOOKUP(B823,SAEB!$A:$B,2,0)</f>
        <v>Itabirinha</v>
      </c>
      <c r="D823">
        <v>522</v>
      </c>
      <c r="E823">
        <v>0</v>
      </c>
      <c r="F823">
        <v>103</v>
      </c>
      <c r="G823">
        <v>0</v>
      </c>
      <c r="H823" s="7">
        <f t="shared" si="49"/>
        <v>83.52000000000001</v>
      </c>
      <c r="I823" s="7">
        <f t="shared" si="50"/>
        <v>0</v>
      </c>
      <c r="J823" s="7">
        <f t="shared" si="51"/>
        <v>16.48</v>
      </c>
      <c r="K823" s="7">
        <f t="shared" si="52"/>
        <v>0</v>
      </c>
    </row>
    <row r="824" spans="1:11" x14ac:dyDescent="0.35">
      <c r="A824">
        <v>2019</v>
      </c>
      <c r="B824">
        <v>3132107</v>
      </c>
      <c r="C824" t="str">
        <f>VLOOKUP(B824,SAEB!$A:$B,2,0)</f>
        <v>Itacarambi</v>
      </c>
      <c r="D824">
        <v>934</v>
      </c>
      <c r="E824">
        <v>806</v>
      </c>
      <c r="F824">
        <v>98</v>
      </c>
      <c r="G824">
        <v>102</v>
      </c>
      <c r="H824" s="7">
        <f t="shared" si="49"/>
        <v>48.144329896907216</v>
      </c>
      <c r="I824" s="7">
        <f t="shared" si="50"/>
        <v>41.546391752577321</v>
      </c>
      <c r="J824" s="7">
        <f t="shared" si="51"/>
        <v>5.0515463917525771</v>
      </c>
      <c r="K824" s="7">
        <f t="shared" si="52"/>
        <v>5.2577319587628866</v>
      </c>
    </row>
    <row r="825" spans="1:11" x14ac:dyDescent="0.35">
      <c r="A825">
        <v>2019</v>
      </c>
      <c r="B825">
        <v>3132305</v>
      </c>
      <c r="C825" t="str">
        <f>VLOOKUP(B825,SAEB!$A:$B,2,0)</f>
        <v>Itaipé</v>
      </c>
      <c r="D825">
        <v>304</v>
      </c>
      <c r="E825">
        <v>425</v>
      </c>
      <c r="F825">
        <v>389</v>
      </c>
      <c r="G825">
        <v>0</v>
      </c>
      <c r="H825" s="7">
        <f t="shared" si="49"/>
        <v>27.191413237924866</v>
      </c>
      <c r="I825" s="7">
        <f t="shared" si="50"/>
        <v>38.014311270125219</v>
      </c>
      <c r="J825" s="7">
        <f t="shared" si="51"/>
        <v>34.794275491949911</v>
      </c>
      <c r="K825" s="7">
        <f t="shared" si="52"/>
        <v>0</v>
      </c>
    </row>
    <row r="826" spans="1:11" x14ac:dyDescent="0.35">
      <c r="A826">
        <v>2019</v>
      </c>
      <c r="B826">
        <v>3132503</v>
      </c>
      <c r="C826" t="str">
        <f>VLOOKUP(B826,SAEB!$A:$B,2,0)</f>
        <v>Itamarandiba</v>
      </c>
      <c r="D826">
        <v>1152</v>
      </c>
      <c r="E826">
        <v>238</v>
      </c>
      <c r="F826">
        <v>274</v>
      </c>
      <c r="G826">
        <v>71</v>
      </c>
      <c r="H826" s="7">
        <f t="shared" si="49"/>
        <v>66.397694524495677</v>
      </c>
      <c r="I826" s="7">
        <f t="shared" si="50"/>
        <v>13.71757925072046</v>
      </c>
      <c r="J826" s="7">
        <f t="shared" si="51"/>
        <v>15.792507204610951</v>
      </c>
      <c r="K826" s="7">
        <f t="shared" si="52"/>
        <v>4.0922190201729114</v>
      </c>
    </row>
    <row r="827" spans="1:11" x14ac:dyDescent="0.35">
      <c r="A827">
        <v>2019</v>
      </c>
      <c r="B827">
        <v>3132701</v>
      </c>
      <c r="C827" t="str">
        <f>VLOOKUP(B827,SAEB!$A:$B,2,0)</f>
        <v>Itambacuri</v>
      </c>
      <c r="D827">
        <v>157</v>
      </c>
      <c r="E827">
        <v>58</v>
      </c>
      <c r="F827">
        <v>389</v>
      </c>
      <c r="G827">
        <v>312</v>
      </c>
      <c r="H827" s="7">
        <f t="shared" si="49"/>
        <v>17.139737991266376</v>
      </c>
      <c r="I827" s="7">
        <f t="shared" si="50"/>
        <v>6.3318777292576414</v>
      </c>
      <c r="J827" s="7">
        <f t="shared" si="51"/>
        <v>42.467248908296945</v>
      </c>
      <c r="K827" s="7">
        <f t="shared" si="52"/>
        <v>34.061135371179041</v>
      </c>
    </row>
    <row r="828" spans="1:11" x14ac:dyDescent="0.35">
      <c r="A828">
        <v>2019</v>
      </c>
      <c r="B828">
        <v>3133204</v>
      </c>
      <c r="C828" t="str">
        <f>VLOOKUP(B828,SAEB!$A:$B,2,0)</f>
        <v>Itanhomi</v>
      </c>
      <c r="D828">
        <v>731</v>
      </c>
      <c r="E828">
        <v>0</v>
      </c>
      <c r="F828">
        <v>30</v>
      </c>
      <c r="G828">
        <v>0</v>
      </c>
      <c r="H828" s="7">
        <f t="shared" si="49"/>
        <v>96.057818659658352</v>
      </c>
      <c r="I828" s="7">
        <f t="shared" si="50"/>
        <v>0</v>
      </c>
      <c r="J828" s="7">
        <f t="shared" si="51"/>
        <v>3.9421813403416559</v>
      </c>
      <c r="K828" s="7">
        <f t="shared" si="52"/>
        <v>0</v>
      </c>
    </row>
    <row r="829" spans="1:11" x14ac:dyDescent="0.35">
      <c r="A829">
        <v>2019</v>
      </c>
      <c r="B829">
        <v>3133303</v>
      </c>
      <c r="C829" t="str">
        <f>VLOOKUP(B829,SAEB!$A:$B,2,0)</f>
        <v>Itaobim</v>
      </c>
      <c r="D829">
        <v>462</v>
      </c>
      <c r="E829">
        <v>142</v>
      </c>
      <c r="F829">
        <v>238</v>
      </c>
      <c r="G829">
        <v>113</v>
      </c>
      <c r="H829" s="7">
        <f t="shared" si="49"/>
        <v>48.376963350785338</v>
      </c>
      <c r="I829" s="7">
        <f t="shared" si="50"/>
        <v>14.869109947643979</v>
      </c>
      <c r="J829" s="7">
        <f t="shared" si="51"/>
        <v>24.921465968586386</v>
      </c>
      <c r="K829" s="7">
        <f t="shared" si="52"/>
        <v>11.832460732984293</v>
      </c>
    </row>
    <row r="830" spans="1:11" x14ac:dyDescent="0.35">
      <c r="A830">
        <v>2019</v>
      </c>
      <c r="B830">
        <v>3134004</v>
      </c>
      <c r="C830" t="str">
        <f>VLOOKUP(B830,SAEB!$A:$B,2,0)</f>
        <v>Itinga</v>
      </c>
      <c r="D830">
        <v>222</v>
      </c>
      <c r="E830">
        <v>0</v>
      </c>
      <c r="F830">
        <v>308</v>
      </c>
      <c r="G830">
        <v>289</v>
      </c>
      <c r="H830" s="7">
        <f t="shared" si="49"/>
        <v>27.106227106227106</v>
      </c>
      <c r="I830" s="7">
        <f t="shared" si="50"/>
        <v>0</v>
      </c>
      <c r="J830" s="7">
        <f t="shared" si="51"/>
        <v>37.606837606837608</v>
      </c>
      <c r="K830" s="7">
        <f t="shared" si="52"/>
        <v>35.286935286935289</v>
      </c>
    </row>
    <row r="831" spans="1:11" x14ac:dyDescent="0.35">
      <c r="A831">
        <v>2019</v>
      </c>
      <c r="B831">
        <v>3134103</v>
      </c>
      <c r="C831" t="str">
        <f>VLOOKUP(B831,SAEB!$A:$B,2,0)</f>
        <v>Itueta</v>
      </c>
      <c r="D831">
        <v>135</v>
      </c>
      <c r="E831">
        <v>106</v>
      </c>
      <c r="F831">
        <v>102</v>
      </c>
      <c r="G831">
        <v>63</v>
      </c>
      <c r="H831" s="7">
        <f t="shared" si="49"/>
        <v>33.251231527093594</v>
      </c>
      <c r="I831" s="7">
        <f t="shared" si="50"/>
        <v>26.108374384236456</v>
      </c>
      <c r="J831" s="7">
        <f t="shared" si="51"/>
        <v>25.123152709359609</v>
      </c>
      <c r="K831" s="7">
        <f t="shared" si="52"/>
        <v>15.517241379310345</v>
      </c>
    </row>
    <row r="832" spans="1:11" x14ac:dyDescent="0.35">
      <c r="A832">
        <v>2019</v>
      </c>
      <c r="B832">
        <v>3134707</v>
      </c>
      <c r="C832" t="str">
        <f>VLOOKUP(B832,SAEB!$A:$B,2,0)</f>
        <v>Jacinto</v>
      </c>
      <c r="D832">
        <v>661</v>
      </c>
      <c r="E832">
        <v>0</v>
      </c>
      <c r="F832">
        <v>68</v>
      </c>
      <c r="G832">
        <v>21</v>
      </c>
      <c r="H832" s="7">
        <f t="shared" si="49"/>
        <v>88.133333333333326</v>
      </c>
      <c r="I832" s="7">
        <f t="shared" si="50"/>
        <v>0</v>
      </c>
      <c r="J832" s="7">
        <f t="shared" si="51"/>
        <v>9.0666666666666664</v>
      </c>
      <c r="K832" s="7">
        <f t="shared" si="52"/>
        <v>2.8000000000000003</v>
      </c>
    </row>
    <row r="833" spans="1:11" x14ac:dyDescent="0.35">
      <c r="A833">
        <v>2019</v>
      </c>
      <c r="B833">
        <v>3135050</v>
      </c>
      <c r="C833" t="str">
        <f>VLOOKUP(B833,SAEB!$A:$B,2,0)</f>
        <v>Jaíba</v>
      </c>
      <c r="D833">
        <v>634</v>
      </c>
      <c r="E833">
        <v>0</v>
      </c>
      <c r="F833">
        <v>361</v>
      </c>
      <c r="G833">
        <v>247</v>
      </c>
      <c r="H833" s="7">
        <f t="shared" si="49"/>
        <v>51.046698872785832</v>
      </c>
      <c r="I833" s="7">
        <f t="shared" si="50"/>
        <v>0</v>
      </c>
      <c r="J833" s="7">
        <f t="shared" si="51"/>
        <v>29.066022544283417</v>
      </c>
      <c r="K833" s="7">
        <f t="shared" si="52"/>
        <v>19.887278582930755</v>
      </c>
    </row>
    <row r="834" spans="1:11" x14ac:dyDescent="0.35">
      <c r="A834">
        <v>2019</v>
      </c>
      <c r="B834">
        <v>3135100</v>
      </c>
      <c r="C834" t="str">
        <f>VLOOKUP(B834,SAEB!$A:$B,2,0)</f>
        <v>Janaúba</v>
      </c>
      <c r="D834">
        <v>1498</v>
      </c>
      <c r="E834">
        <v>516</v>
      </c>
      <c r="F834">
        <v>169</v>
      </c>
      <c r="G834">
        <v>0</v>
      </c>
      <c r="H834" s="7">
        <f t="shared" si="49"/>
        <v>68.621163536417768</v>
      </c>
      <c r="I834" s="7">
        <f t="shared" si="50"/>
        <v>23.63719651855245</v>
      </c>
      <c r="J834" s="7">
        <f t="shared" si="51"/>
        <v>7.7416399450297755</v>
      </c>
      <c r="K834" s="7">
        <f t="shared" si="52"/>
        <v>0</v>
      </c>
    </row>
    <row r="835" spans="1:11" x14ac:dyDescent="0.35">
      <c r="A835">
        <v>2019</v>
      </c>
      <c r="B835">
        <v>3135209</v>
      </c>
      <c r="C835" t="str">
        <f>VLOOKUP(B835,SAEB!$A:$B,2,0)</f>
        <v>Januária</v>
      </c>
      <c r="D835">
        <v>624</v>
      </c>
      <c r="E835">
        <v>353</v>
      </c>
      <c r="F835">
        <v>805</v>
      </c>
      <c r="G835">
        <v>461</v>
      </c>
      <c r="H835" s="7">
        <f t="shared" ref="H835:H898" si="53">D835/SUM($D835:$G835)*100</f>
        <v>27.819884083816316</v>
      </c>
      <c r="I835" s="7">
        <f t="shared" ref="I835:I898" si="54">E835/SUM($D835:$G835)*100</f>
        <v>15.737851092287118</v>
      </c>
      <c r="J835" s="7">
        <f t="shared" ref="J835:J898" si="55">F835/SUM($D835:$G835)*100</f>
        <v>35.889433794025862</v>
      </c>
      <c r="K835" s="7">
        <f t="shared" ref="K835:K898" si="56">G835/SUM($D835:$G835)*100</f>
        <v>20.552831029870706</v>
      </c>
    </row>
    <row r="836" spans="1:11" x14ac:dyDescent="0.35">
      <c r="A836">
        <v>2019</v>
      </c>
      <c r="B836">
        <v>3135357</v>
      </c>
      <c r="C836" t="str">
        <f>VLOOKUP(B836,SAEB!$A:$B,2,0)</f>
        <v>Japonvar</v>
      </c>
      <c r="D836">
        <v>125</v>
      </c>
      <c r="E836">
        <v>142</v>
      </c>
      <c r="F836">
        <v>181</v>
      </c>
      <c r="G836">
        <v>163</v>
      </c>
      <c r="H836" s="7">
        <f t="shared" si="53"/>
        <v>20.458265139116204</v>
      </c>
      <c r="I836" s="7">
        <f t="shared" si="54"/>
        <v>23.240589198036009</v>
      </c>
      <c r="J836" s="7">
        <f t="shared" si="55"/>
        <v>29.623567921440262</v>
      </c>
      <c r="K836" s="7">
        <f t="shared" si="56"/>
        <v>26.677577741407525</v>
      </c>
    </row>
    <row r="837" spans="1:11" x14ac:dyDescent="0.35">
      <c r="A837">
        <v>2019</v>
      </c>
      <c r="B837">
        <v>3135605</v>
      </c>
      <c r="C837" t="str">
        <f>VLOOKUP(B837,SAEB!$A:$B,2,0)</f>
        <v>Jequitaí</v>
      </c>
      <c r="D837">
        <v>369</v>
      </c>
      <c r="E837">
        <v>0</v>
      </c>
      <c r="F837">
        <v>27</v>
      </c>
      <c r="G837">
        <v>0</v>
      </c>
      <c r="H837" s="7">
        <f t="shared" si="53"/>
        <v>93.181818181818173</v>
      </c>
      <c r="I837" s="7">
        <f t="shared" si="54"/>
        <v>0</v>
      </c>
      <c r="J837" s="7">
        <f t="shared" si="55"/>
        <v>6.8181818181818175</v>
      </c>
      <c r="K837" s="7">
        <f t="shared" si="56"/>
        <v>0</v>
      </c>
    </row>
    <row r="838" spans="1:11" x14ac:dyDescent="0.35">
      <c r="A838">
        <v>2019</v>
      </c>
      <c r="B838">
        <v>3135803</v>
      </c>
      <c r="C838" t="str">
        <f>VLOOKUP(B838,SAEB!$A:$B,2,0)</f>
        <v>Jequitinhonha</v>
      </c>
      <c r="D838">
        <v>809</v>
      </c>
      <c r="E838">
        <v>0</v>
      </c>
      <c r="F838">
        <v>215</v>
      </c>
      <c r="G838">
        <v>129</v>
      </c>
      <c r="H838" s="7">
        <f t="shared" si="53"/>
        <v>70.164787510841293</v>
      </c>
      <c r="I838" s="7">
        <f t="shared" si="54"/>
        <v>0</v>
      </c>
      <c r="J838" s="7">
        <f t="shared" si="55"/>
        <v>18.647007805724197</v>
      </c>
      <c r="K838" s="7">
        <f t="shared" si="56"/>
        <v>11.188204683434519</v>
      </c>
    </row>
    <row r="839" spans="1:11" x14ac:dyDescent="0.35">
      <c r="A839">
        <v>2019</v>
      </c>
      <c r="B839">
        <v>3136009</v>
      </c>
      <c r="C839" t="str">
        <f>VLOOKUP(B839,SAEB!$A:$B,2,0)</f>
        <v>Joaíma</v>
      </c>
      <c r="D839">
        <v>703</v>
      </c>
      <c r="E839">
        <v>269</v>
      </c>
      <c r="F839">
        <v>228</v>
      </c>
      <c r="G839">
        <v>133</v>
      </c>
      <c r="H839" s="7">
        <f t="shared" si="53"/>
        <v>52.738184546136537</v>
      </c>
      <c r="I839" s="7">
        <f t="shared" si="54"/>
        <v>20.180045011252815</v>
      </c>
      <c r="J839" s="7">
        <f t="shared" si="55"/>
        <v>17.104276069017253</v>
      </c>
      <c r="K839" s="7">
        <f t="shared" si="56"/>
        <v>9.9774943735933981</v>
      </c>
    </row>
    <row r="840" spans="1:11" x14ac:dyDescent="0.35">
      <c r="A840">
        <v>2019</v>
      </c>
      <c r="B840">
        <v>3136405</v>
      </c>
      <c r="C840" t="str">
        <f>VLOOKUP(B840,SAEB!$A:$B,2,0)</f>
        <v>Joaquim Felício</v>
      </c>
      <c r="D840">
        <v>234</v>
      </c>
      <c r="E840">
        <v>259</v>
      </c>
      <c r="F840">
        <v>0</v>
      </c>
      <c r="G840">
        <v>0</v>
      </c>
      <c r="H840" s="7">
        <f t="shared" si="53"/>
        <v>47.464503042596348</v>
      </c>
      <c r="I840" s="7">
        <f t="shared" si="54"/>
        <v>52.535496957403652</v>
      </c>
      <c r="J840" s="7">
        <f t="shared" si="55"/>
        <v>0</v>
      </c>
      <c r="K840" s="7">
        <f t="shared" si="56"/>
        <v>0</v>
      </c>
    </row>
    <row r="841" spans="1:11" x14ac:dyDescent="0.35">
      <c r="A841">
        <v>2019</v>
      </c>
      <c r="B841">
        <v>3136553</v>
      </c>
      <c r="C841" t="str">
        <f>VLOOKUP(B841,SAEB!$A:$B,2,0)</f>
        <v>José Raydan</v>
      </c>
      <c r="D841">
        <v>184</v>
      </c>
      <c r="E841">
        <v>0</v>
      </c>
      <c r="F841">
        <v>110</v>
      </c>
      <c r="G841">
        <v>0</v>
      </c>
      <c r="H841" s="7">
        <f t="shared" si="53"/>
        <v>62.585034013605444</v>
      </c>
      <c r="I841" s="7">
        <f t="shared" si="54"/>
        <v>0</v>
      </c>
      <c r="J841" s="7">
        <f t="shared" si="55"/>
        <v>37.414965986394563</v>
      </c>
      <c r="K841" s="7">
        <f t="shared" si="56"/>
        <v>0</v>
      </c>
    </row>
    <row r="842" spans="1:11" x14ac:dyDescent="0.35">
      <c r="A842">
        <v>2019</v>
      </c>
      <c r="B842">
        <v>3136801</v>
      </c>
      <c r="C842" t="str">
        <f>VLOOKUP(B842,SAEB!$A:$B,2,0)</f>
        <v>Juramento</v>
      </c>
      <c r="D842">
        <v>203</v>
      </c>
      <c r="E842">
        <v>0</v>
      </c>
      <c r="F842">
        <v>55</v>
      </c>
      <c r="G842">
        <v>0</v>
      </c>
      <c r="H842" s="7">
        <f t="shared" si="53"/>
        <v>78.68217054263566</v>
      </c>
      <c r="I842" s="7">
        <f t="shared" si="54"/>
        <v>0</v>
      </c>
      <c r="J842" s="7">
        <f t="shared" si="55"/>
        <v>21.31782945736434</v>
      </c>
      <c r="K842" s="7">
        <f t="shared" si="56"/>
        <v>0</v>
      </c>
    </row>
    <row r="843" spans="1:11" x14ac:dyDescent="0.35">
      <c r="A843">
        <v>2019</v>
      </c>
      <c r="B843">
        <v>3136959</v>
      </c>
      <c r="C843" t="str">
        <f>VLOOKUP(B843,SAEB!$A:$B,2,0)</f>
        <v>Juvenília</v>
      </c>
      <c r="D843">
        <v>290</v>
      </c>
      <c r="E843">
        <v>129</v>
      </c>
      <c r="F843">
        <v>36</v>
      </c>
      <c r="G843">
        <v>21</v>
      </c>
      <c r="H843" s="7">
        <f t="shared" si="53"/>
        <v>60.924369747899156</v>
      </c>
      <c r="I843" s="7">
        <f t="shared" si="54"/>
        <v>27.100840336134453</v>
      </c>
      <c r="J843" s="7">
        <f t="shared" si="55"/>
        <v>7.5630252100840334</v>
      </c>
      <c r="K843" s="7">
        <f t="shared" si="56"/>
        <v>4.4117647058823533</v>
      </c>
    </row>
    <row r="844" spans="1:11" x14ac:dyDescent="0.35">
      <c r="A844">
        <v>2019</v>
      </c>
      <c r="B844">
        <v>3137007</v>
      </c>
      <c r="C844" t="str">
        <f>VLOOKUP(B844,SAEB!$A:$B,2,0)</f>
        <v>Ladainha</v>
      </c>
      <c r="D844">
        <v>0</v>
      </c>
      <c r="E844">
        <v>0</v>
      </c>
      <c r="F844">
        <v>544</v>
      </c>
      <c r="G844">
        <v>202</v>
      </c>
      <c r="H844" s="7">
        <f t="shared" si="53"/>
        <v>0</v>
      </c>
      <c r="I844" s="7">
        <f t="shared" si="54"/>
        <v>0</v>
      </c>
      <c r="J844" s="7">
        <f t="shared" si="55"/>
        <v>72.922252010723867</v>
      </c>
      <c r="K844" s="7">
        <f t="shared" si="56"/>
        <v>27.077747989276141</v>
      </c>
    </row>
    <row r="845" spans="1:11" x14ac:dyDescent="0.35">
      <c r="A845">
        <v>2019</v>
      </c>
      <c r="B845">
        <v>3137304</v>
      </c>
      <c r="C845" t="str">
        <f>VLOOKUP(B845,SAEB!$A:$B,2,0)</f>
        <v>Lagoa dos Patos</v>
      </c>
      <c r="D845">
        <v>260</v>
      </c>
      <c r="E845">
        <v>0</v>
      </c>
      <c r="F845">
        <v>0</v>
      </c>
      <c r="G845">
        <v>0</v>
      </c>
      <c r="H845" s="7">
        <f t="shared" si="53"/>
        <v>100</v>
      </c>
      <c r="I845" s="7">
        <f t="shared" si="54"/>
        <v>0</v>
      </c>
      <c r="J845" s="7">
        <f t="shared" si="55"/>
        <v>0</v>
      </c>
      <c r="K845" s="7">
        <f t="shared" si="56"/>
        <v>0</v>
      </c>
    </row>
    <row r="846" spans="1:11" x14ac:dyDescent="0.35">
      <c r="A846">
        <v>2019</v>
      </c>
      <c r="B846">
        <v>3138104</v>
      </c>
      <c r="C846" t="str">
        <f>VLOOKUP(B846,SAEB!$A:$B,2,0)</f>
        <v>Lassance</v>
      </c>
      <c r="D846">
        <v>172</v>
      </c>
      <c r="E846">
        <v>0</v>
      </c>
      <c r="F846">
        <v>151</v>
      </c>
      <c r="G846">
        <v>119</v>
      </c>
      <c r="H846" s="7">
        <f t="shared" si="53"/>
        <v>38.914027149321271</v>
      </c>
      <c r="I846" s="7">
        <f t="shared" si="54"/>
        <v>0</v>
      </c>
      <c r="J846" s="7">
        <f t="shared" si="55"/>
        <v>34.162895927601809</v>
      </c>
      <c r="K846" s="7">
        <f t="shared" si="56"/>
        <v>26.923076923076923</v>
      </c>
    </row>
    <row r="847" spans="1:11" x14ac:dyDescent="0.35">
      <c r="A847">
        <v>2019</v>
      </c>
      <c r="B847">
        <v>3138351</v>
      </c>
      <c r="C847" t="str">
        <f>VLOOKUP(B847,SAEB!$A:$B,2,0)</f>
        <v>Leme do Prado</v>
      </c>
      <c r="D847">
        <v>20</v>
      </c>
      <c r="E847">
        <v>0</v>
      </c>
      <c r="F847">
        <v>147</v>
      </c>
      <c r="G847">
        <v>75</v>
      </c>
      <c r="H847" s="7">
        <f t="shared" si="53"/>
        <v>8.2644628099173563</v>
      </c>
      <c r="I847" s="7">
        <f t="shared" si="54"/>
        <v>0</v>
      </c>
      <c r="J847" s="7">
        <f t="shared" si="55"/>
        <v>60.743801652892557</v>
      </c>
      <c r="K847" s="7">
        <f t="shared" si="56"/>
        <v>30.991735537190085</v>
      </c>
    </row>
    <row r="848" spans="1:11" x14ac:dyDescent="0.35">
      <c r="A848">
        <v>2019</v>
      </c>
      <c r="B848">
        <v>3138658</v>
      </c>
      <c r="C848" t="str">
        <f>VLOOKUP(B848,SAEB!$A:$B,2,0)</f>
        <v>Lontra</v>
      </c>
      <c r="D848">
        <v>556</v>
      </c>
      <c r="E848">
        <v>209</v>
      </c>
      <c r="F848">
        <v>47</v>
      </c>
      <c r="G848">
        <v>0</v>
      </c>
      <c r="H848" s="7">
        <f t="shared" si="53"/>
        <v>68.472906403940897</v>
      </c>
      <c r="I848" s="7">
        <f t="shared" si="54"/>
        <v>25.738916256157633</v>
      </c>
      <c r="J848" s="7">
        <f t="shared" si="55"/>
        <v>5.7881773399014778</v>
      </c>
      <c r="K848" s="7">
        <f t="shared" si="56"/>
        <v>0</v>
      </c>
    </row>
    <row r="849" spans="1:11" x14ac:dyDescent="0.35">
      <c r="A849">
        <v>2019</v>
      </c>
      <c r="B849">
        <v>3138906</v>
      </c>
      <c r="C849" t="str">
        <f>VLOOKUP(B849,SAEB!$A:$B,2,0)</f>
        <v>Machacalis</v>
      </c>
      <c r="D849">
        <v>287</v>
      </c>
      <c r="E849">
        <v>0</v>
      </c>
      <c r="F849">
        <v>47</v>
      </c>
      <c r="G849">
        <v>0</v>
      </c>
      <c r="H849" s="7">
        <f t="shared" si="53"/>
        <v>85.928143712574851</v>
      </c>
      <c r="I849" s="7">
        <f t="shared" si="54"/>
        <v>0</v>
      </c>
      <c r="J849" s="7">
        <f t="shared" si="55"/>
        <v>14.071856287425149</v>
      </c>
      <c r="K849" s="7">
        <f t="shared" si="56"/>
        <v>0</v>
      </c>
    </row>
    <row r="850" spans="1:11" x14ac:dyDescent="0.35">
      <c r="A850">
        <v>2019</v>
      </c>
      <c r="B850">
        <v>3139201</v>
      </c>
      <c r="C850" t="str">
        <f>VLOOKUP(B850,SAEB!$A:$B,2,0)</f>
        <v>Malacacheta</v>
      </c>
      <c r="D850">
        <v>153</v>
      </c>
      <c r="E850">
        <v>0</v>
      </c>
      <c r="F850">
        <v>165</v>
      </c>
      <c r="G850">
        <v>130</v>
      </c>
      <c r="H850" s="7">
        <f t="shared" si="53"/>
        <v>34.151785714285715</v>
      </c>
      <c r="I850" s="7">
        <f t="shared" si="54"/>
        <v>0</v>
      </c>
      <c r="J850" s="7">
        <f t="shared" si="55"/>
        <v>36.830357142857146</v>
      </c>
      <c r="K850" s="7">
        <f t="shared" si="56"/>
        <v>29.017857142857146</v>
      </c>
    </row>
    <row r="851" spans="1:11" x14ac:dyDescent="0.35">
      <c r="A851">
        <v>2019</v>
      </c>
      <c r="B851">
        <v>3139250</v>
      </c>
      <c r="C851" t="str">
        <f>VLOOKUP(B851,SAEB!$A:$B,2,0)</f>
        <v>Mamonas</v>
      </c>
      <c r="D851">
        <v>297</v>
      </c>
      <c r="E851">
        <v>0</v>
      </c>
      <c r="F851">
        <v>20</v>
      </c>
      <c r="G851">
        <v>0</v>
      </c>
      <c r="H851" s="7">
        <f t="shared" si="53"/>
        <v>93.690851735015769</v>
      </c>
      <c r="I851" s="7">
        <f t="shared" si="54"/>
        <v>0</v>
      </c>
      <c r="J851" s="7">
        <f t="shared" si="55"/>
        <v>6.309148264984227</v>
      </c>
      <c r="K851" s="7">
        <f t="shared" si="56"/>
        <v>0</v>
      </c>
    </row>
    <row r="852" spans="1:11" x14ac:dyDescent="0.35">
      <c r="A852">
        <v>2019</v>
      </c>
      <c r="B852">
        <v>3139300</v>
      </c>
      <c r="C852" t="str">
        <f>VLOOKUP(B852,SAEB!$A:$B,2,0)</f>
        <v>Manga</v>
      </c>
      <c r="D852">
        <v>524</v>
      </c>
      <c r="E852">
        <v>304</v>
      </c>
      <c r="F852">
        <v>304</v>
      </c>
      <c r="G852">
        <v>160</v>
      </c>
      <c r="H852" s="7">
        <f t="shared" si="53"/>
        <v>40.557275541795669</v>
      </c>
      <c r="I852" s="7">
        <f t="shared" si="54"/>
        <v>23.52941176470588</v>
      </c>
      <c r="J852" s="7">
        <f t="shared" si="55"/>
        <v>23.52941176470588</v>
      </c>
      <c r="K852" s="7">
        <f t="shared" si="56"/>
        <v>12.383900928792571</v>
      </c>
    </row>
    <row r="853" spans="1:11" x14ac:dyDescent="0.35">
      <c r="A853">
        <v>2019</v>
      </c>
      <c r="B853">
        <v>3139607</v>
      </c>
      <c r="C853" t="str">
        <f>VLOOKUP(B853,SAEB!$A:$B,2,0)</f>
        <v>Mantena</v>
      </c>
      <c r="D853">
        <v>1449</v>
      </c>
      <c r="E853">
        <v>498</v>
      </c>
      <c r="F853">
        <v>179</v>
      </c>
      <c r="G853">
        <v>124</v>
      </c>
      <c r="H853" s="7">
        <f t="shared" si="53"/>
        <v>64.400000000000006</v>
      </c>
      <c r="I853" s="7">
        <f t="shared" si="54"/>
        <v>22.133333333333333</v>
      </c>
      <c r="J853" s="7">
        <f t="shared" si="55"/>
        <v>7.9555555555555557</v>
      </c>
      <c r="K853" s="7">
        <f t="shared" si="56"/>
        <v>5.5111111111111111</v>
      </c>
    </row>
    <row r="854" spans="1:11" x14ac:dyDescent="0.35">
      <c r="A854">
        <v>2019</v>
      </c>
      <c r="B854">
        <v>3140100</v>
      </c>
      <c r="C854" t="str">
        <f>VLOOKUP(B854,SAEB!$A:$B,2,0)</f>
        <v>Marilac</v>
      </c>
      <c r="D854">
        <v>321</v>
      </c>
      <c r="E854">
        <v>0</v>
      </c>
      <c r="F854">
        <v>0</v>
      </c>
      <c r="G854">
        <v>0</v>
      </c>
      <c r="H854" s="7">
        <f t="shared" si="53"/>
        <v>100</v>
      </c>
      <c r="I854" s="7">
        <f t="shared" si="54"/>
        <v>0</v>
      </c>
      <c r="J854" s="7">
        <f t="shared" si="55"/>
        <v>0</v>
      </c>
      <c r="K854" s="7">
        <f t="shared" si="56"/>
        <v>0</v>
      </c>
    </row>
    <row r="855" spans="1:11" x14ac:dyDescent="0.35">
      <c r="A855">
        <v>2019</v>
      </c>
      <c r="B855">
        <v>3140605</v>
      </c>
      <c r="C855" t="str">
        <f>VLOOKUP(B855,SAEB!$A:$B,2,0)</f>
        <v>Materlândia</v>
      </c>
      <c r="D855">
        <v>218</v>
      </c>
      <c r="E855">
        <v>0</v>
      </c>
      <c r="F855">
        <v>103</v>
      </c>
      <c r="G855">
        <v>39</v>
      </c>
      <c r="H855" s="7">
        <f t="shared" si="53"/>
        <v>60.55555555555555</v>
      </c>
      <c r="I855" s="7">
        <f t="shared" si="54"/>
        <v>0</v>
      </c>
      <c r="J855" s="7">
        <f t="shared" si="55"/>
        <v>28.611111111111111</v>
      </c>
      <c r="K855" s="7">
        <f t="shared" si="56"/>
        <v>10.833333333333334</v>
      </c>
    </row>
    <row r="856" spans="1:11" x14ac:dyDescent="0.35">
      <c r="A856">
        <v>2019</v>
      </c>
      <c r="B856">
        <v>3171501</v>
      </c>
      <c r="C856" t="str">
        <f>VLOOKUP(B856,SAEB!$A:$B,2,0)</f>
        <v>Mathias Lobato</v>
      </c>
      <c r="D856">
        <v>264</v>
      </c>
      <c r="E856">
        <v>0</v>
      </c>
      <c r="F856">
        <v>0</v>
      </c>
      <c r="G856">
        <v>0</v>
      </c>
      <c r="H856" s="7">
        <f t="shared" si="53"/>
        <v>100</v>
      </c>
      <c r="I856" s="7">
        <f t="shared" si="54"/>
        <v>0</v>
      </c>
      <c r="J856" s="7">
        <f t="shared" si="55"/>
        <v>0</v>
      </c>
      <c r="K856" s="7">
        <f t="shared" si="56"/>
        <v>0</v>
      </c>
    </row>
    <row r="857" spans="1:11" x14ac:dyDescent="0.35">
      <c r="A857">
        <v>2019</v>
      </c>
      <c r="B857">
        <v>3140852</v>
      </c>
      <c r="C857" t="str">
        <f>VLOOKUP(B857,SAEB!$A:$B,2,0)</f>
        <v>Matias Cardoso</v>
      </c>
      <c r="D857">
        <v>410</v>
      </c>
      <c r="E857">
        <v>299</v>
      </c>
      <c r="F857">
        <v>99</v>
      </c>
      <c r="G857">
        <v>0</v>
      </c>
      <c r="H857" s="7">
        <f t="shared" si="53"/>
        <v>50.742574257425744</v>
      </c>
      <c r="I857" s="7">
        <f t="shared" si="54"/>
        <v>37.004950495049506</v>
      </c>
      <c r="J857" s="7">
        <f t="shared" si="55"/>
        <v>12.252475247524753</v>
      </c>
      <c r="K857" s="7">
        <f t="shared" si="56"/>
        <v>0</v>
      </c>
    </row>
    <row r="858" spans="1:11" x14ac:dyDescent="0.35">
      <c r="A858">
        <v>2019</v>
      </c>
      <c r="B858">
        <v>3141009</v>
      </c>
      <c r="C858" t="str">
        <f>VLOOKUP(B858,SAEB!$A:$B,2,0)</f>
        <v>Mato Verde</v>
      </c>
      <c r="D858">
        <v>295</v>
      </c>
      <c r="E858">
        <v>0</v>
      </c>
      <c r="F858">
        <v>83</v>
      </c>
      <c r="G858">
        <v>0</v>
      </c>
      <c r="H858" s="7">
        <f t="shared" si="53"/>
        <v>78.042328042328052</v>
      </c>
      <c r="I858" s="7">
        <f t="shared" si="54"/>
        <v>0</v>
      </c>
      <c r="J858" s="7">
        <f t="shared" si="55"/>
        <v>21.957671957671955</v>
      </c>
      <c r="K858" s="7">
        <f t="shared" si="56"/>
        <v>0</v>
      </c>
    </row>
    <row r="859" spans="1:11" x14ac:dyDescent="0.35">
      <c r="A859">
        <v>2019</v>
      </c>
      <c r="B859">
        <v>3141405</v>
      </c>
      <c r="C859" t="str">
        <f>VLOOKUP(B859,SAEB!$A:$B,2,0)</f>
        <v>Medina</v>
      </c>
      <c r="D859">
        <v>602</v>
      </c>
      <c r="E859">
        <v>0</v>
      </c>
      <c r="F859">
        <v>175</v>
      </c>
      <c r="G859">
        <v>0</v>
      </c>
      <c r="H859" s="7">
        <f t="shared" si="53"/>
        <v>77.477477477477478</v>
      </c>
      <c r="I859" s="7">
        <f t="shared" si="54"/>
        <v>0</v>
      </c>
      <c r="J859" s="7">
        <f t="shared" si="55"/>
        <v>22.522522522522522</v>
      </c>
      <c r="K859" s="7">
        <f t="shared" si="56"/>
        <v>0</v>
      </c>
    </row>
    <row r="860" spans="1:11" x14ac:dyDescent="0.35">
      <c r="A860">
        <v>2019</v>
      </c>
      <c r="B860">
        <v>3141504</v>
      </c>
      <c r="C860" t="str">
        <f>VLOOKUP(B860,SAEB!$A:$B,2,0)</f>
        <v>Mendes Pimentel</v>
      </c>
      <c r="D860">
        <v>225</v>
      </c>
      <c r="E860">
        <v>0</v>
      </c>
      <c r="F860">
        <v>93</v>
      </c>
      <c r="G860">
        <v>0</v>
      </c>
      <c r="H860" s="7">
        <f t="shared" si="53"/>
        <v>70.754716981132077</v>
      </c>
      <c r="I860" s="7">
        <f t="shared" si="54"/>
        <v>0</v>
      </c>
      <c r="J860" s="7">
        <f t="shared" si="55"/>
        <v>29.245283018867923</v>
      </c>
      <c r="K860" s="7">
        <f t="shared" si="56"/>
        <v>0</v>
      </c>
    </row>
    <row r="861" spans="1:11" x14ac:dyDescent="0.35">
      <c r="A861">
        <v>2019</v>
      </c>
      <c r="B861">
        <v>3141801</v>
      </c>
      <c r="C861" t="str">
        <f>VLOOKUP(B861,SAEB!$A:$B,2,0)</f>
        <v>Minas Novas</v>
      </c>
      <c r="D861">
        <v>194</v>
      </c>
      <c r="E861">
        <v>234</v>
      </c>
      <c r="F861">
        <v>420</v>
      </c>
      <c r="G861">
        <v>152</v>
      </c>
      <c r="H861" s="7">
        <f t="shared" si="53"/>
        <v>19.400000000000002</v>
      </c>
      <c r="I861" s="7">
        <f t="shared" si="54"/>
        <v>23.400000000000002</v>
      </c>
      <c r="J861" s="7">
        <f t="shared" si="55"/>
        <v>42</v>
      </c>
      <c r="K861" s="7">
        <f t="shared" si="56"/>
        <v>15.2</v>
      </c>
    </row>
    <row r="862" spans="1:11" x14ac:dyDescent="0.35">
      <c r="A862">
        <v>2019</v>
      </c>
      <c r="B862">
        <v>3142007</v>
      </c>
      <c r="C862" t="str">
        <f>VLOOKUP(B862,SAEB!$A:$B,2,0)</f>
        <v>Mirabela</v>
      </c>
      <c r="D862">
        <v>453</v>
      </c>
      <c r="E862">
        <v>0</v>
      </c>
      <c r="F862">
        <v>99</v>
      </c>
      <c r="G862">
        <v>97</v>
      </c>
      <c r="H862" s="7">
        <f t="shared" si="53"/>
        <v>69.799691833590146</v>
      </c>
      <c r="I862" s="7">
        <f t="shared" si="54"/>
        <v>0</v>
      </c>
      <c r="J862" s="7">
        <f t="shared" si="55"/>
        <v>15.254237288135593</v>
      </c>
      <c r="K862" s="7">
        <f t="shared" si="56"/>
        <v>14.946070878274268</v>
      </c>
    </row>
    <row r="863" spans="1:11" x14ac:dyDescent="0.35">
      <c r="A863">
        <v>2019</v>
      </c>
      <c r="B863">
        <v>3142254</v>
      </c>
      <c r="C863" t="str">
        <f>VLOOKUP(B863,SAEB!$A:$B,2,0)</f>
        <v>Miravânia</v>
      </c>
      <c r="D863">
        <v>0</v>
      </c>
      <c r="E863">
        <v>0</v>
      </c>
      <c r="F863">
        <v>128</v>
      </c>
      <c r="G863">
        <v>158</v>
      </c>
      <c r="H863" s="7">
        <f t="shared" si="53"/>
        <v>0</v>
      </c>
      <c r="I863" s="7">
        <f t="shared" si="54"/>
        <v>0</v>
      </c>
      <c r="J863" s="7">
        <f t="shared" si="55"/>
        <v>44.755244755244753</v>
      </c>
      <c r="K863" s="7">
        <f t="shared" si="56"/>
        <v>55.24475524475524</v>
      </c>
    </row>
    <row r="864" spans="1:11" x14ac:dyDescent="0.35">
      <c r="A864">
        <v>2019</v>
      </c>
      <c r="B864">
        <v>3142502</v>
      </c>
      <c r="C864" t="str">
        <f>VLOOKUP(B864,SAEB!$A:$B,2,0)</f>
        <v>Monjolos</v>
      </c>
      <c r="D864">
        <v>90</v>
      </c>
      <c r="E864">
        <v>0</v>
      </c>
      <c r="F864">
        <v>1</v>
      </c>
      <c r="G864">
        <v>0</v>
      </c>
      <c r="H864" s="7">
        <f t="shared" si="53"/>
        <v>98.901098901098905</v>
      </c>
      <c r="I864" s="7">
        <f t="shared" si="54"/>
        <v>0</v>
      </c>
      <c r="J864" s="7">
        <f t="shared" si="55"/>
        <v>1.098901098901099</v>
      </c>
      <c r="K864" s="7">
        <f t="shared" si="56"/>
        <v>0</v>
      </c>
    </row>
    <row r="865" spans="1:11" x14ac:dyDescent="0.35">
      <c r="A865">
        <v>2019</v>
      </c>
      <c r="B865">
        <v>3142700</v>
      </c>
      <c r="C865" t="str">
        <f>VLOOKUP(B865,SAEB!$A:$B,2,0)</f>
        <v>Montalvânia</v>
      </c>
      <c r="D865">
        <v>219</v>
      </c>
      <c r="E865">
        <v>59</v>
      </c>
      <c r="F865">
        <v>152</v>
      </c>
      <c r="G865">
        <v>27</v>
      </c>
      <c r="H865" s="7">
        <f t="shared" si="53"/>
        <v>47.921225382932164</v>
      </c>
      <c r="I865" s="7">
        <f t="shared" si="54"/>
        <v>12.910284463894966</v>
      </c>
      <c r="J865" s="7">
        <f t="shared" si="55"/>
        <v>33.260393873085334</v>
      </c>
      <c r="K865" s="7">
        <f t="shared" si="56"/>
        <v>5.9080962800875279</v>
      </c>
    </row>
    <row r="866" spans="1:11" x14ac:dyDescent="0.35">
      <c r="A866">
        <v>2019</v>
      </c>
      <c r="B866">
        <v>3143153</v>
      </c>
      <c r="C866" t="str">
        <f>VLOOKUP(B866,SAEB!$A:$B,2,0)</f>
        <v>Monte Formoso</v>
      </c>
      <c r="D866">
        <v>179</v>
      </c>
      <c r="E866">
        <v>0</v>
      </c>
      <c r="F866">
        <v>145</v>
      </c>
      <c r="G866">
        <v>0</v>
      </c>
      <c r="H866" s="7">
        <f t="shared" si="53"/>
        <v>55.246913580246911</v>
      </c>
      <c r="I866" s="7">
        <f t="shared" si="54"/>
        <v>0</v>
      </c>
      <c r="J866" s="7">
        <f t="shared" si="55"/>
        <v>44.753086419753089</v>
      </c>
      <c r="K866" s="7">
        <f t="shared" si="56"/>
        <v>0</v>
      </c>
    </row>
    <row r="867" spans="1:11" x14ac:dyDescent="0.35">
      <c r="A867">
        <v>2019</v>
      </c>
      <c r="B867">
        <v>3143302</v>
      </c>
      <c r="C867" t="str">
        <f>VLOOKUP(B867,SAEB!$A:$B,2,0)</f>
        <v>Montes Claros</v>
      </c>
      <c r="D867">
        <v>9365</v>
      </c>
      <c r="E867">
        <v>5626</v>
      </c>
      <c r="F867">
        <v>1333</v>
      </c>
      <c r="G867">
        <v>842</v>
      </c>
      <c r="H867" s="7">
        <f t="shared" si="53"/>
        <v>54.555516719095884</v>
      </c>
      <c r="I867" s="7">
        <f t="shared" si="54"/>
        <v>32.774088314109285</v>
      </c>
      <c r="J867" s="7">
        <f t="shared" si="55"/>
        <v>7.7653501106839107</v>
      </c>
      <c r="K867" s="7">
        <f t="shared" si="56"/>
        <v>4.9050448561109166</v>
      </c>
    </row>
    <row r="868" spans="1:11" x14ac:dyDescent="0.35">
      <c r="A868">
        <v>2019</v>
      </c>
      <c r="B868">
        <v>3143450</v>
      </c>
      <c r="C868" t="str">
        <f>VLOOKUP(B868,SAEB!$A:$B,2,0)</f>
        <v>Montezuma</v>
      </c>
      <c r="D868">
        <v>258</v>
      </c>
      <c r="E868">
        <v>0</v>
      </c>
      <c r="F868">
        <v>132</v>
      </c>
      <c r="G868">
        <v>0</v>
      </c>
      <c r="H868" s="7">
        <f t="shared" si="53"/>
        <v>66.153846153846146</v>
      </c>
      <c r="I868" s="7">
        <f t="shared" si="54"/>
        <v>0</v>
      </c>
      <c r="J868" s="7">
        <f t="shared" si="55"/>
        <v>33.846153846153847</v>
      </c>
      <c r="K868" s="7">
        <f t="shared" si="56"/>
        <v>0</v>
      </c>
    </row>
    <row r="869" spans="1:11" x14ac:dyDescent="0.35">
      <c r="A869">
        <v>2019</v>
      </c>
      <c r="B869">
        <v>3143609</v>
      </c>
      <c r="C869" t="str">
        <f>VLOOKUP(B869,SAEB!$A:$B,2,0)</f>
        <v>Morro da Garça</v>
      </c>
      <c r="D869">
        <v>147</v>
      </c>
      <c r="E869">
        <v>164</v>
      </c>
      <c r="F869">
        <v>17</v>
      </c>
      <c r="G869">
        <v>15</v>
      </c>
      <c r="H869" s="7">
        <f t="shared" si="53"/>
        <v>42.857142857142854</v>
      </c>
      <c r="I869" s="7">
        <f t="shared" si="54"/>
        <v>47.813411078717202</v>
      </c>
      <c r="J869" s="7">
        <f t="shared" si="55"/>
        <v>4.9562682215743443</v>
      </c>
      <c r="K869" s="7">
        <f t="shared" si="56"/>
        <v>4.3731778425655978</v>
      </c>
    </row>
    <row r="870" spans="1:11" x14ac:dyDescent="0.35">
      <c r="A870">
        <v>2019</v>
      </c>
      <c r="B870">
        <v>3144003</v>
      </c>
      <c r="C870" t="str">
        <f>VLOOKUP(B870,SAEB!$A:$B,2,0)</f>
        <v>Mutum</v>
      </c>
      <c r="D870">
        <v>462</v>
      </c>
      <c r="E870">
        <v>0</v>
      </c>
      <c r="F870">
        <v>347</v>
      </c>
      <c r="G870">
        <v>114</v>
      </c>
      <c r="H870" s="7">
        <f t="shared" si="53"/>
        <v>50.054171180931739</v>
      </c>
      <c r="I870" s="7">
        <f t="shared" si="54"/>
        <v>0</v>
      </c>
      <c r="J870" s="7">
        <f t="shared" si="55"/>
        <v>37.594799566630556</v>
      </c>
      <c r="K870" s="7">
        <f t="shared" si="56"/>
        <v>12.351029252437703</v>
      </c>
    </row>
    <row r="871" spans="1:11" x14ac:dyDescent="0.35">
      <c r="A871">
        <v>2019</v>
      </c>
      <c r="B871">
        <v>3144201</v>
      </c>
      <c r="C871" t="str">
        <f>VLOOKUP(B871,SAEB!$A:$B,2,0)</f>
        <v>Nacip Raydan</v>
      </c>
      <c r="D871">
        <v>162</v>
      </c>
      <c r="E871">
        <v>0</v>
      </c>
      <c r="F871">
        <v>8</v>
      </c>
      <c r="G871">
        <v>0</v>
      </c>
      <c r="H871" s="7">
        <f t="shared" si="53"/>
        <v>95.294117647058812</v>
      </c>
      <c r="I871" s="7">
        <f t="shared" si="54"/>
        <v>0</v>
      </c>
      <c r="J871" s="7">
        <f t="shared" si="55"/>
        <v>4.7058823529411766</v>
      </c>
      <c r="K871" s="7">
        <f t="shared" si="56"/>
        <v>0</v>
      </c>
    </row>
    <row r="872" spans="1:11" x14ac:dyDescent="0.35">
      <c r="A872">
        <v>2019</v>
      </c>
      <c r="B872">
        <v>3144300</v>
      </c>
      <c r="C872" t="str">
        <f>VLOOKUP(B872,SAEB!$A:$B,2,0)</f>
        <v>Nanuque</v>
      </c>
      <c r="D872">
        <v>422</v>
      </c>
      <c r="E872">
        <v>415</v>
      </c>
      <c r="F872">
        <v>129</v>
      </c>
      <c r="G872">
        <v>107</v>
      </c>
      <c r="H872" s="7">
        <f t="shared" si="53"/>
        <v>39.328984156570364</v>
      </c>
      <c r="I872" s="7">
        <f t="shared" si="54"/>
        <v>38.676607642124885</v>
      </c>
      <c r="J872" s="7">
        <f t="shared" si="55"/>
        <v>12.022367194780987</v>
      </c>
      <c r="K872" s="7">
        <f t="shared" si="56"/>
        <v>9.9720410065237655</v>
      </c>
    </row>
    <row r="873" spans="1:11" x14ac:dyDescent="0.35">
      <c r="A873">
        <v>2019</v>
      </c>
      <c r="B873">
        <v>3144359</v>
      </c>
      <c r="C873" t="str">
        <f>VLOOKUP(B873,SAEB!$A:$B,2,0)</f>
        <v>Naque</v>
      </c>
      <c r="D873">
        <v>507</v>
      </c>
      <c r="E873">
        <v>0</v>
      </c>
      <c r="F873">
        <v>0</v>
      </c>
      <c r="G873">
        <v>0</v>
      </c>
      <c r="H873" s="7">
        <f t="shared" si="53"/>
        <v>100</v>
      </c>
      <c r="I873" s="7">
        <f t="shared" si="54"/>
        <v>0</v>
      </c>
      <c r="J873" s="7">
        <f t="shared" si="55"/>
        <v>0</v>
      </c>
      <c r="K873" s="7">
        <f t="shared" si="56"/>
        <v>0</v>
      </c>
    </row>
    <row r="874" spans="1:11" x14ac:dyDescent="0.35">
      <c r="A874">
        <v>2019</v>
      </c>
      <c r="B874">
        <v>3144375</v>
      </c>
      <c r="C874" t="str">
        <f>VLOOKUP(B874,SAEB!$A:$B,2,0)</f>
        <v>Natalândia</v>
      </c>
      <c r="D874">
        <v>249</v>
      </c>
      <c r="E874">
        <v>0</v>
      </c>
      <c r="F874">
        <v>0</v>
      </c>
      <c r="G874">
        <v>0</v>
      </c>
      <c r="H874" s="7">
        <f t="shared" si="53"/>
        <v>100</v>
      </c>
      <c r="I874" s="7">
        <f t="shared" si="54"/>
        <v>0</v>
      </c>
      <c r="J874" s="7">
        <f t="shared" si="55"/>
        <v>0</v>
      </c>
      <c r="K874" s="7">
        <f t="shared" si="56"/>
        <v>0</v>
      </c>
    </row>
    <row r="875" spans="1:11" x14ac:dyDescent="0.35">
      <c r="A875">
        <v>2019</v>
      </c>
      <c r="B875">
        <v>3144656</v>
      </c>
      <c r="C875" t="str">
        <f>VLOOKUP(B875,SAEB!$A:$B,2,0)</f>
        <v>Ninheira</v>
      </c>
      <c r="D875">
        <v>331</v>
      </c>
      <c r="E875">
        <v>0</v>
      </c>
      <c r="F875">
        <v>265</v>
      </c>
      <c r="G875">
        <v>0</v>
      </c>
      <c r="H875" s="7">
        <f t="shared" si="53"/>
        <v>55.536912751677846</v>
      </c>
      <c r="I875" s="7">
        <f t="shared" si="54"/>
        <v>0</v>
      </c>
      <c r="J875" s="7">
        <f t="shared" si="55"/>
        <v>44.463087248322147</v>
      </c>
      <c r="K875" s="7">
        <f t="shared" si="56"/>
        <v>0</v>
      </c>
    </row>
    <row r="876" spans="1:11" x14ac:dyDescent="0.35">
      <c r="A876">
        <v>2019</v>
      </c>
      <c r="B876">
        <v>3144672</v>
      </c>
      <c r="C876" t="str">
        <f>VLOOKUP(B876,SAEB!$A:$B,2,0)</f>
        <v>Nova Belém</v>
      </c>
      <c r="D876">
        <v>164</v>
      </c>
      <c r="E876">
        <v>0</v>
      </c>
      <c r="F876">
        <v>88</v>
      </c>
      <c r="G876">
        <v>0</v>
      </c>
      <c r="H876" s="7">
        <f t="shared" si="53"/>
        <v>65.079365079365076</v>
      </c>
      <c r="I876" s="7">
        <f t="shared" si="54"/>
        <v>0</v>
      </c>
      <c r="J876" s="7">
        <f t="shared" si="55"/>
        <v>34.920634920634917</v>
      </c>
      <c r="K876" s="7">
        <f t="shared" si="56"/>
        <v>0</v>
      </c>
    </row>
    <row r="877" spans="1:11" x14ac:dyDescent="0.35">
      <c r="A877">
        <v>2019</v>
      </c>
      <c r="B877">
        <v>3145059</v>
      </c>
      <c r="C877" t="str">
        <f>VLOOKUP(B877,SAEB!$A:$B,2,0)</f>
        <v>Nova Porteirinha</v>
      </c>
      <c r="D877">
        <v>204</v>
      </c>
      <c r="E877">
        <v>54</v>
      </c>
      <c r="F877">
        <v>143</v>
      </c>
      <c r="G877">
        <v>0</v>
      </c>
      <c r="H877" s="7">
        <f t="shared" si="53"/>
        <v>50.872817955112218</v>
      </c>
      <c r="I877" s="7">
        <f t="shared" si="54"/>
        <v>13.466334164588527</v>
      </c>
      <c r="J877" s="7">
        <f t="shared" si="55"/>
        <v>35.660847880299251</v>
      </c>
      <c r="K877" s="7">
        <f t="shared" si="56"/>
        <v>0</v>
      </c>
    </row>
    <row r="878" spans="1:11" x14ac:dyDescent="0.35">
      <c r="A878">
        <v>2019</v>
      </c>
      <c r="B878">
        <v>3145356</v>
      </c>
      <c r="C878" t="str">
        <f>VLOOKUP(B878,SAEB!$A:$B,2,0)</f>
        <v>Novo Oriente de Minas</v>
      </c>
      <c r="D878">
        <v>225</v>
      </c>
      <c r="E878">
        <v>0</v>
      </c>
      <c r="F878">
        <v>273</v>
      </c>
      <c r="G878">
        <v>87</v>
      </c>
      <c r="H878" s="7">
        <f t="shared" si="53"/>
        <v>38.461538461538467</v>
      </c>
      <c r="I878" s="7">
        <f t="shared" si="54"/>
        <v>0</v>
      </c>
      <c r="J878" s="7">
        <f t="shared" si="55"/>
        <v>46.666666666666664</v>
      </c>
      <c r="K878" s="7">
        <f t="shared" si="56"/>
        <v>14.871794871794872</v>
      </c>
    </row>
    <row r="879" spans="1:11" x14ac:dyDescent="0.35">
      <c r="A879">
        <v>2019</v>
      </c>
      <c r="B879">
        <v>3145372</v>
      </c>
      <c r="C879" t="str">
        <f>VLOOKUP(B879,SAEB!$A:$B,2,0)</f>
        <v>Novorizonte</v>
      </c>
      <c r="D879">
        <v>0</v>
      </c>
      <c r="E879">
        <v>0</v>
      </c>
      <c r="F879">
        <v>305</v>
      </c>
      <c r="G879">
        <v>93</v>
      </c>
      <c r="H879" s="7">
        <f t="shared" si="53"/>
        <v>0</v>
      </c>
      <c r="I879" s="7">
        <f t="shared" si="54"/>
        <v>0</v>
      </c>
      <c r="J879" s="7">
        <f t="shared" si="55"/>
        <v>76.633165829145739</v>
      </c>
      <c r="K879" s="7">
        <f t="shared" si="56"/>
        <v>23.366834170854272</v>
      </c>
    </row>
    <row r="880" spans="1:11" x14ac:dyDescent="0.35">
      <c r="A880">
        <v>2019</v>
      </c>
      <c r="B880">
        <v>3145455</v>
      </c>
      <c r="C880" t="str">
        <f>VLOOKUP(B880,SAEB!$A:$B,2,0)</f>
        <v>Olhos-d'Água</v>
      </c>
      <c r="D880">
        <v>345</v>
      </c>
      <c r="E880">
        <v>0</v>
      </c>
      <c r="F880">
        <v>78</v>
      </c>
      <c r="G880">
        <v>0</v>
      </c>
      <c r="H880" s="7">
        <f t="shared" si="53"/>
        <v>81.560283687943254</v>
      </c>
      <c r="I880" s="7">
        <f t="shared" si="54"/>
        <v>0</v>
      </c>
      <c r="J880" s="7">
        <f t="shared" si="55"/>
        <v>18.439716312056735</v>
      </c>
      <c r="K880" s="7">
        <f t="shared" si="56"/>
        <v>0</v>
      </c>
    </row>
    <row r="881" spans="1:11" x14ac:dyDescent="0.35">
      <c r="A881">
        <v>2019</v>
      </c>
      <c r="B881">
        <v>3146305</v>
      </c>
      <c r="C881" t="str">
        <f>VLOOKUP(B881,SAEB!$A:$B,2,0)</f>
        <v>Padre Paraíso</v>
      </c>
      <c r="D881">
        <v>376</v>
      </c>
      <c r="E881">
        <v>0</v>
      </c>
      <c r="F881">
        <v>384</v>
      </c>
      <c r="G881">
        <v>432</v>
      </c>
      <c r="H881" s="7">
        <f t="shared" si="53"/>
        <v>31.543624161073826</v>
      </c>
      <c r="I881" s="7">
        <f t="shared" si="54"/>
        <v>0</v>
      </c>
      <c r="J881" s="7">
        <f t="shared" si="55"/>
        <v>32.214765100671137</v>
      </c>
      <c r="K881" s="7">
        <f t="shared" si="56"/>
        <v>36.241610738255034</v>
      </c>
    </row>
    <row r="882" spans="1:11" x14ac:dyDescent="0.35">
      <c r="A882">
        <v>2019</v>
      </c>
      <c r="B882">
        <v>3146552</v>
      </c>
      <c r="C882" t="str">
        <f>VLOOKUP(B882,SAEB!$A:$B,2,0)</f>
        <v>Pai Pedro</v>
      </c>
      <c r="D882">
        <v>285</v>
      </c>
      <c r="E882">
        <v>0</v>
      </c>
      <c r="F882">
        <v>155</v>
      </c>
      <c r="G882">
        <v>154</v>
      </c>
      <c r="H882" s="7">
        <f t="shared" si="53"/>
        <v>47.979797979797979</v>
      </c>
      <c r="I882" s="7">
        <f t="shared" si="54"/>
        <v>0</v>
      </c>
      <c r="J882" s="7">
        <f t="shared" si="55"/>
        <v>26.094276094276093</v>
      </c>
      <c r="K882" s="7">
        <f t="shared" si="56"/>
        <v>25.925925925925924</v>
      </c>
    </row>
    <row r="883" spans="1:11" x14ac:dyDescent="0.35">
      <c r="A883">
        <v>2019</v>
      </c>
      <c r="B883">
        <v>3146750</v>
      </c>
      <c r="C883" t="str">
        <f>VLOOKUP(B883,SAEB!$A:$B,2,0)</f>
        <v>Palmópolis</v>
      </c>
      <c r="D883">
        <v>361</v>
      </c>
      <c r="E883">
        <v>31</v>
      </c>
      <c r="F883">
        <v>10</v>
      </c>
      <c r="G883">
        <v>0</v>
      </c>
      <c r="H883" s="7">
        <f t="shared" si="53"/>
        <v>89.800995024875618</v>
      </c>
      <c r="I883" s="7">
        <f t="shared" si="54"/>
        <v>7.7114427860696511</v>
      </c>
      <c r="J883" s="7">
        <f t="shared" si="55"/>
        <v>2.4875621890547266</v>
      </c>
      <c r="K883" s="7">
        <f t="shared" si="56"/>
        <v>0</v>
      </c>
    </row>
    <row r="884" spans="1:11" x14ac:dyDescent="0.35">
      <c r="A884">
        <v>2019</v>
      </c>
      <c r="B884">
        <v>3147956</v>
      </c>
      <c r="C884" t="str">
        <f>VLOOKUP(B884,SAEB!$A:$B,2,0)</f>
        <v>Patis</v>
      </c>
      <c r="D884">
        <v>183</v>
      </c>
      <c r="E884">
        <v>123</v>
      </c>
      <c r="F884">
        <v>75</v>
      </c>
      <c r="G884">
        <v>87</v>
      </c>
      <c r="H884" s="7">
        <f t="shared" si="53"/>
        <v>39.102564102564102</v>
      </c>
      <c r="I884" s="7">
        <f t="shared" si="54"/>
        <v>26.282051282051285</v>
      </c>
      <c r="J884" s="7">
        <f t="shared" si="55"/>
        <v>16.025641025641026</v>
      </c>
      <c r="K884" s="7">
        <f t="shared" si="56"/>
        <v>18.589743589743591</v>
      </c>
    </row>
    <row r="885" spans="1:11" x14ac:dyDescent="0.35">
      <c r="A885">
        <v>2019</v>
      </c>
      <c r="B885">
        <v>3148608</v>
      </c>
      <c r="C885" t="str">
        <f>VLOOKUP(B885,SAEB!$A:$B,2,0)</f>
        <v>Peçanha</v>
      </c>
      <c r="D885">
        <v>0</v>
      </c>
      <c r="E885">
        <v>0</v>
      </c>
      <c r="F885">
        <v>376</v>
      </c>
      <c r="G885">
        <v>309</v>
      </c>
      <c r="H885" s="7">
        <f t="shared" si="53"/>
        <v>0</v>
      </c>
      <c r="I885" s="7">
        <f t="shared" si="54"/>
        <v>0</v>
      </c>
      <c r="J885" s="7">
        <f t="shared" si="55"/>
        <v>54.890510948905117</v>
      </c>
      <c r="K885" s="7">
        <f t="shared" si="56"/>
        <v>45.10948905109489</v>
      </c>
    </row>
    <row r="886" spans="1:11" x14ac:dyDescent="0.35">
      <c r="A886">
        <v>2019</v>
      </c>
      <c r="B886">
        <v>3148707</v>
      </c>
      <c r="C886" t="str">
        <f>VLOOKUP(B886,SAEB!$A:$B,2,0)</f>
        <v>Pedra Azul</v>
      </c>
      <c r="D886">
        <v>1312</v>
      </c>
      <c r="E886">
        <v>138</v>
      </c>
      <c r="F886">
        <v>78</v>
      </c>
      <c r="G886">
        <v>0</v>
      </c>
      <c r="H886" s="7">
        <f t="shared" si="53"/>
        <v>85.863874345549746</v>
      </c>
      <c r="I886" s="7">
        <f t="shared" si="54"/>
        <v>9.0314136125654443</v>
      </c>
      <c r="J886" s="7">
        <f t="shared" si="55"/>
        <v>5.1047120418848166</v>
      </c>
      <c r="K886" s="7">
        <f t="shared" si="56"/>
        <v>0</v>
      </c>
    </row>
    <row r="887" spans="1:11" x14ac:dyDescent="0.35">
      <c r="A887">
        <v>2019</v>
      </c>
      <c r="B887">
        <v>3149952</v>
      </c>
      <c r="C887" t="str">
        <f>VLOOKUP(B887,SAEB!$A:$B,2,0)</f>
        <v>Periquito</v>
      </c>
      <c r="D887">
        <v>540</v>
      </c>
      <c r="E887">
        <v>205</v>
      </c>
      <c r="F887">
        <v>0</v>
      </c>
      <c r="G887">
        <v>0</v>
      </c>
      <c r="H887" s="7">
        <f t="shared" si="53"/>
        <v>72.483221476510067</v>
      </c>
      <c r="I887" s="7">
        <f t="shared" si="54"/>
        <v>27.516778523489933</v>
      </c>
      <c r="J887" s="7">
        <f t="shared" si="55"/>
        <v>0</v>
      </c>
      <c r="K887" s="7">
        <f t="shared" si="56"/>
        <v>0</v>
      </c>
    </row>
    <row r="888" spans="1:11" x14ac:dyDescent="0.35">
      <c r="A888">
        <v>2019</v>
      </c>
      <c r="B888">
        <v>3150158</v>
      </c>
      <c r="C888" t="str">
        <f>VLOOKUP(B888,SAEB!$A:$B,2,0)</f>
        <v>Piedade de Caratinga</v>
      </c>
      <c r="D888">
        <v>615</v>
      </c>
      <c r="E888">
        <v>0</v>
      </c>
      <c r="F888">
        <v>76</v>
      </c>
      <c r="G888">
        <v>0</v>
      </c>
      <c r="H888" s="7">
        <f t="shared" si="53"/>
        <v>89.001447178002891</v>
      </c>
      <c r="I888" s="7">
        <f t="shared" si="54"/>
        <v>0</v>
      </c>
      <c r="J888" s="7">
        <f t="shared" si="55"/>
        <v>10.998552821997105</v>
      </c>
      <c r="K888" s="7">
        <f t="shared" si="56"/>
        <v>0</v>
      </c>
    </row>
    <row r="889" spans="1:11" x14ac:dyDescent="0.35">
      <c r="A889">
        <v>2019</v>
      </c>
      <c r="B889">
        <v>3150570</v>
      </c>
      <c r="C889" t="str">
        <f>VLOOKUP(B889,SAEB!$A:$B,2,0)</f>
        <v>Pintópolis</v>
      </c>
      <c r="D889">
        <v>335</v>
      </c>
      <c r="E889">
        <v>0</v>
      </c>
      <c r="F889">
        <v>105</v>
      </c>
      <c r="G889">
        <v>0</v>
      </c>
      <c r="H889" s="7">
        <f t="shared" si="53"/>
        <v>76.13636363636364</v>
      </c>
      <c r="I889" s="7">
        <f t="shared" si="54"/>
        <v>0</v>
      </c>
      <c r="J889" s="7">
        <f t="shared" si="55"/>
        <v>23.863636363636363</v>
      </c>
      <c r="K889" s="7">
        <f t="shared" si="56"/>
        <v>0</v>
      </c>
    </row>
    <row r="890" spans="1:11" x14ac:dyDescent="0.35">
      <c r="A890">
        <v>2019</v>
      </c>
      <c r="B890">
        <v>3151206</v>
      </c>
      <c r="C890" t="str">
        <f>VLOOKUP(B890,SAEB!$A:$B,2,0)</f>
        <v>Pirapora</v>
      </c>
      <c r="D890">
        <v>2813</v>
      </c>
      <c r="E890">
        <v>109</v>
      </c>
      <c r="F890">
        <v>0</v>
      </c>
      <c r="G890">
        <v>0</v>
      </c>
      <c r="H890" s="7">
        <f t="shared" si="53"/>
        <v>96.269678302532512</v>
      </c>
      <c r="I890" s="7">
        <f t="shared" si="54"/>
        <v>3.7303216974674882</v>
      </c>
      <c r="J890" s="7">
        <f t="shared" si="55"/>
        <v>0</v>
      </c>
      <c r="K890" s="7">
        <f t="shared" si="56"/>
        <v>0</v>
      </c>
    </row>
    <row r="891" spans="1:11" x14ac:dyDescent="0.35">
      <c r="A891">
        <v>2019</v>
      </c>
      <c r="B891">
        <v>3152170</v>
      </c>
      <c r="C891" t="str">
        <f>VLOOKUP(B891,SAEB!$A:$B,2,0)</f>
        <v>Ponto dos Volantes</v>
      </c>
      <c r="D891">
        <v>465</v>
      </c>
      <c r="E891">
        <v>291</v>
      </c>
      <c r="F891">
        <v>397</v>
      </c>
      <c r="G891">
        <v>388</v>
      </c>
      <c r="H891" s="7">
        <f t="shared" si="53"/>
        <v>30.175210902011678</v>
      </c>
      <c r="I891" s="7">
        <f t="shared" si="54"/>
        <v>18.883841661258923</v>
      </c>
      <c r="J891" s="7">
        <f t="shared" si="55"/>
        <v>25.762491888384165</v>
      </c>
      <c r="K891" s="7">
        <f t="shared" si="56"/>
        <v>25.17845554834523</v>
      </c>
    </row>
    <row r="892" spans="1:11" x14ac:dyDescent="0.35">
      <c r="A892">
        <v>2019</v>
      </c>
      <c r="B892">
        <v>3152402</v>
      </c>
      <c r="C892" t="str">
        <f>VLOOKUP(B892,SAEB!$A:$B,2,0)</f>
        <v>Poté</v>
      </c>
      <c r="D892">
        <v>595</v>
      </c>
      <c r="E892">
        <v>271</v>
      </c>
      <c r="F892">
        <v>83</v>
      </c>
      <c r="G892">
        <v>25</v>
      </c>
      <c r="H892" s="7">
        <f t="shared" si="53"/>
        <v>61.088295687885008</v>
      </c>
      <c r="I892" s="7">
        <f t="shared" si="54"/>
        <v>27.823408624229977</v>
      </c>
      <c r="J892" s="7">
        <f t="shared" si="55"/>
        <v>8.5215605749486656</v>
      </c>
      <c r="K892" s="7">
        <f t="shared" si="56"/>
        <v>2.5667351129363447</v>
      </c>
    </row>
    <row r="893" spans="1:11" x14ac:dyDescent="0.35">
      <c r="A893">
        <v>2019</v>
      </c>
      <c r="B893">
        <v>3153301</v>
      </c>
      <c r="C893" t="str">
        <f>VLOOKUP(B893,SAEB!$A:$B,2,0)</f>
        <v>Presidente Kubitschek</v>
      </c>
      <c r="D893">
        <v>288</v>
      </c>
      <c r="E893">
        <v>0</v>
      </c>
      <c r="F893">
        <v>0</v>
      </c>
      <c r="G893">
        <v>0</v>
      </c>
      <c r="H893" s="7">
        <f t="shared" si="53"/>
        <v>100</v>
      </c>
      <c r="I893" s="7">
        <f t="shared" si="54"/>
        <v>0</v>
      </c>
      <c r="J893" s="7">
        <f t="shared" si="55"/>
        <v>0</v>
      </c>
      <c r="K893" s="7">
        <f t="shared" si="56"/>
        <v>0</v>
      </c>
    </row>
    <row r="894" spans="1:11" x14ac:dyDescent="0.35">
      <c r="A894">
        <v>2019</v>
      </c>
      <c r="B894">
        <v>3154309</v>
      </c>
      <c r="C894" t="str">
        <f>VLOOKUP(B894,SAEB!$A:$B,2,0)</f>
        <v>Resplendor</v>
      </c>
      <c r="D894">
        <v>947</v>
      </c>
      <c r="E894">
        <v>576</v>
      </c>
      <c r="F894">
        <v>0</v>
      </c>
      <c r="G894">
        <v>0</v>
      </c>
      <c r="H894" s="7">
        <f t="shared" si="53"/>
        <v>62.179908076165461</v>
      </c>
      <c r="I894" s="7">
        <f t="shared" si="54"/>
        <v>37.820091923834539</v>
      </c>
      <c r="J894" s="7">
        <f t="shared" si="55"/>
        <v>0</v>
      </c>
      <c r="K894" s="7">
        <f t="shared" si="56"/>
        <v>0</v>
      </c>
    </row>
    <row r="895" spans="1:11" x14ac:dyDescent="0.35">
      <c r="A895">
        <v>2019</v>
      </c>
      <c r="B895">
        <v>3155108</v>
      </c>
      <c r="C895" t="str">
        <f>VLOOKUP(B895,SAEB!$A:$B,2,0)</f>
        <v>Rio do Prado</v>
      </c>
      <c r="D895">
        <v>0</v>
      </c>
      <c r="E895">
        <v>0</v>
      </c>
      <c r="F895">
        <v>130</v>
      </c>
      <c r="G895">
        <v>141</v>
      </c>
      <c r="H895" s="7">
        <f t="shared" si="53"/>
        <v>0</v>
      </c>
      <c r="I895" s="7">
        <f t="shared" si="54"/>
        <v>0</v>
      </c>
      <c r="J895" s="7">
        <f t="shared" si="55"/>
        <v>47.97047970479705</v>
      </c>
      <c r="K895" s="7">
        <f t="shared" si="56"/>
        <v>52.02952029520295</v>
      </c>
    </row>
    <row r="896" spans="1:11" x14ac:dyDescent="0.35">
      <c r="A896">
        <v>2019</v>
      </c>
      <c r="B896">
        <v>3155603</v>
      </c>
      <c r="C896" t="str">
        <f>VLOOKUP(B896,SAEB!$A:$B,2,0)</f>
        <v>Rio Pardo de Minas</v>
      </c>
      <c r="D896">
        <v>689</v>
      </c>
      <c r="E896">
        <v>286</v>
      </c>
      <c r="F896">
        <v>497</v>
      </c>
      <c r="G896">
        <v>413</v>
      </c>
      <c r="H896" s="7">
        <f t="shared" si="53"/>
        <v>36.551724137931032</v>
      </c>
      <c r="I896" s="7">
        <f t="shared" si="54"/>
        <v>15.172413793103448</v>
      </c>
      <c r="J896" s="7">
        <f t="shared" si="55"/>
        <v>26.366047745358088</v>
      </c>
      <c r="K896" s="7">
        <f t="shared" si="56"/>
        <v>21.909814323607428</v>
      </c>
    </row>
    <row r="897" spans="1:11" x14ac:dyDescent="0.35">
      <c r="A897">
        <v>2019</v>
      </c>
      <c r="B897">
        <v>3156502</v>
      </c>
      <c r="C897" t="str">
        <f>VLOOKUP(B897,SAEB!$A:$B,2,0)</f>
        <v>Rubelita</v>
      </c>
      <c r="D897">
        <v>130</v>
      </c>
      <c r="E897">
        <v>0</v>
      </c>
      <c r="F897">
        <v>117</v>
      </c>
      <c r="G897">
        <v>0</v>
      </c>
      <c r="H897" s="7">
        <f t="shared" si="53"/>
        <v>52.631578947368418</v>
      </c>
      <c r="I897" s="7">
        <f t="shared" si="54"/>
        <v>0</v>
      </c>
      <c r="J897" s="7">
        <f t="shared" si="55"/>
        <v>47.368421052631575</v>
      </c>
      <c r="K897" s="7">
        <f t="shared" si="56"/>
        <v>0</v>
      </c>
    </row>
    <row r="898" spans="1:11" x14ac:dyDescent="0.35">
      <c r="A898">
        <v>2019</v>
      </c>
      <c r="B898">
        <v>3156601</v>
      </c>
      <c r="C898" t="str">
        <f>VLOOKUP(B898,SAEB!$A:$B,2,0)</f>
        <v>Rubim</v>
      </c>
      <c r="D898">
        <v>479</v>
      </c>
      <c r="E898">
        <v>434</v>
      </c>
      <c r="F898">
        <v>88</v>
      </c>
      <c r="G898">
        <v>0</v>
      </c>
      <c r="H898" s="7">
        <f t="shared" si="53"/>
        <v>47.852147852147851</v>
      </c>
      <c r="I898" s="7">
        <f t="shared" si="54"/>
        <v>43.356643356643353</v>
      </c>
      <c r="J898" s="7">
        <f t="shared" si="55"/>
        <v>8.791208791208792</v>
      </c>
      <c r="K898" s="7">
        <f t="shared" si="56"/>
        <v>0</v>
      </c>
    </row>
    <row r="899" spans="1:11" x14ac:dyDescent="0.35">
      <c r="A899">
        <v>2019</v>
      </c>
      <c r="B899">
        <v>3156809</v>
      </c>
      <c r="C899" t="str">
        <f>VLOOKUP(B899,SAEB!$A:$B,2,0)</f>
        <v>Sabinópolis</v>
      </c>
      <c r="D899">
        <v>255</v>
      </c>
      <c r="E899">
        <v>0</v>
      </c>
      <c r="F899">
        <v>139</v>
      </c>
      <c r="G899">
        <v>0</v>
      </c>
      <c r="H899" s="7">
        <f t="shared" ref="H899:H962" si="57">D899/SUM($D899:$G899)*100</f>
        <v>64.720812182741113</v>
      </c>
      <c r="I899" s="7">
        <f t="shared" ref="I899:I962" si="58">E899/SUM($D899:$G899)*100</f>
        <v>0</v>
      </c>
      <c r="J899" s="7">
        <f t="shared" ref="J899:J962" si="59">F899/SUM($D899:$G899)*100</f>
        <v>35.279187817258887</v>
      </c>
      <c r="K899" s="7">
        <f t="shared" ref="K899:K962" si="60">G899/SUM($D899:$G899)*100</f>
        <v>0</v>
      </c>
    </row>
    <row r="900" spans="1:11" x14ac:dyDescent="0.35">
      <c r="A900">
        <v>2019</v>
      </c>
      <c r="B900">
        <v>3157005</v>
      </c>
      <c r="C900" t="str">
        <f>VLOOKUP(B900,SAEB!$A:$B,2,0)</f>
        <v>Salinas</v>
      </c>
      <c r="D900">
        <v>551</v>
      </c>
      <c r="E900">
        <v>0</v>
      </c>
      <c r="F900">
        <v>190</v>
      </c>
      <c r="G900">
        <v>82</v>
      </c>
      <c r="H900" s="7">
        <f t="shared" si="57"/>
        <v>66.950182260024306</v>
      </c>
      <c r="I900" s="7">
        <f t="shared" si="58"/>
        <v>0</v>
      </c>
      <c r="J900" s="7">
        <f t="shared" si="59"/>
        <v>23.086269744835967</v>
      </c>
      <c r="K900" s="7">
        <f t="shared" si="60"/>
        <v>9.9635479951397325</v>
      </c>
    </row>
    <row r="901" spans="1:11" x14ac:dyDescent="0.35">
      <c r="A901">
        <v>2019</v>
      </c>
      <c r="B901">
        <v>3157104</v>
      </c>
      <c r="C901" t="str">
        <f>VLOOKUP(B901,SAEB!$A:$B,2,0)</f>
        <v>Salto da Divisa</v>
      </c>
      <c r="D901">
        <v>460</v>
      </c>
      <c r="E901">
        <v>0</v>
      </c>
      <c r="F901">
        <v>25</v>
      </c>
      <c r="G901">
        <v>0</v>
      </c>
      <c r="H901" s="7">
        <f t="shared" si="57"/>
        <v>94.845360824742258</v>
      </c>
      <c r="I901" s="7">
        <f t="shared" si="58"/>
        <v>0</v>
      </c>
      <c r="J901" s="7">
        <f t="shared" si="59"/>
        <v>5.1546391752577314</v>
      </c>
      <c r="K901" s="7">
        <f t="shared" si="60"/>
        <v>0</v>
      </c>
    </row>
    <row r="902" spans="1:11" x14ac:dyDescent="0.35">
      <c r="A902">
        <v>2019</v>
      </c>
      <c r="B902">
        <v>3157252</v>
      </c>
      <c r="C902" t="str">
        <f>VLOOKUP(B902,SAEB!$A:$B,2,0)</f>
        <v>Santa Bárbara do Leste</v>
      </c>
      <c r="D902">
        <v>104</v>
      </c>
      <c r="E902">
        <v>179</v>
      </c>
      <c r="F902">
        <v>161</v>
      </c>
      <c r="G902">
        <v>115</v>
      </c>
      <c r="H902" s="7">
        <f t="shared" si="57"/>
        <v>18.604651162790699</v>
      </c>
      <c r="I902" s="7">
        <f t="shared" si="58"/>
        <v>32.021466905187836</v>
      </c>
      <c r="J902" s="7">
        <f t="shared" si="59"/>
        <v>28.801431127012521</v>
      </c>
      <c r="K902" s="7">
        <f t="shared" si="60"/>
        <v>20.572450805008945</v>
      </c>
    </row>
    <row r="903" spans="1:11" x14ac:dyDescent="0.35">
      <c r="A903">
        <v>2019</v>
      </c>
      <c r="B903">
        <v>3157377</v>
      </c>
      <c r="C903" t="str">
        <f>VLOOKUP(B903,SAEB!$A:$B,2,0)</f>
        <v>Santa Cruz de Salinas</v>
      </c>
      <c r="D903">
        <v>172</v>
      </c>
      <c r="E903">
        <v>0</v>
      </c>
      <c r="F903">
        <v>121</v>
      </c>
      <c r="G903">
        <v>29</v>
      </c>
      <c r="H903" s="7">
        <f t="shared" si="57"/>
        <v>53.41614906832298</v>
      </c>
      <c r="I903" s="7">
        <f t="shared" si="58"/>
        <v>0</v>
      </c>
      <c r="J903" s="7">
        <f t="shared" si="59"/>
        <v>37.577639751552795</v>
      </c>
      <c r="K903" s="7">
        <f t="shared" si="60"/>
        <v>9.0062111801242235</v>
      </c>
    </row>
    <row r="904" spans="1:11" x14ac:dyDescent="0.35">
      <c r="A904">
        <v>2019</v>
      </c>
      <c r="B904">
        <v>3157500</v>
      </c>
      <c r="C904" t="str">
        <f>VLOOKUP(B904,SAEB!$A:$B,2,0)</f>
        <v>Santa Efigênia de Minas</v>
      </c>
      <c r="D904">
        <v>257</v>
      </c>
      <c r="E904">
        <v>0</v>
      </c>
      <c r="F904">
        <v>56</v>
      </c>
      <c r="G904">
        <v>0</v>
      </c>
      <c r="H904" s="7">
        <f t="shared" si="57"/>
        <v>82.108626198083073</v>
      </c>
      <c r="I904" s="7">
        <f t="shared" si="58"/>
        <v>0</v>
      </c>
      <c r="J904" s="7">
        <f t="shared" si="59"/>
        <v>17.891373801916931</v>
      </c>
      <c r="K904" s="7">
        <f t="shared" si="60"/>
        <v>0</v>
      </c>
    </row>
    <row r="905" spans="1:11" x14ac:dyDescent="0.35">
      <c r="A905">
        <v>2019</v>
      </c>
      <c r="B905">
        <v>3157658</v>
      </c>
      <c r="C905" t="str">
        <f>VLOOKUP(B905,SAEB!$A:$B,2,0)</f>
        <v>Santa Helena de Minas</v>
      </c>
      <c r="D905">
        <v>167</v>
      </c>
      <c r="E905">
        <v>0</v>
      </c>
      <c r="F905">
        <v>58</v>
      </c>
      <c r="G905">
        <v>46</v>
      </c>
      <c r="H905" s="7">
        <f t="shared" si="57"/>
        <v>61.623616236162363</v>
      </c>
      <c r="I905" s="7">
        <f t="shared" si="58"/>
        <v>0</v>
      </c>
      <c r="J905" s="7">
        <f t="shared" si="59"/>
        <v>21.402214022140221</v>
      </c>
      <c r="K905" s="7">
        <f t="shared" si="60"/>
        <v>16.974169741697416</v>
      </c>
    </row>
    <row r="906" spans="1:11" x14ac:dyDescent="0.35">
      <c r="A906">
        <v>2019</v>
      </c>
      <c r="B906">
        <v>3158201</v>
      </c>
      <c r="C906" t="str">
        <f>VLOOKUP(B906,SAEB!$A:$B,2,0)</f>
        <v>Santa Maria do Suaçuí</v>
      </c>
      <c r="D906">
        <v>332</v>
      </c>
      <c r="E906">
        <v>15</v>
      </c>
      <c r="F906">
        <v>51</v>
      </c>
      <c r="G906">
        <v>0</v>
      </c>
      <c r="H906" s="7">
        <f t="shared" si="57"/>
        <v>83.417085427135675</v>
      </c>
      <c r="I906" s="7">
        <f t="shared" si="58"/>
        <v>3.7688442211055273</v>
      </c>
      <c r="J906" s="7">
        <f t="shared" si="59"/>
        <v>12.814070351758794</v>
      </c>
      <c r="K906" s="7">
        <f t="shared" si="60"/>
        <v>0</v>
      </c>
    </row>
    <row r="907" spans="1:11" x14ac:dyDescent="0.35">
      <c r="A907">
        <v>2019</v>
      </c>
      <c r="B907">
        <v>3159357</v>
      </c>
      <c r="C907" t="str">
        <f>VLOOKUP(B907,SAEB!$A:$B,2,0)</f>
        <v>Santa Rita de Minas</v>
      </c>
      <c r="D907">
        <v>422</v>
      </c>
      <c r="E907">
        <v>0</v>
      </c>
      <c r="F907">
        <v>39</v>
      </c>
      <c r="G907">
        <v>0</v>
      </c>
      <c r="H907" s="7">
        <f t="shared" si="57"/>
        <v>91.540130151843812</v>
      </c>
      <c r="I907" s="7">
        <f t="shared" si="58"/>
        <v>0</v>
      </c>
      <c r="J907" s="7">
        <f t="shared" si="59"/>
        <v>8.4598698481561811</v>
      </c>
      <c r="K907" s="7">
        <f t="shared" si="60"/>
        <v>0</v>
      </c>
    </row>
    <row r="908" spans="1:11" x14ac:dyDescent="0.35">
      <c r="A908">
        <v>2019</v>
      </c>
      <c r="B908">
        <v>3159506</v>
      </c>
      <c r="C908" t="str">
        <f>VLOOKUP(B908,SAEB!$A:$B,2,0)</f>
        <v>Santa Rita do Itueto</v>
      </c>
      <c r="D908">
        <v>145</v>
      </c>
      <c r="E908">
        <v>0</v>
      </c>
      <c r="F908">
        <v>168</v>
      </c>
      <c r="G908">
        <v>94</v>
      </c>
      <c r="H908" s="7">
        <f t="shared" si="57"/>
        <v>35.626535626535627</v>
      </c>
      <c r="I908" s="7">
        <f t="shared" si="58"/>
        <v>0</v>
      </c>
      <c r="J908" s="7">
        <f t="shared" si="59"/>
        <v>41.277641277641273</v>
      </c>
      <c r="K908" s="7">
        <f t="shared" si="60"/>
        <v>23.095823095823096</v>
      </c>
    </row>
    <row r="909" spans="1:11" x14ac:dyDescent="0.35">
      <c r="A909">
        <v>2019</v>
      </c>
      <c r="B909">
        <v>3160454</v>
      </c>
      <c r="C909" t="str">
        <f>VLOOKUP(B909,SAEB!$A:$B,2,0)</f>
        <v>Santo Antônio do Retiro</v>
      </c>
      <c r="D909">
        <v>281</v>
      </c>
      <c r="E909">
        <v>282</v>
      </c>
      <c r="F909">
        <v>166</v>
      </c>
      <c r="G909">
        <v>152</v>
      </c>
      <c r="H909" s="7">
        <f t="shared" si="57"/>
        <v>31.8955732122588</v>
      </c>
      <c r="I909" s="7">
        <f t="shared" si="58"/>
        <v>32.009080590238362</v>
      </c>
      <c r="J909" s="7">
        <f t="shared" si="59"/>
        <v>18.842224744608398</v>
      </c>
      <c r="K909" s="7">
        <f t="shared" si="60"/>
        <v>17.253121452894437</v>
      </c>
    </row>
    <row r="910" spans="1:11" x14ac:dyDescent="0.35">
      <c r="A910">
        <v>2019</v>
      </c>
      <c r="B910">
        <v>3160603</v>
      </c>
      <c r="C910" t="str">
        <f>VLOOKUP(B910,SAEB!$A:$B,2,0)</f>
        <v>Santo Hipólito</v>
      </c>
      <c r="D910">
        <v>162</v>
      </c>
      <c r="E910">
        <v>0</v>
      </c>
      <c r="F910">
        <v>8</v>
      </c>
      <c r="G910">
        <v>0</v>
      </c>
      <c r="H910" s="7">
        <f t="shared" si="57"/>
        <v>95.294117647058812</v>
      </c>
      <c r="I910" s="7">
        <f t="shared" si="58"/>
        <v>0</v>
      </c>
      <c r="J910" s="7">
        <f t="shared" si="59"/>
        <v>4.7058823529411766</v>
      </c>
      <c r="K910" s="7">
        <f t="shared" si="60"/>
        <v>0</v>
      </c>
    </row>
    <row r="911" spans="1:11" x14ac:dyDescent="0.35">
      <c r="A911">
        <v>2019</v>
      </c>
      <c r="B911">
        <v>3160959</v>
      </c>
      <c r="C911" t="str">
        <f>VLOOKUP(B911,SAEB!$A:$B,2,0)</f>
        <v>São Domingos das Dores</v>
      </c>
      <c r="D911">
        <v>306</v>
      </c>
      <c r="E911">
        <v>0</v>
      </c>
      <c r="F911">
        <v>172</v>
      </c>
      <c r="G911">
        <v>193</v>
      </c>
      <c r="H911" s="7">
        <f t="shared" si="57"/>
        <v>45.603576751117735</v>
      </c>
      <c r="I911" s="7">
        <f t="shared" si="58"/>
        <v>0</v>
      </c>
      <c r="J911" s="7">
        <f t="shared" si="59"/>
        <v>25.633383010432194</v>
      </c>
      <c r="K911" s="7">
        <f t="shared" si="60"/>
        <v>28.763040238450078</v>
      </c>
    </row>
    <row r="912" spans="1:11" x14ac:dyDescent="0.35">
      <c r="A912">
        <v>2019</v>
      </c>
      <c r="B912">
        <v>3161601</v>
      </c>
      <c r="C912" t="str">
        <f>VLOOKUP(B912,SAEB!$A:$B,2,0)</f>
        <v>São Geraldo da Piedade</v>
      </c>
      <c r="D912">
        <v>114</v>
      </c>
      <c r="E912">
        <v>0</v>
      </c>
      <c r="F912">
        <v>161</v>
      </c>
      <c r="G912">
        <v>78</v>
      </c>
      <c r="H912" s="7">
        <f t="shared" si="57"/>
        <v>32.294617563739372</v>
      </c>
      <c r="I912" s="7">
        <f t="shared" si="58"/>
        <v>0</v>
      </c>
      <c r="J912" s="7">
        <f t="shared" si="59"/>
        <v>45.609065155807365</v>
      </c>
      <c r="K912" s="7">
        <f t="shared" si="60"/>
        <v>22.096317280453256</v>
      </c>
    </row>
    <row r="913" spans="1:11" x14ac:dyDescent="0.35">
      <c r="A913">
        <v>2019</v>
      </c>
      <c r="B913">
        <v>3125507</v>
      </c>
      <c r="C913" t="str">
        <f>VLOOKUP(B913,SAEB!$A:$B,2,0)</f>
        <v>São Gonçalo do Rio Preto</v>
      </c>
      <c r="D913">
        <v>193</v>
      </c>
      <c r="E913">
        <v>0</v>
      </c>
      <c r="F913">
        <v>0</v>
      </c>
      <c r="G913">
        <v>0</v>
      </c>
      <c r="H913" s="7">
        <f t="shared" si="57"/>
        <v>100</v>
      </c>
      <c r="I913" s="7">
        <f t="shared" si="58"/>
        <v>0</v>
      </c>
      <c r="J913" s="7">
        <f t="shared" si="59"/>
        <v>0</v>
      </c>
      <c r="K913" s="7">
        <f t="shared" si="60"/>
        <v>0</v>
      </c>
    </row>
    <row r="914" spans="1:11" x14ac:dyDescent="0.35">
      <c r="A914">
        <v>2019</v>
      </c>
      <c r="B914">
        <v>3162252</v>
      </c>
      <c r="C914" t="str">
        <f>VLOOKUP(B914,SAEB!$A:$B,2,0)</f>
        <v>São João da Lagoa</v>
      </c>
      <c r="D914">
        <v>255</v>
      </c>
      <c r="E914">
        <v>0</v>
      </c>
      <c r="F914">
        <v>58</v>
      </c>
      <c r="G914">
        <v>52</v>
      </c>
      <c r="H914" s="7">
        <f t="shared" si="57"/>
        <v>69.863013698630141</v>
      </c>
      <c r="I914" s="7">
        <f t="shared" si="58"/>
        <v>0</v>
      </c>
      <c r="J914" s="7">
        <f t="shared" si="59"/>
        <v>15.890410958904111</v>
      </c>
      <c r="K914" s="7">
        <f t="shared" si="60"/>
        <v>14.246575342465754</v>
      </c>
    </row>
    <row r="915" spans="1:11" x14ac:dyDescent="0.35">
      <c r="A915">
        <v>2019</v>
      </c>
      <c r="B915">
        <v>3162401</v>
      </c>
      <c r="C915" t="str">
        <f>VLOOKUP(B915,SAEB!$A:$B,2,0)</f>
        <v>São João da Ponte</v>
      </c>
      <c r="D915">
        <v>307</v>
      </c>
      <c r="E915">
        <v>331</v>
      </c>
      <c r="F915">
        <v>830</v>
      </c>
      <c r="G915">
        <v>653</v>
      </c>
      <c r="H915" s="7">
        <f t="shared" si="57"/>
        <v>14.474304573314475</v>
      </c>
      <c r="I915" s="7">
        <f t="shared" si="58"/>
        <v>15.605846298915607</v>
      </c>
      <c r="J915" s="7">
        <f t="shared" si="59"/>
        <v>39.13248467703913</v>
      </c>
      <c r="K915" s="7">
        <f t="shared" si="60"/>
        <v>30.787364450730788</v>
      </c>
    </row>
    <row r="916" spans="1:11" x14ac:dyDescent="0.35">
      <c r="A916">
        <v>2019</v>
      </c>
      <c r="B916">
        <v>3162575</v>
      </c>
      <c r="C916" t="str">
        <f>VLOOKUP(B916,SAEB!$A:$B,2,0)</f>
        <v>São João do Manteninha</v>
      </c>
      <c r="D916">
        <v>227</v>
      </c>
      <c r="E916">
        <v>0</v>
      </c>
      <c r="F916">
        <v>126</v>
      </c>
      <c r="G916">
        <v>0</v>
      </c>
      <c r="H916" s="7">
        <f t="shared" si="57"/>
        <v>64.305949008498587</v>
      </c>
      <c r="I916" s="7">
        <f t="shared" si="58"/>
        <v>0</v>
      </c>
      <c r="J916" s="7">
        <f t="shared" si="59"/>
        <v>35.694050991501413</v>
      </c>
      <c r="K916" s="7">
        <f t="shared" si="60"/>
        <v>0</v>
      </c>
    </row>
    <row r="917" spans="1:11" x14ac:dyDescent="0.35">
      <c r="A917">
        <v>2019</v>
      </c>
      <c r="B917">
        <v>3162807</v>
      </c>
      <c r="C917" t="str">
        <f>VLOOKUP(B917,SAEB!$A:$B,2,0)</f>
        <v>São João Evangelista</v>
      </c>
      <c r="D917">
        <v>848</v>
      </c>
      <c r="E917">
        <v>0</v>
      </c>
      <c r="F917">
        <v>121</v>
      </c>
      <c r="G917">
        <v>65</v>
      </c>
      <c r="H917" s="7">
        <f t="shared" si="57"/>
        <v>82.011605415860728</v>
      </c>
      <c r="I917" s="7">
        <f t="shared" si="58"/>
        <v>0</v>
      </c>
      <c r="J917" s="7">
        <f t="shared" si="59"/>
        <v>11.702127659574469</v>
      </c>
      <c r="K917" s="7">
        <f t="shared" si="60"/>
        <v>6.2862669245647966</v>
      </c>
    </row>
    <row r="918" spans="1:11" x14ac:dyDescent="0.35">
      <c r="A918">
        <v>2019</v>
      </c>
      <c r="B918">
        <v>3163508</v>
      </c>
      <c r="C918" t="str">
        <f>VLOOKUP(B918,SAEB!$A:$B,2,0)</f>
        <v>São José do Jacuri</v>
      </c>
      <c r="D918">
        <v>0</v>
      </c>
      <c r="E918">
        <v>0</v>
      </c>
      <c r="F918">
        <v>146</v>
      </c>
      <c r="G918">
        <v>79</v>
      </c>
      <c r="H918" s="7">
        <f t="shared" si="57"/>
        <v>0</v>
      </c>
      <c r="I918" s="7">
        <f t="shared" si="58"/>
        <v>0</v>
      </c>
      <c r="J918" s="7">
        <f t="shared" si="59"/>
        <v>64.888888888888886</v>
      </c>
      <c r="K918" s="7">
        <f t="shared" si="60"/>
        <v>35.111111111111107</v>
      </c>
    </row>
    <row r="919" spans="1:11" x14ac:dyDescent="0.35">
      <c r="A919">
        <v>2019</v>
      </c>
      <c r="B919">
        <v>3164100</v>
      </c>
      <c r="C919" t="str">
        <f>VLOOKUP(B919,SAEB!$A:$B,2,0)</f>
        <v>São Pedro do Suaçuí</v>
      </c>
      <c r="D919">
        <v>222</v>
      </c>
      <c r="E919">
        <v>0</v>
      </c>
      <c r="F919">
        <v>58</v>
      </c>
      <c r="G919">
        <v>0</v>
      </c>
      <c r="H919" s="7">
        <f t="shared" si="57"/>
        <v>79.285714285714278</v>
      </c>
      <c r="I919" s="7">
        <f t="shared" si="58"/>
        <v>0</v>
      </c>
      <c r="J919" s="7">
        <f t="shared" si="59"/>
        <v>20.714285714285715</v>
      </c>
      <c r="K919" s="7">
        <f t="shared" si="60"/>
        <v>0</v>
      </c>
    </row>
    <row r="920" spans="1:11" x14ac:dyDescent="0.35">
      <c r="A920">
        <v>2019</v>
      </c>
      <c r="B920">
        <v>3164472</v>
      </c>
      <c r="C920" t="str">
        <f>VLOOKUP(B920,SAEB!$A:$B,2,0)</f>
        <v>São Sebastião do Anta</v>
      </c>
      <c r="D920">
        <v>469</v>
      </c>
      <c r="E920">
        <v>230</v>
      </c>
      <c r="F920">
        <v>8</v>
      </c>
      <c r="G920">
        <v>0</v>
      </c>
      <c r="H920" s="7">
        <f t="shared" si="57"/>
        <v>66.336633663366342</v>
      </c>
      <c r="I920" s="7">
        <f t="shared" si="58"/>
        <v>32.531824611032533</v>
      </c>
      <c r="J920" s="7">
        <f t="shared" si="59"/>
        <v>1.1315417256011315</v>
      </c>
      <c r="K920" s="7">
        <f t="shared" si="60"/>
        <v>0</v>
      </c>
    </row>
    <row r="921" spans="1:11" x14ac:dyDescent="0.35">
      <c r="A921">
        <v>2019</v>
      </c>
      <c r="B921">
        <v>3165503</v>
      </c>
      <c r="C921" t="str">
        <f>VLOOKUP(B921,SAEB!$A:$B,2,0)</f>
        <v>Sardoá</v>
      </c>
      <c r="D921">
        <v>186</v>
      </c>
      <c r="E921">
        <v>0</v>
      </c>
      <c r="F921">
        <v>136</v>
      </c>
      <c r="G921">
        <v>99</v>
      </c>
      <c r="H921" s="7">
        <f t="shared" si="57"/>
        <v>44.180522565320665</v>
      </c>
      <c r="I921" s="7">
        <f t="shared" si="58"/>
        <v>0</v>
      </c>
      <c r="J921" s="7">
        <f t="shared" si="59"/>
        <v>32.304038004750595</v>
      </c>
      <c r="K921" s="7">
        <f t="shared" si="60"/>
        <v>23.51543942992874</v>
      </c>
    </row>
    <row r="922" spans="1:11" x14ac:dyDescent="0.35">
      <c r="A922">
        <v>2019</v>
      </c>
      <c r="B922">
        <v>3165909</v>
      </c>
      <c r="C922" t="str">
        <f>VLOOKUP(B922,SAEB!$A:$B,2,0)</f>
        <v>Senador Modestino Gonçalves</v>
      </c>
      <c r="D922">
        <v>180</v>
      </c>
      <c r="E922">
        <v>0</v>
      </c>
      <c r="F922">
        <v>67</v>
      </c>
      <c r="G922">
        <v>0</v>
      </c>
      <c r="H922" s="7">
        <f t="shared" si="57"/>
        <v>72.874493927125499</v>
      </c>
      <c r="I922" s="7">
        <f t="shared" si="58"/>
        <v>0</v>
      </c>
      <c r="J922" s="7">
        <f t="shared" si="59"/>
        <v>27.125506072874494</v>
      </c>
      <c r="K922" s="7">
        <f t="shared" si="60"/>
        <v>0</v>
      </c>
    </row>
    <row r="923" spans="1:11" x14ac:dyDescent="0.35">
      <c r="A923">
        <v>2019</v>
      </c>
      <c r="B923">
        <v>3166105</v>
      </c>
      <c r="C923" t="str">
        <f>VLOOKUP(B923,SAEB!$A:$B,2,0)</f>
        <v>Senhora do Porto</v>
      </c>
      <c r="D923">
        <v>227</v>
      </c>
      <c r="E923">
        <v>0</v>
      </c>
      <c r="F923">
        <v>14</v>
      </c>
      <c r="G923">
        <v>0</v>
      </c>
      <c r="H923" s="7">
        <f t="shared" si="57"/>
        <v>94.190871369294598</v>
      </c>
      <c r="I923" s="7">
        <f t="shared" si="58"/>
        <v>0</v>
      </c>
      <c r="J923" s="7">
        <f t="shared" si="59"/>
        <v>5.809128630705394</v>
      </c>
      <c r="K923" s="7">
        <f t="shared" si="60"/>
        <v>0</v>
      </c>
    </row>
    <row r="924" spans="1:11" x14ac:dyDescent="0.35">
      <c r="A924">
        <v>2019</v>
      </c>
      <c r="B924">
        <v>3166709</v>
      </c>
      <c r="C924" t="str">
        <f>VLOOKUP(B924,SAEB!$A:$B,2,0)</f>
        <v>Serra dos Aimorés</v>
      </c>
      <c r="D924">
        <v>204</v>
      </c>
      <c r="E924">
        <v>0</v>
      </c>
      <c r="F924">
        <v>97</v>
      </c>
      <c r="G924">
        <v>0</v>
      </c>
      <c r="H924" s="7">
        <f t="shared" si="57"/>
        <v>67.774086378737536</v>
      </c>
      <c r="I924" s="7">
        <f t="shared" si="58"/>
        <v>0</v>
      </c>
      <c r="J924" s="7">
        <f t="shared" si="59"/>
        <v>32.225913621262457</v>
      </c>
      <c r="K924" s="7">
        <f t="shared" si="60"/>
        <v>0</v>
      </c>
    </row>
    <row r="925" spans="1:11" x14ac:dyDescent="0.35">
      <c r="A925">
        <v>2019</v>
      </c>
      <c r="B925">
        <v>3166956</v>
      </c>
      <c r="C925" t="str">
        <f>VLOOKUP(B925,SAEB!$A:$B,2,0)</f>
        <v>Serranópolis de Minas</v>
      </c>
      <c r="D925">
        <v>135</v>
      </c>
      <c r="E925">
        <v>0</v>
      </c>
      <c r="F925">
        <v>154</v>
      </c>
      <c r="G925">
        <v>114</v>
      </c>
      <c r="H925" s="7">
        <f t="shared" si="57"/>
        <v>33.498759305210918</v>
      </c>
      <c r="I925" s="7">
        <f t="shared" si="58"/>
        <v>0</v>
      </c>
      <c r="J925" s="7">
        <f t="shared" si="59"/>
        <v>38.213399503722087</v>
      </c>
      <c r="K925" s="7">
        <f t="shared" si="60"/>
        <v>28.287841191066999</v>
      </c>
    </row>
    <row r="926" spans="1:11" x14ac:dyDescent="0.35">
      <c r="A926">
        <v>2019</v>
      </c>
      <c r="B926">
        <v>3168002</v>
      </c>
      <c r="C926" t="str">
        <f>VLOOKUP(B926,SAEB!$A:$B,2,0)</f>
        <v>Taiobeiras</v>
      </c>
      <c r="D926">
        <v>930</v>
      </c>
      <c r="E926">
        <v>182</v>
      </c>
      <c r="F926">
        <v>94</v>
      </c>
      <c r="G926">
        <v>105</v>
      </c>
      <c r="H926" s="7">
        <f t="shared" si="57"/>
        <v>70.938215102974837</v>
      </c>
      <c r="I926" s="7">
        <f t="shared" si="58"/>
        <v>13.882532418001524</v>
      </c>
      <c r="J926" s="7">
        <f t="shared" si="59"/>
        <v>7.1700991609458438</v>
      </c>
      <c r="K926" s="7">
        <f t="shared" si="60"/>
        <v>8.0091533180778036</v>
      </c>
    </row>
    <row r="927" spans="1:11" x14ac:dyDescent="0.35">
      <c r="A927">
        <v>2019</v>
      </c>
      <c r="B927">
        <v>3168051</v>
      </c>
      <c r="C927" t="str">
        <f>VLOOKUP(B927,SAEB!$A:$B,2,0)</f>
        <v>Taparuba</v>
      </c>
      <c r="D927">
        <v>200</v>
      </c>
      <c r="E927">
        <v>36</v>
      </c>
      <c r="F927">
        <v>35</v>
      </c>
      <c r="G927">
        <v>0</v>
      </c>
      <c r="H927" s="7">
        <f t="shared" si="57"/>
        <v>73.800738007380076</v>
      </c>
      <c r="I927" s="7">
        <f t="shared" si="58"/>
        <v>13.284132841328415</v>
      </c>
      <c r="J927" s="7">
        <f t="shared" si="59"/>
        <v>12.915129151291513</v>
      </c>
      <c r="K927" s="7">
        <f t="shared" si="60"/>
        <v>0</v>
      </c>
    </row>
    <row r="928" spans="1:11" x14ac:dyDescent="0.35">
      <c r="A928">
        <v>2019</v>
      </c>
      <c r="B928">
        <v>3168408</v>
      </c>
      <c r="C928" t="str">
        <f>VLOOKUP(B928,SAEB!$A:$B,2,0)</f>
        <v>Tarumirim</v>
      </c>
      <c r="D928">
        <v>188</v>
      </c>
      <c r="E928">
        <v>59</v>
      </c>
      <c r="F928">
        <v>20</v>
      </c>
      <c r="G928">
        <v>13</v>
      </c>
      <c r="H928" s="7">
        <f t="shared" si="57"/>
        <v>67.142857142857139</v>
      </c>
      <c r="I928" s="7">
        <f t="shared" si="58"/>
        <v>21.071428571428573</v>
      </c>
      <c r="J928" s="7">
        <f t="shared" si="59"/>
        <v>7.1428571428571423</v>
      </c>
      <c r="K928" s="7">
        <f t="shared" si="60"/>
        <v>4.6428571428571432</v>
      </c>
    </row>
    <row r="929" spans="1:11" x14ac:dyDescent="0.35">
      <c r="A929">
        <v>2019</v>
      </c>
      <c r="B929">
        <v>3168606</v>
      </c>
      <c r="C929" t="str">
        <f>VLOOKUP(B929,SAEB!$A:$B,2,0)</f>
        <v>Teófilo Otoni</v>
      </c>
      <c r="D929">
        <v>3130</v>
      </c>
      <c r="E929">
        <v>1662</v>
      </c>
      <c r="F929">
        <v>816</v>
      </c>
      <c r="G929">
        <v>223</v>
      </c>
      <c r="H929" s="7">
        <f t="shared" si="57"/>
        <v>53.678614302864005</v>
      </c>
      <c r="I929" s="7">
        <f t="shared" si="58"/>
        <v>28.502829703309896</v>
      </c>
      <c r="J929" s="7">
        <f t="shared" si="59"/>
        <v>13.994169096209912</v>
      </c>
      <c r="K929" s="7">
        <f t="shared" si="60"/>
        <v>3.8243868976161894</v>
      </c>
    </row>
    <row r="930" spans="1:11" x14ac:dyDescent="0.35">
      <c r="A930">
        <v>2019</v>
      </c>
      <c r="B930">
        <v>3169505</v>
      </c>
      <c r="C930" t="str">
        <f>VLOOKUP(B930,SAEB!$A:$B,2,0)</f>
        <v>Tumiritinga</v>
      </c>
      <c r="D930">
        <v>419</v>
      </c>
      <c r="E930">
        <v>0</v>
      </c>
      <c r="F930">
        <v>11</v>
      </c>
      <c r="G930">
        <v>0</v>
      </c>
      <c r="H930" s="7">
        <f t="shared" si="57"/>
        <v>97.441860465116278</v>
      </c>
      <c r="I930" s="7">
        <f t="shared" si="58"/>
        <v>0</v>
      </c>
      <c r="J930" s="7">
        <f t="shared" si="59"/>
        <v>2.558139534883721</v>
      </c>
      <c r="K930" s="7">
        <f t="shared" si="60"/>
        <v>0</v>
      </c>
    </row>
    <row r="931" spans="1:11" x14ac:dyDescent="0.35">
      <c r="A931">
        <v>2019</v>
      </c>
      <c r="B931">
        <v>3169703</v>
      </c>
      <c r="C931" t="str">
        <f>VLOOKUP(B931,SAEB!$A:$B,2,0)</f>
        <v>Turmalina</v>
      </c>
      <c r="D931">
        <v>323</v>
      </c>
      <c r="E931">
        <v>0</v>
      </c>
      <c r="F931">
        <v>175</v>
      </c>
      <c r="G931">
        <v>143</v>
      </c>
      <c r="H931" s="7">
        <f t="shared" si="57"/>
        <v>50.390015600624025</v>
      </c>
      <c r="I931" s="7">
        <f t="shared" si="58"/>
        <v>0</v>
      </c>
      <c r="J931" s="7">
        <f t="shared" si="59"/>
        <v>27.301092043681745</v>
      </c>
      <c r="K931" s="7">
        <f t="shared" si="60"/>
        <v>22.308892355694226</v>
      </c>
    </row>
    <row r="932" spans="1:11" x14ac:dyDescent="0.35">
      <c r="A932">
        <v>2019</v>
      </c>
      <c r="B932">
        <v>3170057</v>
      </c>
      <c r="C932" t="str">
        <f>VLOOKUP(B932,SAEB!$A:$B,2,0)</f>
        <v>Ubaporanga</v>
      </c>
      <c r="D932">
        <v>398</v>
      </c>
      <c r="E932">
        <v>0</v>
      </c>
      <c r="F932">
        <v>76</v>
      </c>
      <c r="G932">
        <v>0</v>
      </c>
      <c r="H932" s="7">
        <f t="shared" si="57"/>
        <v>83.966244725738392</v>
      </c>
      <c r="I932" s="7">
        <f t="shared" si="58"/>
        <v>0</v>
      </c>
      <c r="J932" s="7">
        <f t="shared" si="59"/>
        <v>16.033755274261605</v>
      </c>
      <c r="K932" s="7">
        <f t="shared" si="60"/>
        <v>0</v>
      </c>
    </row>
    <row r="933" spans="1:11" x14ac:dyDescent="0.35">
      <c r="A933">
        <v>2019</v>
      </c>
      <c r="B933">
        <v>3170305</v>
      </c>
      <c r="C933" t="str">
        <f>VLOOKUP(B933,SAEB!$A:$B,2,0)</f>
        <v>Umburatiba</v>
      </c>
      <c r="D933">
        <v>134</v>
      </c>
      <c r="E933">
        <v>0</v>
      </c>
      <c r="F933">
        <v>62</v>
      </c>
      <c r="G933">
        <v>79</v>
      </c>
      <c r="H933" s="7">
        <f t="shared" si="57"/>
        <v>48.727272727272727</v>
      </c>
      <c r="I933" s="7">
        <f t="shared" si="58"/>
        <v>0</v>
      </c>
      <c r="J933" s="7">
        <f t="shared" si="59"/>
        <v>22.545454545454547</v>
      </c>
      <c r="K933" s="7">
        <f t="shared" si="60"/>
        <v>28.72727272727273</v>
      </c>
    </row>
    <row r="934" spans="1:11" x14ac:dyDescent="0.35">
      <c r="A934">
        <v>2019</v>
      </c>
      <c r="B934">
        <v>3170479</v>
      </c>
      <c r="C934" t="str">
        <f>VLOOKUP(B934,SAEB!$A:$B,2,0)</f>
        <v>Uruana de Minas</v>
      </c>
      <c r="D934">
        <v>240</v>
      </c>
      <c r="E934">
        <v>229</v>
      </c>
      <c r="F934">
        <v>0</v>
      </c>
      <c r="G934">
        <v>0</v>
      </c>
      <c r="H934" s="7">
        <f t="shared" si="57"/>
        <v>51.172707889125803</v>
      </c>
      <c r="I934" s="7">
        <f t="shared" si="58"/>
        <v>48.827292110874197</v>
      </c>
      <c r="J934" s="7">
        <f t="shared" si="59"/>
        <v>0</v>
      </c>
      <c r="K934" s="7">
        <f t="shared" si="60"/>
        <v>0</v>
      </c>
    </row>
    <row r="935" spans="1:11" x14ac:dyDescent="0.35">
      <c r="A935">
        <v>2019</v>
      </c>
      <c r="B935">
        <v>3170529</v>
      </c>
      <c r="C935" t="str">
        <f>VLOOKUP(B935,SAEB!$A:$B,2,0)</f>
        <v>Urucuia</v>
      </c>
      <c r="D935">
        <v>489</v>
      </c>
      <c r="E935">
        <v>245</v>
      </c>
      <c r="F935">
        <v>220</v>
      </c>
      <c r="G935">
        <v>284</v>
      </c>
      <c r="H935" s="7">
        <f t="shared" si="57"/>
        <v>39.499192245557353</v>
      </c>
      <c r="I935" s="7">
        <f t="shared" si="58"/>
        <v>19.789983844911145</v>
      </c>
      <c r="J935" s="7">
        <f t="shared" si="59"/>
        <v>17.77059773828756</v>
      </c>
      <c r="K935" s="7">
        <f t="shared" si="60"/>
        <v>22.940226171243943</v>
      </c>
    </row>
    <row r="936" spans="1:11" x14ac:dyDescent="0.35">
      <c r="A936">
        <v>2019</v>
      </c>
      <c r="B936">
        <v>3170651</v>
      </c>
      <c r="C936" t="str">
        <f>VLOOKUP(B936,SAEB!$A:$B,2,0)</f>
        <v>Vargem Grande do Rio Pardo</v>
      </c>
      <c r="D936">
        <v>224</v>
      </c>
      <c r="E936">
        <v>0</v>
      </c>
      <c r="F936">
        <v>64</v>
      </c>
      <c r="G936">
        <v>0</v>
      </c>
      <c r="H936" s="7">
        <f t="shared" si="57"/>
        <v>77.777777777777786</v>
      </c>
      <c r="I936" s="7">
        <f t="shared" si="58"/>
        <v>0</v>
      </c>
      <c r="J936" s="7">
        <f t="shared" si="59"/>
        <v>22.222222222222221</v>
      </c>
      <c r="K936" s="7">
        <f t="shared" si="60"/>
        <v>0</v>
      </c>
    </row>
    <row r="937" spans="1:11" x14ac:dyDescent="0.35">
      <c r="A937">
        <v>2019</v>
      </c>
      <c r="B937">
        <v>3170800</v>
      </c>
      <c r="C937" t="str">
        <f>VLOOKUP(B937,SAEB!$A:$B,2,0)</f>
        <v>Várzea da Palma</v>
      </c>
      <c r="D937">
        <v>1456</v>
      </c>
      <c r="E937">
        <v>0</v>
      </c>
      <c r="F937">
        <v>158</v>
      </c>
      <c r="G937">
        <v>125</v>
      </c>
      <c r="H937" s="7">
        <f t="shared" si="57"/>
        <v>83.726279470960321</v>
      </c>
      <c r="I937" s="7">
        <f t="shared" si="58"/>
        <v>0</v>
      </c>
      <c r="J937" s="7">
        <f t="shared" si="59"/>
        <v>9.0856814261069569</v>
      </c>
      <c r="K937" s="7">
        <f t="shared" si="60"/>
        <v>7.18803910293272</v>
      </c>
    </row>
    <row r="938" spans="1:11" x14ac:dyDescent="0.35">
      <c r="A938">
        <v>2019</v>
      </c>
      <c r="B938">
        <v>3171071</v>
      </c>
      <c r="C938" t="str">
        <f>VLOOKUP(B938,SAEB!$A:$B,2,0)</f>
        <v>Veredinha</v>
      </c>
      <c r="D938">
        <v>296</v>
      </c>
      <c r="E938">
        <v>0</v>
      </c>
      <c r="F938">
        <v>12</v>
      </c>
      <c r="G938">
        <v>0</v>
      </c>
      <c r="H938" s="7">
        <f t="shared" si="57"/>
        <v>96.103896103896105</v>
      </c>
      <c r="I938" s="7">
        <f t="shared" si="58"/>
        <v>0</v>
      </c>
      <c r="J938" s="7">
        <f t="shared" si="59"/>
        <v>3.8961038961038961</v>
      </c>
      <c r="K938" s="7">
        <f t="shared" si="60"/>
        <v>0</v>
      </c>
    </row>
    <row r="939" spans="1:11" x14ac:dyDescent="0.35">
      <c r="A939">
        <v>2019</v>
      </c>
      <c r="B939">
        <v>3171600</v>
      </c>
      <c r="C939" t="str">
        <f>VLOOKUP(B939,SAEB!$A:$B,2,0)</f>
        <v>Virgem da Lapa</v>
      </c>
      <c r="D939">
        <v>337</v>
      </c>
      <c r="E939">
        <v>0</v>
      </c>
      <c r="F939">
        <v>100</v>
      </c>
      <c r="G939">
        <v>0</v>
      </c>
      <c r="H939" s="7">
        <f t="shared" si="57"/>
        <v>77.116704805491992</v>
      </c>
      <c r="I939" s="7">
        <f t="shared" si="58"/>
        <v>0</v>
      </c>
      <c r="J939" s="7">
        <f t="shared" si="59"/>
        <v>22.883295194508012</v>
      </c>
      <c r="K939" s="7">
        <f t="shared" si="60"/>
        <v>0</v>
      </c>
    </row>
    <row r="940" spans="1:11" x14ac:dyDescent="0.35">
      <c r="A940">
        <v>2019</v>
      </c>
      <c r="B940">
        <v>3171808</v>
      </c>
      <c r="C940" t="str">
        <f>VLOOKUP(B940,SAEB!$A:$B,2,0)</f>
        <v>Virginópolis</v>
      </c>
      <c r="D940">
        <v>572</v>
      </c>
      <c r="E940">
        <v>0</v>
      </c>
      <c r="F940">
        <v>154</v>
      </c>
      <c r="G940">
        <v>0</v>
      </c>
      <c r="H940" s="7">
        <f t="shared" si="57"/>
        <v>78.787878787878782</v>
      </c>
      <c r="I940" s="7">
        <f t="shared" si="58"/>
        <v>0</v>
      </c>
      <c r="J940" s="7">
        <f t="shared" si="59"/>
        <v>21.212121212121211</v>
      </c>
      <c r="K940" s="7">
        <f t="shared" si="60"/>
        <v>0</v>
      </c>
    </row>
    <row r="941" spans="1:11" x14ac:dyDescent="0.35">
      <c r="A941">
        <v>2019</v>
      </c>
      <c r="B941">
        <v>3171907</v>
      </c>
      <c r="C941" t="str">
        <f>VLOOKUP(B941,SAEB!$A:$B,2,0)</f>
        <v>Virgolândia</v>
      </c>
      <c r="D941">
        <v>292</v>
      </c>
      <c r="E941">
        <v>0</v>
      </c>
      <c r="F941">
        <v>0</v>
      </c>
      <c r="G941">
        <v>0</v>
      </c>
      <c r="H941" s="7">
        <f t="shared" si="57"/>
        <v>100</v>
      </c>
      <c r="I941" s="7">
        <f t="shared" si="58"/>
        <v>0</v>
      </c>
      <c r="J941" s="7">
        <f t="shared" si="59"/>
        <v>0</v>
      </c>
      <c r="K941" s="7">
        <f t="shared" si="60"/>
        <v>0</v>
      </c>
    </row>
    <row r="942" spans="1:11" x14ac:dyDescent="0.35">
      <c r="A942">
        <v>2020</v>
      </c>
      <c r="B942">
        <v>3101003</v>
      </c>
      <c r="C942" t="str">
        <f>VLOOKUP(B942,SAEB!$A:$B,2,0)</f>
        <v>Águas Vermelhas</v>
      </c>
      <c r="D942">
        <v>298</v>
      </c>
      <c r="E942">
        <v>0</v>
      </c>
      <c r="F942">
        <v>51</v>
      </c>
      <c r="G942">
        <v>0</v>
      </c>
      <c r="H942" s="7">
        <f t="shared" si="57"/>
        <v>85.386819484240689</v>
      </c>
      <c r="I942" s="7">
        <f t="shared" si="58"/>
        <v>0</v>
      </c>
      <c r="J942" s="7">
        <f t="shared" si="59"/>
        <v>14.613180515759314</v>
      </c>
      <c r="K942" s="7">
        <f t="shared" si="60"/>
        <v>0</v>
      </c>
    </row>
    <row r="943" spans="1:11" x14ac:dyDescent="0.35">
      <c r="A943">
        <v>2020</v>
      </c>
      <c r="B943">
        <v>3101102</v>
      </c>
      <c r="C943" t="str">
        <f>VLOOKUP(B943,SAEB!$A:$B,2,0)</f>
        <v>Aimorés</v>
      </c>
      <c r="D943">
        <v>589</v>
      </c>
      <c r="E943">
        <v>466</v>
      </c>
      <c r="F943">
        <v>47</v>
      </c>
      <c r="G943">
        <v>0</v>
      </c>
      <c r="H943" s="7">
        <f t="shared" si="57"/>
        <v>53.448275862068961</v>
      </c>
      <c r="I943" s="7">
        <f t="shared" si="58"/>
        <v>42.286751361161521</v>
      </c>
      <c r="J943" s="7">
        <f t="shared" si="59"/>
        <v>4.2649727767695103</v>
      </c>
      <c r="K943" s="7">
        <f t="shared" si="60"/>
        <v>0</v>
      </c>
    </row>
    <row r="944" spans="1:11" x14ac:dyDescent="0.35">
      <c r="A944">
        <v>2020</v>
      </c>
      <c r="B944">
        <v>3101706</v>
      </c>
      <c r="C944" t="str">
        <f>VLOOKUP(B944,SAEB!$A:$B,2,0)</f>
        <v>Almenara</v>
      </c>
      <c r="D944">
        <v>2236</v>
      </c>
      <c r="E944">
        <v>562</v>
      </c>
      <c r="F944">
        <v>396</v>
      </c>
      <c r="G944">
        <v>205</v>
      </c>
      <c r="H944" s="7">
        <f t="shared" si="57"/>
        <v>65.784054133568688</v>
      </c>
      <c r="I944" s="7">
        <f t="shared" si="58"/>
        <v>16.534274786701971</v>
      </c>
      <c r="J944" s="7">
        <f t="shared" si="59"/>
        <v>11.650485436893204</v>
      </c>
      <c r="K944" s="7">
        <f t="shared" si="60"/>
        <v>6.0311856428361281</v>
      </c>
    </row>
    <row r="945" spans="1:11" x14ac:dyDescent="0.35">
      <c r="A945">
        <v>2020</v>
      </c>
      <c r="B945">
        <v>3101805</v>
      </c>
      <c r="C945" t="str">
        <f>VLOOKUP(B945,SAEB!$A:$B,2,0)</f>
        <v>Alpercata</v>
      </c>
      <c r="D945">
        <v>405</v>
      </c>
      <c r="E945">
        <v>168</v>
      </c>
      <c r="F945">
        <v>63</v>
      </c>
      <c r="G945">
        <v>0</v>
      </c>
      <c r="H945" s="7">
        <f t="shared" si="57"/>
        <v>63.679245283018872</v>
      </c>
      <c r="I945" s="7">
        <f t="shared" si="58"/>
        <v>26.415094339622641</v>
      </c>
      <c r="J945" s="7">
        <f t="shared" si="59"/>
        <v>9.9056603773584904</v>
      </c>
      <c r="K945" s="7">
        <f t="shared" si="60"/>
        <v>0</v>
      </c>
    </row>
    <row r="946" spans="1:11" x14ac:dyDescent="0.35">
      <c r="A946">
        <v>2020</v>
      </c>
      <c r="B946">
        <v>3102852</v>
      </c>
      <c r="C946" t="str">
        <f>VLOOKUP(B946,SAEB!$A:$B,2,0)</f>
        <v>Angelândia</v>
      </c>
      <c r="D946">
        <v>355</v>
      </c>
      <c r="E946">
        <v>0</v>
      </c>
      <c r="F946">
        <v>30</v>
      </c>
      <c r="G946">
        <v>0</v>
      </c>
      <c r="H946" s="7">
        <f t="shared" si="57"/>
        <v>92.20779220779221</v>
      </c>
      <c r="I946" s="7">
        <f t="shared" si="58"/>
        <v>0</v>
      </c>
      <c r="J946" s="7">
        <f t="shared" si="59"/>
        <v>7.7922077922077921</v>
      </c>
      <c r="K946" s="7">
        <f t="shared" si="60"/>
        <v>0</v>
      </c>
    </row>
    <row r="947" spans="1:11" x14ac:dyDescent="0.35">
      <c r="A947">
        <v>2020</v>
      </c>
      <c r="B947">
        <v>3103405</v>
      </c>
      <c r="C947" t="str">
        <f>VLOOKUP(B947,SAEB!$A:$B,2,0)</f>
        <v>Araçuaí</v>
      </c>
      <c r="D947">
        <v>309</v>
      </c>
      <c r="E947">
        <v>0</v>
      </c>
      <c r="F947">
        <v>334</v>
      </c>
      <c r="G947">
        <v>270</v>
      </c>
      <c r="H947" s="7">
        <f t="shared" si="57"/>
        <v>33.844468784227821</v>
      </c>
      <c r="I947" s="7">
        <f t="shared" si="58"/>
        <v>0</v>
      </c>
      <c r="J947" s="7">
        <f t="shared" si="59"/>
        <v>36.58269441401972</v>
      </c>
      <c r="K947" s="7">
        <f t="shared" si="60"/>
        <v>29.572836801752466</v>
      </c>
    </row>
    <row r="948" spans="1:11" x14ac:dyDescent="0.35">
      <c r="A948">
        <v>2020</v>
      </c>
      <c r="B948">
        <v>3104452</v>
      </c>
      <c r="C948" t="str">
        <f>VLOOKUP(B948,SAEB!$A:$B,2,0)</f>
        <v>Aricanduva</v>
      </c>
      <c r="D948">
        <v>180</v>
      </c>
      <c r="E948">
        <v>0</v>
      </c>
      <c r="F948">
        <v>38</v>
      </c>
      <c r="G948">
        <v>0</v>
      </c>
      <c r="H948" s="7">
        <f t="shared" si="57"/>
        <v>82.568807339449549</v>
      </c>
      <c r="I948" s="7">
        <f t="shared" si="58"/>
        <v>0</v>
      </c>
      <c r="J948" s="7">
        <f t="shared" si="59"/>
        <v>17.431192660550458</v>
      </c>
      <c r="K948" s="7">
        <f t="shared" si="60"/>
        <v>0</v>
      </c>
    </row>
    <row r="949" spans="1:11" x14ac:dyDescent="0.35">
      <c r="A949">
        <v>2020</v>
      </c>
      <c r="B949">
        <v>3104502</v>
      </c>
      <c r="C949" t="str">
        <f>VLOOKUP(B949,SAEB!$A:$B,2,0)</f>
        <v>Arinos</v>
      </c>
      <c r="D949">
        <v>342</v>
      </c>
      <c r="E949">
        <v>71</v>
      </c>
      <c r="F949">
        <v>278</v>
      </c>
      <c r="G949">
        <v>212</v>
      </c>
      <c r="H949" s="7">
        <f t="shared" si="57"/>
        <v>37.873754152823921</v>
      </c>
      <c r="I949" s="7">
        <f t="shared" si="58"/>
        <v>7.8626799557032108</v>
      </c>
      <c r="J949" s="7">
        <f t="shared" si="59"/>
        <v>30.78626799557032</v>
      </c>
      <c r="K949" s="7">
        <f t="shared" si="60"/>
        <v>23.477297895902545</v>
      </c>
    </row>
    <row r="950" spans="1:11" x14ac:dyDescent="0.35">
      <c r="A950">
        <v>2020</v>
      </c>
      <c r="B950">
        <v>3104700</v>
      </c>
      <c r="C950" t="str">
        <f>VLOOKUP(B950,SAEB!$A:$B,2,0)</f>
        <v>Ataléia</v>
      </c>
      <c r="D950">
        <v>175</v>
      </c>
      <c r="E950">
        <v>59</v>
      </c>
      <c r="F950">
        <v>258</v>
      </c>
      <c r="G950">
        <v>0</v>
      </c>
      <c r="H950" s="7">
        <f t="shared" si="57"/>
        <v>35.569105691056912</v>
      </c>
      <c r="I950" s="7">
        <f t="shared" si="58"/>
        <v>11.991869918699187</v>
      </c>
      <c r="J950" s="7">
        <f t="shared" si="59"/>
        <v>52.439024390243901</v>
      </c>
      <c r="K950" s="7">
        <f t="shared" si="60"/>
        <v>0</v>
      </c>
    </row>
    <row r="951" spans="1:11" x14ac:dyDescent="0.35">
      <c r="A951">
        <v>2020</v>
      </c>
      <c r="B951">
        <v>3105202</v>
      </c>
      <c r="C951" t="str">
        <f>VLOOKUP(B951,SAEB!$A:$B,2,0)</f>
        <v>Bandeira</v>
      </c>
      <c r="D951">
        <v>144</v>
      </c>
      <c r="E951">
        <v>0</v>
      </c>
      <c r="F951">
        <v>52</v>
      </c>
      <c r="G951">
        <v>48</v>
      </c>
      <c r="H951" s="7">
        <f t="shared" si="57"/>
        <v>59.016393442622949</v>
      </c>
      <c r="I951" s="7">
        <f t="shared" si="58"/>
        <v>0</v>
      </c>
      <c r="J951" s="7">
        <f t="shared" si="59"/>
        <v>21.311475409836063</v>
      </c>
      <c r="K951" s="7">
        <f t="shared" si="60"/>
        <v>19.672131147540984</v>
      </c>
    </row>
    <row r="952" spans="1:11" x14ac:dyDescent="0.35">
      <c r="A952">
        <v>2020</v>
      </c>
      <c r="B952">
        <v>3106655</v>
      </c>
      <c r="C952" t="str">
        <f>VLOOKUP(B952,SAEB!$A:$B,2,0)</f>
        <v>Berizal</v>
      </c>
      <c r="D952">
        <v>226</v>
      </c>
      <c r="E952">
        <v>0</v>
      </c>
      <c r="F952">
        <v>19</v>
      </c>
      <c r="G952">
        <v>0</v>
      </c>
      <c r="H952" s="7">
        <f t="shared" si="57"/>
        <v>92.244897959183675</v>
      </c>
      <c r="I952" s="7">
        <f t="shared" si="58"/>
        <v>0</v>
      </c>
      <c r="J952" s="7">
        <f t="shared" si="59"/>
        <v>7.7551020408163263</v>
      </c>
      <c r="K952" s="7">
        <f t="shared" si="60"/>
        <v>0</v>
      </c>
    </row>
    <row r="953" spans="1:11" x14ac:dyDescent="0.35">
      <c r="A953">
        <v>2020</v>
      </c>
      <c r="B953">
        <v>3107307</v>
      </c>
      <c r="C953" t="str">
        <f>VLOOKUP(B953,SAEB!$A:$B,2,0)</f>
        <v>Bocaiúva</v>
      </c>
      <c r="D953">
        <v>367</v>
      </c>
      <c r="E953">
        <v>291</v>
      </c>
      <c r="F953">
        <v>268</v>
      </c>
      <c r="G953">
        <v>191</v>
      </c>
      <c r="H953" s="7">
        <f t="shared" si="57"/>
        <v>32.855863921217548</v>
      </c>
      <c r="I953" s="7">
        <f t="shared" si="58"/>
        <v>26.051924798567594</v>
      </c>
      <c r="J953" s="7">
        <f t="shared" si="59"/>
        <v>23.992837958818264</v>
      </c>
      <c r="K953" s="7">
        <f t="shared" si="60"/>
        <v>17.099373321396598</v>
      </c>
    </row>
    <row r="954" spans="1:11" x14ac:dyDescent="0.35">
      <c r="A954">
        <v>2020</v>
      </c>
      <c r="B954">
        <v>3108206</v>
      </c>
      <c r="C954" t="str">
        <f>VLOOKUP(B954,SAEB!$A:$B,2,0)</f>
        <v>Bonfinópolis de Minas</v>
      </c>
      <c r="D954">
        <v>236</v>
      </c>
      <c r="E954">
        <v>200</v>
      </c>
      <c r="F954">
        <v>33</v>
      </c>
      <c r="G954">
        <v>0</v>
      </c>
      <c r="H954" s="7">
        <f t="shared" si="57"/>
        <v>50.319829424307038</v>
      </c>
      <c r="I954" s="7">
        <f t="shared" si="58"/>
        <v>42.643923240938165</v>
      </c>
      <c r="J954" s="7">
        <f t="shared" si="59"/>
        <v>7.0362473347547976</v>
      </c>
      <c r="K954" s="7">
        <f t="shared" si="60"/>
        <v>0</v>
      </c>
    </row>
    <row r="955" spans="1:11" x14ac:dyDescent="0.35">
      <c r="A955">
        <v>2020</v>
      </c>
      <c r="B955">
        <v>3108602</v>
      </c>
      <c r="C955" t="str">
        <f>VLOOKUP(B955,SAEB!$A:$B,2,0)</f>
        <v>Brasília de Minas</v>
      </c>
      <c r="D955">
        <v>0</v>
      </c>
      <c r="E955">
        <v>146</v>
      </c>
      <c r="F955">
        <v>419</v>
      </c>
      <c r="G955">
        <v>136</v>
      </c>
      <c r="H955" s="7">
        <f t="shared" si="57"/>
        <v>0</v>
      </c>
      <c r="I955" s="7">
        <f t="shared" si="58"/>
        <v>20.827389443651924</v>
      </c>
      <c r="J955" s="7">
        <f t="shared" si="59"/>
        <v>59.77175463623395</v>
      </c>
      <c r="K955" s="7">
        <f t="shared" si="60"/>
        <v>19.400855920114125</v>
      </c>
    </row>
    <row r="956" spans="1:11" x14ac:dyDescent="0.35">
      <c r="A956">
        <v>2020</v>
      </c>
      <c r="B956">
        <v>3109204</v>
      </c>
      <c r="C956" t="str">
        <f>VLOOKUP(B956,SAEB!$A:$B,2,0)</f>
        <v>Buenópolis</v>
      </c>
      <c r="D956">
        <v>564</v>
      </c>
      <c r="E956">
        <v>0</v>
      </c>
      <c r="F956">
        <v>43</v>
      </c>
      <c r="G956">
        <v>0</v>
      </c>
      <c r="H956" s="7">
        <f t="shared" si="57"/>
        <v>92.915980230642504</v>
      </c>
      <c r="I956" s="7">
        <f t="shared" si="58"/>
        <v>0</v>
      </c>
      <c r="J956" s="7">
        <f t="shared" si="59"/>
        <v>7.0840197693574956</v>
      </c>
      <c r="K956" s="7">
        <f t="shared" si="60"/>
        <v>0</v>
      </c>
    </row>
    <row r="957" spans="1:11" x14ac:dyDescent="0.35">
      <c r="A957">
        <v>2020</v>
      </c>
      <c r="B957">
        <v>3109402</v>
      </c>
      <c r="C957" t="str">
        <f>VLOOKUP(B957,SAEB!$A:$B,2,0)</f>
        <v>Buritizeiro</v>
      </c>
      <c r="D957">
        <v>1056</v>
      </c>
      <c r="E957">
        <v>0</v>
      </c>
      <c r="F957">
        <v>105</v>
      </c>
      <c r="G957">
        <v>0</v>
      </c>
      <c r="H957" s="7">
        <f t="shared" si="57"/>
        <v>90.956072351421184</v>
      </c>
      <c r="I957" s="7">
        <f t="shared" si="58"/>
        <v>0</v>
      </c>
      <c r="J957" s="7">
        <f t="shared" si="59"/>
        <v>9.043927648578812</v>
      </c>
      <c r="K957" s="7">
        <f t="shared" si="60"/>
        <v>0</v>
      </c>
    </row>
    <row r="958" spans="1:11" x14ac:dyDescent="0.35">
      <c r="A958">
        <v>2020</v>
      </c>
      <c r="B958">
        <v>3102704</v>
      </c>
      <c r="C958" t="str">
        <f>VLOOKUP(B958,SAEB!$A:$B,2,0)</f>
        <v>Cachoeira de Pajeú</v>
      </c>
      <c r="D958">
        <v>185</v>
      </c>
      <c r="E958">
        <v>0</v>
      </c>
      <c r="F958">
        <v>323</v>
      </c>
      <c r="G958">
        <v>81</v>
      </c>
      <c r="H958" s="7">
        <f t="shared" si="57"/>
        <v>31.409168081494059</v>
      </c>
      <c r="I958" s="7">
        <f t="shared" si="58"/>
        <v>0</v>
      </c>
      <c r="J958" s="7">
        <f t="shared" si="59"/>
        <v>54.838709677419352</v>
      </c>
      <c r="K958" s="7">
        <f t="shared" si="60"/>
        <v>13.752122241086587</v>
      </c>
    </row>
    <row r="959" spans="1:11" x14ac:dyDescent="0.35">
      <c r="A959">
        <v>2020</v>
      </c>
      <c r="B959">
        <v>3110806</v>
      </c>
      <c r="C959" t="str">
        <f>VLOOKUP(B959,SAEB!$A:$B,2,0)</f>
        <v>Campanário</v>
      </c>
      <c r="D959">
        <v>233</v>
      </c>
      <c r="E959">
        <v>0</v>
      </c>
      <c r="F959">
        <v>0</v>
      </c>
      <c r="G959">
        <v>0</v>
      </c>
      <c r="H959" s="7">
        <f t="shared" si="57"/>
        <v>100</v>
      </c>
      <c r="I959" s="7">
        <f t="shared" si="58"/>
        <v>0</v>
      </c>
      <c r="J959" s="7">
        <f t="shared" si="59"/>
        <v>0</v>
      </c>
      <c r="K959" s="7">
        <f t="shared" si="60"/>
        <v>0</v>
      </c>
    </row>
    <row r="960" spans="1:11" x14ac:dyDescent="0.35">
      <c r="A960">
        <v>2020</v>
      </c>
      <c r="B960">
        <v>3111150</v>
      </c>
      <c r="C960" t="str">
        <f>VLOOKUP(B960,SAEB!$A:$B,2,0)</f>
        <v>Campo Azul</v>
      </c>
      <c r="D960">
        <v>152</v>
      </c>
      <c r="E960">
        <v>0</v>
      </c>
      <c r="F960">
        <v>93</v>
      </c>
      <c r="G960">
        <v>65</v>
      </c>
      <c r="H960" s="7">
        <f t="shared" si="57"/>
        <v>49.032258064516128</v>
      </c>
      <c r="I960" s="7">
        <f t="shared" si="58"/>
        <v>0</v>
      </c>
      <c r="J960" s="7">
        <f t="shared" si="59"/>
        <v>30</v>
      </c>
      <c r="K960" s="7">
        <f t="shared" si="60"/>
        <v>20.967741935483872</v>
      </c>
    </row>
    <row r="961" spans="1:11" x14ac:dyDescent="0.35">
      <c r="A961">
        <v>2020</v>
      </c>
      <c r="B961">
        <v>3112059</v>
      </c>
      <c r="C961" t="str">
        <f>VLOOKUP(B961,SAEB!$A:$B,2,0)</f>
        <v>Cantagalo</v>
      </c>
      <c r="D961">
        <v>227</v>
      </c>
      <c r="E961">
        <v>0</v>
      </c>
      <c r="F961">
        <v>73</v>
      </c>
      <c r="G961">
        <v>0</v>
      </c>
      <c r="H961" s="7">
        <f t="shared" si="57"/>
        <v>75.666666666666671</v>
      </c>
      <c r="I961" s="7">
        <f t="shared" si="58"/>
        <v>0</v>
      </c>
      <c r="J961" s="7">
        <f t="shared" si="59"/>
        <v>24.333333333333336</v>
      </c>
      <c r="K961" s="7">
        <f t="shared" si="60"/>
        <v>0</v>
      </c>
    </row>
    <row r="962" spans="1:11" x14ac:dyDescent="0.35">
      <c r="A962">
        <v>2020</v>
      </c>
      <c r="B962">
        <v>3112307</v>
      </c>
      <c r="C962" t="str">
        <f>VLOOKUP(B962,SAEB!$A:$B,2,0)</f>
        <v>Capelinha</v>
      </c>
      <c r="D962">
        <v>576</v>
      </c>
      <c r="E962">
        <v>0</v>
      </c>
      <c r="F962">
        <v>378</v>
      </c>
      <c r="G962">
        <v>0</v>
      </c>
      <c r="H962" s="7">
        <f t="shared" si="57"/>
        <v>60.377358490566039</v>
      </c>
      <c r="I962" s="7">
        <f t="shared" si="58"/>
        <v>0</v>
      </c>
      <c r="J962" s="7">
        <f t="shared" si="59"/>
        <v>39.622641509433961</v>
      </c>
      <c r="K962" s="7">
        <f t="shared" si="60"/>
        <v>0</v>
      </c>
    </row>
    <row r="963" spans="1:11" x14ac:dyDescent="0.35">
      <c r="A963">
        <v>2020</v>
      </c>
      <c r="B963">
        <v>3112703</v>
      </c>
      <c r="C963" t="str">
        <f>VLOOKUP(B963,SAEB!$A:$B,2,0)</f>
        <v>Capitão Enéas</v>
      </c>
      <c r="D963">
        <v>379</v>
      </c>
      <c r="E963">
        <v>236</v>
      </c>
      <c r="F963">
        <v>74</v>
      </c>
      <c r="G963">
        <v>32</v>
      </c>
      <c r="H963" s="7">
        <f t="shared" ref="H963:H1026" si="61">D963/SUM($D963:$G963)*100</f>
        <v>52.565880721220523</v>
      </c>
      <c r="I963" s="7">
        <f t="shared" ref="I963:I1026" si="62">E963/SUM($D963:$G963)*100</f>
        <v>32.732316227461858</v>
      </c>
      <c r="J963" s="7">
        <f t="shared" ref="J963:J1026" si="63">F963/SUM($D963:$G963)*100</f>
        <v>10.263522884882107</v>
      </c>
      <c r="K963" s="7">
        <f t="shared" ref="K963:K1026" si="64">G963/SUM($D963:$G963)*100</f>
        <v>4.438280166435506</v>
      </c>
    </row>
    <row r="964" spans="1:11" x14ac:dyDescent="0.35">
      <c r="A964">
        <v>2020</v>
      </c>
      <c r="B964">
        <v>3113008</v>
      </c>
      <c r="C964" t="str">
        <f>VLOOKUP(B964,SAEB!$A:$B,2,0)</f>
        <v>Caraí</v>
      </c>
      <c r="D964">
        <v>62</v>
      </c>
      <c r="E964">
        <v>167</v>
      </c>
      <c r="F964">
        <v>637</v>
      </c>
      <c r="G964">
        <v>371</v>
      </c>
      <c r="H964" s="7">
        <f t="shared" si="61"/>
        <v>5.0121261115602262</v>
      </c>
      <c r="I964" s="7">
        <f t="shared" si="62"/>
        <v>13.500404203718674</v>
      </c>
      <c r="J964" s="7">
        <f t="shared" si="63"/>
        <v>51.495553759094584</v>
      </c>
      <c r="K964" s="7">
        <f t="shared" si="64"/>
        <v>29.991915925626518</v>
      </c>
    </row>
    <row r="965" spans="1:11" x14ac:dyDescent="0.35">
      <c r="A965">
        <v>2020</v>
      </c>
      <c r="B965">
        <v>3113503</v>
      </c>
      <c r="C965" t="str">
        <f>VLOOKUP(B965,SAEB!$A:$B,2,0)</f>
        <v>Carbonita</v>
      </c>
      <c r="D965">
        <v>482</v>
      </c>
      <c r="E965">
        <v>0</v>
      </c>
      <c r="F965">
        <v>60</v>
      </c>
      <c r="G965">
        <v>52</v>
      </c>
      <c r="H965" s="7">
        <f t="shared" si="61"/>
        <v>81.144781144781149</v>
      </c>
      <c r="I965" s="7">
        <f t="shared" si="62"/>
        <v>0</v>
      </c>
      <c r="J965" s="7">
        <f t="shared" si="63"/>
        <v>10.1010101010101</v>
      </c>
      <c r="K965" s="7">
        <f t="shared" si="64"/>
        <v>8.7542087542087543</v>
      </c>
    </row>
    <row r="966" spans="1:11" x14ac:dyDescent="0.35">
      <c r="A966">
        <v>2020</v>
      </c>
      <c r="B966">
        <v>3113701</v>
      </c>
      <c r="C966" t="str">
        <f>VLOOKUP(B966,SAEB!$A:$B,2,0)</f>
        <v>Carlos Chagas</v>
      </c>
      <c r="D966">
        <v>889</v>
      </c>
      <c r="E966">
        <v>256</v>
      </c>
      <c r="F966">
        <v>260</v>
      </c>
      <c r="G966">
        <v>124</v>
      </c>
      <c r="H966" s="7">
        <f t="shared" si="61"/>
        <v>58.142576847612816</v>
      </c>
      <c r="I966" s="7">
        <f t="shared" si="62"/>
        <v>16.742969260954872</v>
      </c>
      <c r="J966" s="7">
        <f t="shared" si="63"/>
        <v>17.004578155657292</v>
      </c>
      <c r="K966" s="7">
        <f t="shared" si="64"/>
        <v>8.1098757357750166</v>
      </c>
    </row>
    <row r="967" spans="1:11" x14ac:dyDescent="0.35">
      <c r="A967">
        <v>2020</v>
      </c>
      <c r="B967">
        <v>3113800</v>
      </c>
      <c r="C967" t="str">
        <f>VLOOKUP(B967,SAEB!$A:$B,2,0)</f>
        <v>Carmésia</v>
      </c>
      <c r="D967">
        <v>150</v>
      </c>
      <c r="E967">
        <v>136</v>
      </c>
      <c r="F967">
        <v>0</v>
      </c>
      <c r="G967">
        <v>0</v>
      </c>
      <c r="H967" s="7">
        <f t="shared" si="61"/>
        <v>52.447552447552447</v>
      </c>
      <c r="I967" s="7">
        <f t="shared" si="62"/>
        <v>47.552447552447553</v>
      </c>
      <c r="J967" s="7">
        <f t="shared" si="63"/>
        <v>0</v>
      </c>
      <c r="K967" s="7">
        <f t="shared" si="64"/>
        <v>0</v>
      </c>
    </row>
    <row r="968" spans="1:11" x14ac:dyDescent="0.35">
      <c r="A968">
        <v>2020</v>
      </c>
      <c r="B968">
        <v>3115458</v>
      </c>
      <c r="C968" t="str">
        <f>VLOOKUP(B968,SAEB!$A:$B,2,0)</f>
        <v>Catuji</v>
      </c>
      <c r="D968">
        <v>246</v>
      </c>
      <c r="E968">
        <v>0</v>
      </c>
      <c r="F968">
        <v>258</v>
      </c>
      <c r="G968">
        <v>0</v>
      </c>
      <c r="H968" s="7">
        <f t="shared" si="61"/>
        <v>48.80952380952381</v>
      </c>
      <c r="I968" s="7">
        <f t="shared" si="62"/>
        <v>0</v>
      </c>
      <c r="J968" s="7">
        <f t="shared" si="63"/>
        <v>51.19047619047619</v>
      </c>
      <c r="K968" s="7">
        <f t="shared" si="64"/>
        <v>0</v>
      </c>
    </row>
    <row r="969" spans="1:11" x14ac:dyDescent="0.35">
      <c r="A969">
        <v>2020</v>
      </c>
      <c r="B969">
        <v>3115474</v>
      </c>
      <c r="C969" t="str">
        <f>VLOOKUP(B969,SAEB!$A:$B,2,0)</f>
        <v>Catuti</v>
      </c>
      <c r="D969">
        <v>179</v>
      </c>
      <c r="E969">
        <v>0</v>
      </c>
      <c r="F969">
        <v>108</v>
      </c>
      <c r="G969">
        <v>66</v>
      </c>
      <c r="H969" s="7">
        <f t="shared" si="61"/>
        <v>50.708215297450423</v>
      </c>
      <c r="I969" s="7">
        <f t="shared" si="62"/>
        <v>0</v>
      </c>
      <c r="J969" s="7">
        <f t="shared" si="63"/>
        <v>30.594900849858359</v>
      </c>
      <c r="K969" s="7">
        <f t="shared" si="64"/>
        <v>18.696883852691219</v>
      </c>
    </row>
    <row r="970" spans="1:11" x14ac:dyDescent="0.35">
      <c r="A970">
        <v>2020</v>
      </c>
      <c r="B970">
        <v>3116100</v>
      </c>
      <c r="C970" t="str">
        <f>VLOOKUP(B970,SAEB!$A:$B,2,0)</f>
        <v>Chapada do Norte</v>
      </c>
      <c r="D970">
        <v>187</v>
      </c>
      <c r="E970">
        <v>0</v>
      </c>
      <c r="F970">
        <v>257</v>
      </c>
      <c r="G970">
        <v>0</v>
      </c>
      <c r="H970" s="7">
        <f t="shared" si="61"/>
        <v>42.117117117117111</v>
      </c>
      <c r="I970" s="7">
        <f t="shared" si="62"/>
        <v>0</v>
      </c>
      <c r="J970" s="7">
        <f t="shared" si="63"/>
        <v>57.882882882882882</v>
      </c>
      <c r="K970" s="7">
        <f t="shared" si="64"/>
        <v>0</v>
      </c>
    </row>
    <row r="971" spans="1:11" x14ac:dyDescent="0.35">
      <c r="A971">
        <v>2020</v>
      </c>
      <c r="B971">
        <v>3116159</v>
      </c>
      <c r="C971" t="str">
        <f>VLOOKUP(B971,SAEB!$A:$B,2,0)</f>
        <v>Chapada Gaúcha</v>
      </c>
      <c r="D971">
        <v>480</v>
      </c>
      <c r="E971">
        <v>114</v>
      </c>
      <c r="F971">
        <v>276</v>
      </c>
      <c r="G971">
        <v>260</v>
      </c>
      <c r="H971" s="7">
        <f t="shared" si="61"/>
        <v>42.477876106194692</v>
      </c>
      <c r="I971" s="7">
        <f t="shared" si="62"/>
        <v>10.08849557522124</v>
      </c>
      <c r="J971" s="7">
        <f t="shared" si="63"/>
        <v>24.424778761061948</v>
      </c>
      <c r="K971" s="7">
        <f t="shared" si="64"/>
        <v>23.008849557522122</v>
      </c>
    </row>
    <row r="972" spans="1:11" x14ac:dyDescent="0.35">
      <c r="A972">
        <v>2020</v>
      </c>
      <c r="B972">
        <v>3116506</v>
      </c>
      <c r="C972" t="str">
        <f>VLOOKUP(B972,SAEB!$A:$B,2,0)</f>
        <v>Claro dos Poções</v>
      </c>
      <c r="D972">
        <v>319</v>
      </c>
      <c r="E972">
        <v>0</v>
      </c>
      <c r="F972">
        <v>14</v>
      </c>
      <c r="G972">
        <v>15</v>
      </c>
      <c r="H972" s="7">
        <f t="shared" si="61"/>
        <v>91.666666666666657</v>
      </c>
      <c r="I972" s="7">
        <f t="shared" si="62"/>
        <v>0</v>
      </c>
      <c r="J972" s="7">
        <f t="shared" si="63"/>
        <v>4.0229885057471266</v>
      </c>
      <c r="K972" s="7">
        <f t="shared" si="64"/>
        <v>4.3103448275862073</v>
      </c>
    </row>
    <row r="973" spans="1:11" x14ac:dyDescent="0.35">
      <c r="A973">
        <v>2020</v>
      </c>
      <c r="B973">
        <v>3116803</v>
      </c>
      <c r="C973" t="str">
        <f>VLOOKUP(B973,SAEB!$A:$B,2,0)</f>
        <v>Coluna</v>
      </c>
      <c r="D973">
        <v>113</v>
      </c>
      <c r="E973">
        <v>0</v>
      </c>
      <c r="F973">
        <v>228</v>
      </c>
      <c r="G973">
        <v>0</v>
      </c>
      <c r="H973" s="7">
        <f t="shared" si="61"/>
        <v>33.137829912023456</v>
      </c>
      <c r="I973" s="7">
        <f t="shared" si="62"/>
        <v>0</v>
      </c>
      <c r="J973" s="7">
        <f t="shared" si="63"/>
        <v>66.862170087976537</v>
      </c>
      <c r="K973" s="7">
        <f t="shared" si="64"/>
        <v>0</v>
      </c>
    </row>
    <row r="974" spans="1:11" x14ac:dyDescent="0.35">
      <c r="A974">
        <v>2020</v>
      </c>
      <c r="B974">
        <v>3117009</v>
      </c>
      <c r="C974" t="str">
        <f>VLOOKUP(B974,SAEB!$A:$B,2,0)</f>
        <v>Comercinho</v>
      </c>
      <c r="D974">
        <v>223</v>
      </c>
      <c r="E974">
        <v>0</v>
      </c>
      <c r="F974">
        <v>146</v>
      </c>
      <c r="G974">
        <v>88</v>
      </c>
      <c r="H974" s="7">
        <f t="shared" si="61"/>
        <v>48.796498905908095</v>
      </c>
      <c r="I974" s="7">
        <f t="shared" si="62"/>
        <v>0</v>
      </c>
      <c r="J974" s="7">
        <f t="shared" si="63"/>
        <v>31.947483588621445</v>
      </c>
      <c r="K974" s="7">
        <f t="shared" si="64"/>
        <v>19.25601750547046</v>
      </c>
    </row>
    <row r="975" spans="1:11" x14ac:dyDescent="0.35">
      <c r="A975">
        <v>2020</v>
      </c>
      <c r="B975">
        <v>3118403</v>
      </c>
      <c r="C975" t="str">
        <f>VLOOKUP(B975,SAEB!$A:$B,2,0)</f>
        <v>Conselheiro Pena</v>
      </c>
      <c r="D975">
        <v>764</v>
      </c>
      <c r="E975">
        <v>76</v>
      </c>
      <c r="F975">
        <v>98</v>
      </c>
      <c r="G975">
        <v>66</v>
      </c>
      <c r="H975" s="7">
        <f t="shared" si="61"/>
        <v>76.095617529880471</v>
      </c>
      <c r="I975" s="7">
        <f t="shared" si="62"/>
        <v>7.569721115537849</v>
      </c>
      <c r="J975" s="7">
        <f t="shared" si="63"/>
        <v>9.760956175298805</v>
      </c>
      <c r="K975" s="7">
        <f t="shared" si="64"/>
        <v>6.573705179282868</v>
      </c>
    </row>
    <row r="976" spans="1:11" x14ac:dyDescent="0.35">
      <c r="A976">
        <v>2020</v>
      </c>
      <c r="B976">
        <v>3119104</v>
      </c>
      <c r="C976" t="str">
        <f>VLOOKUP(B976,SAEB!$A:$B,2,0)</f>
        <v>Corinto</v>
      </c>
      <c r="D976">
        <v>1310</v>
      </c>
      <c r="E976">
        <v>394</v>
      </c>
      <c r="F976">
        <v>7</v>
      </c>
      <c r="G976">
        <v>0</v>
      </c>
      <c r="H976" s="7">
        <f t="shared" si="61"/>
        <v>76.563413208649905</v>
      </c>
      <c r="I976" s="7">
        <f t="shared" si="62"/>
        <v>23.027469316189364</v>
      </c>
      <c r="J976" s="7">
        <f t="shared" si="63"/>
        <v>0.40911747516072472</v>
      </c>
      <c r="K976" s="7">
        <f t="shared" si="64"/>
        <v>0</v>
      </c>
    </row>
    <row r="977" spans="1:11" x14ac:dyDescent="0.35">
      <c r="A977">
        <v>2020</v>
      </c>
      <c r="B977">
        <v>3119203</v>
      </c>
      <c r="C977" t="str">
        <f>VLOOKUP(B977,SAEB!$A:$B,2,0)</f>
        <v>Coroaci</v>
      </c>
      <c r="D977">
        <v>369</v>
      </c>
      <c r="E977">
        <v>57</v>
      </c>
      <c r="F977">
        <v>178</v>
      </c>
      <c r="G977">
        <v>103</v>
      </c>
      <c r="H977" s="7">
        <f t="shared" si="61"/>
        <v>52.192362093352195</v>
      </c>
      <c r="I977" s="7">
        <f t="shared" si="62"/>
        <v>8.0622347949080613</v>
      </c>
      <c r="J977" s="7">
        <f t="shared" si="63"/>
        <v>25.176803394625175</v>
      </c>
      <c r="K977" s="7">
        <f t="shared" si="64"/>
        <v>14.568599717114569</v>
      </c>
    </row>
    <row r="978" spans="1:11" x14ac:dyDescent="0.35">
      <c r="A978">
        <v>2020</v>
      </c>
      <c r="B978">
        <v>3119500</v>
      </c>
      <c r="C978" t="str">
        <f>VLOOKUP(B978,SAEB!$A:$B,2,0)</f>
        <v>Coronel Murta</v>
      </c>
      <c r="D978">
        <v>396</v>
      </c>
      <c r="E978">
        <v>328</v>
      </c>
      <c r="F978">
        <v>23</v>
      </c>
      <c r="G978">
        <v>0</v>
      </c>
      <c r="H978" s="7">
        <f t="shared" si="61"/>
        <v>53.01204819277109</v>
      </c>
      <c r="I978" s="7">
        <f t="shared" si="62"/>
        <v>43.908969210174028</v>
      </c>
      <c r="J978" s="7">
        <f t="shared" si="63"/>
        <v>3.0789825970548863</v>
      </c>
      <c r="K978" s="7">
        <f t="shared" si="64"/>
        <v>0</v>
      </c>
    </row>
    <row r="979" spans="1:11" x14ac:dyDescent="0.35">
      <c r="A979">
        <v>2020</v>
      </c>
      <c r="B979">
        <v>3120151</v>
      </c>
      <c r="C979" t="str">
        <f>VLOOKUP(B979,SAEB!$A:$B,2,0)</f>
        <v>Crisólita</v>
      </c>
      <c r="D979">
        <v>380</v>
      </c>
      <c r="E979">
        <v>126</v>
      </c>
      <c r="F979">
        <v>0</v>
      </c>
      <c r="G979">
        <v>0</v>
      </c>
      <c r="H979" s="7">
        <f t="shared" si="61"/>
        <v>75.098814229249015</v>
      </c>
      <c r="I979" s="7">
        <f t="shared" si="62"/>
        <v>24.901185770750988</v>
      </c>
      <c r="J979" s="7">
        <f t="shared" si="63"/>
        <v>0</v>
      </c>
      <c r="K979" s="7">
        <f t="shared" si="64"/>
        <v>0</v>
      </c>
    </row>
    <row r="980" spans="1:11" x14ac:dyDescent="0.35">
      <c r="A980">
        <v>2020</v>
      </c>
      <c r="B980">
        <v>3120870</v>
      </c>
      <c r="C980" t="str">
        <f>VLOOKUP(B980,SAEB!$A:$B,2,0)</f>
        <v>Curral de Dentro</v>
      </c>
      <c r="D980">
        <v>400</v>
      </c>
      <c r="E980">
        <v>0</v>
      </c>
      <c r="F980">
        <v>161</v>
      </c>
      <c r="G980">
        <v>0</v>
      </c>
      <c r="H980" s="7">
        <f t="shared" si="61"/>
        <v>71.301247771836003</v>
      </c>
      <c r="I980" s="7">
        <f t="shared" si="62"/>
        <v>0</v>
      </c>
      <c r="J980" s="7">
        <f t="shared" si="63"/>
        <v>28.698752228163993</v>
      </c>
      <c r="K980" s="7">
        <f t="shared" si="64"/>
        <v>0</v>
      </c>
    </row>
    <row r="981" spans="1:11" x14ac:dyDescent="0.35">
      <c r="A981">
        <v>2020</v>
      </c>
      <c r="B981">
        <v>3120904</v>
      </c>
      <c r="C981" t="str">
        <f>VLOOKUP(B981,SAEB!$A:$B,2,0)</f>
        <v>Curvelo</v>
      </c>
      <c r="D981">
        <v>3560</v>
      </c>
      <c r="E981">
        <v>0</v>
      </c>
      <c r="F981">
        <v>397</v>
      </c>
      <c r="G981">
        <v>0</v>
      </c>
      <c r="H981" s="7">
        <f t="shared" si="61"/>
        <v>89.967146828405347</v>
      </c>
      <c r="I981" s="7">
        <f t="shared" si="62"/>
        <v>0</v>
      </c>
      <c r="J981" s="7">
        <f t="shared" si="63"/>
        <v>10.032853171594642</v>
      </c>
      <c r="K981" s="7">
        <f t="shared" si="64"/>
        <v>0</v>
      </c>
    </row>
    <row r="982" spans="1:11" x14ac:dyDescent="0.35">
      <c r="A982">
        <v>2020</v>
      </c>
      <c r="B982">
        <v>3121001</v>
      </c>
      <c r="C982" t="str">
        <f>VLOOKUP(B982,SAEB!$A:$B,2,0)</f>
        <v>Datas</v>
      </c>
      <c r="D982">
        <v>266</v>
      </c>
      <c r="E982">
        <v>0</v>
      </c>
      <c r="F982">
        <v>143</v>
      </c>
      <c r="G982">
        <v>0</v>
      </c>
      <c r="H982" s="7">
        <f t="shared" si="61"/>
        <v>65.036674816625919</v>
      </c>
      <c r="I982" s="7">
        <f t="shared" si="62"/>
        <v>0</v>
      </c>
      <c r="J982" s="7">
        <f t="shared" si="63"/>
        <v>34.963325183374081</v>
      </c>
      <c r="K982" s="7">
        <f t="shared" si="64"/>
        <v>0</v>
      </c>
    </row>
    <row r="983" spans="1:11" x14ac:dyDescent="0.35">
      <c r="A983">
        <v>2020</v>
      </c>
      <c r="B983">
        <v>3121605</v>
      </c>
      <c r="C983" t="str">
        <f>VLOOKUP(B983,SAEB!$A:$B,2,0)</f>
        <v>Diamantina</v>
      </c>
      <c r="D983">
        <v>613</v>
      </c>
      <c r="E983">
        <v>77</v>
      </c>
      <c r="F983">
        <v>345</v>
      </c>
      <c r="G983">
        <v>78</v>
      </c>
      <c r="H983" s="7">
        <f t="shared" si="61"/>
        <v>55.076370170709801</v>
      </c>
      <c r="I983" s="7">
        <f t="shared" si="62"/>
        <v>6.9182389937106921</v>
      </c>
      <c r="J983" s="7">
        <f t="shared" si="63"/>
        <v>30.997304582210244</v>
      </c>
      <c r="K983" s="7">
        <f t="shared" si="64"/>
        <v>7.0080862533692727</v>
      </c>
    </row>
    <row r="984" spans="1:11" x14ac:dyDescent="0.35">
      <c r="A984">
        <v>2020</v>
      </c>
      <c r="B984">
        <v>3122108</v>
      </c>
      <c r="C984" t="str">
        <f>VLOOKUP(B984,SAEB!$A:$B,2,0)</f>
        <v>Divino das Laranjeiras</v>
      </c>
      <c r="D984">
        <v>142</v>
      </c>
      <c r="E984">
        <v>0</v>
      </c>
      <c r="F984">
        <v>0</v>
      </c>
      <c r="G984">
        <v>0</v>
      </c>
      <c r="H984" s="7">
        <f t="shared" si="61"/>
        <v>100</v>
      </c>
      <c r="I984" s="7">
        <f t="shared" si="62"/>
        <v>0</v>
      </c>
      <c r="J984" s="7">
        <f t="shared" si="63"/>
        <v>0</v>
      </c>
      <c r="K984" s="7">
        <f t="shared" si="64"/>
        <v>0</v>
      </c>
    </row>
    <row r="985" spans="1:11" x14ac:dyDescent="0.35">
      <c r="A985">
        <v>2020</v>
      </c>
      <c r="B985">
        <v>3122207</v>
      </c>
      <c r="C985" t="str">
        <f>VLOOKUP(B985,SAEB!$A:$B,2,0)</f>
        <v>Divinolândia de Minas</v>
      </c>
      <c r="D985">
        <v>377</v>
      </c>
      <c r="E985">
        <v>0</v>
      </c>
      <c r="F985">
        <v>149</v>
      </c>
      <c r="G985">
        <v>0</v>
      </c>
      <c r="H985" s="7">
        <f t="shared" si="61"/>
        <v>71.673003802281372</v>
      </c>
      <c r="I985" s="7">
        <f t="shared" si="62"/>
        <v>0</v>
      </c>
      <c r="J985" s="7">
        <f t="shared" si="63"/>
        <v>28.326996197718628</v>
      </c>
      <c r="K985" s="7">
        <f t="shared" si="64"/>
        <v>0</v>
      </c>
    </row>
    <row r="986" spans="1:11" x14ac:dyDescent="0.35">
      <c r="A986">
        <v>2020</v>
      </c>
      <c r="B986">
        <v>3122454</v>
      </c>
      <c r="C986" t="str">
        <f>VLOOKUP(B986,SAEB!$A:$B,2,0)</f>
        <v>Divisópolis</v>
      </c>
      <c r="D986">
        <v>513</v>
      </c>
      <c r="E986">
        <v>0</v>
      </c>
      <c r="F986">
        <v>64</v>
      </c>
      <c r="G986">
        <v>0</v>
      </c>
      <c r="H986" s="7">
        <f t="shared" si="61"/>
        <v>88.908145580589263</v>
      </c>
      <c r="I986" s="7">
        <f t="shared" si="62"/>
        <v>0</v>
      </c>
      <c r="J986" s="7">
        <f t="shared" si="63"/>
        <v>11.091854419410744</v>
      </c>
      <c r="K986" s="7">
        <f t="shared" si="64"/>
        <v>0</v>
      </c>
    </row>
    <row r="987" spans="1:11" x14ac:dyDescent="0.35">
      <c r="A987">
        <v>2020</v>
      </c>
      <c r="B987">
        <v>3122470</v>
      </c>
      <c r="C987" t="str">
        <f>VLOOKUP(B987,SAEB!$A:$B,2,0)</f>
        <v>Dom Bosco</v>
      </c>
      <c r="D987">
        <v>46</v>
      </c>
      <c r="E987">
        <v>39</v>
      </c>
      <c r="F987">
        <v>79</v>
      </c>
      <c r="G987">
        <v>0</v>
      </c>
      <c r="H987" s="7">
        <f t="shared" si="61"/>
        <v>28.04878048780488</v>
      </c>
      <c r="I987" s="7">
        <f t="shared" si="62"/>
        <v>23.780487804878049</v>
      </c>
      <c r="J987" s="7">
        <f t="shared" si="63"/>
        <v>48.170731707317074</v>
      </c>
      <c r="K987" s="7">
        <f t="shared" si="64"/>
        <v>0</v>
      </c>
    </row>
    <row r="988" spans="1:11" x14ac:dyDescent="0.35">
      <c r="A988">
        <v>2020</v>
      </c>
      <c r="B988">
        <v>3123106</v>
      </c>
      <c r="C988" t="str">
        <f>VLOOKUP(B988,SAEB!$A:$B,2,0)</f>
        <v>Dores de Guanhães</v>
      </c>
      <c r="D988">
        <v>209</v>
      </c>
      <c r="E988">
        <v>0</v>
      </c>
      <c r="F988">
        <v>98</v>
      </c>
      <c r="G988">
        <v>0</v>
      </c>
      <c r="H988" s="7">
        <f t="shared" si="61"/>
        <v>68.078175895765469</v>
      </c>
      <c r="I988" s="7">
        <f t="shared" si="62"/>
        <v>0</v>
      </c>
      <c r="J988" s="7">
        <f t="shared" si="63"/>
        <v>31.921824104234524</v>
      </c>
      <c r="K988" s="7">
        <f t="shared" si="64"/>
        <v>0</v>
      </c>
    </row>
    <row r="989" spans="1:11" x14ac:dyDescent="0.35">
      <c r="A989">
        <v>2020</v>
      </c>
      <c r="B989">
        <v>3123700</v>
      </c>
      <c r="C989" t="str">
        <f>VLOOKUP(B989,SAEB!$A:$B,2,0)</f>
        <v>Engenheiro Caldas</v>
      </c>
      <c r="D989">
        <v>619</v>
      </c>
      <c r="E989">
        <v>126</v>
      </c>
      <c r="F989">
        <v>0</v>
      </c>
      <c r="G989">
        <v>0</v>
      </c>
      <c r="H989" s="7">
        <f t="shared" si="61"/>
        <v>83.087248322147659</v>
      </c>
      <c r="I989" s="7">
        <f t="shared" si="62"/>
        <v>16.912751677852349</v>
      </c>
      <c r="J989" s="7">
        <f t="shared" si="63"/>
        <v>0</v>
      </c>
      <c r="K989" s="7">
        <f t="shared" si="64"/>
        <v>0</v>
      </c>
    </row>
    <row r="990" spans="1:11" x14ac:dyDescent="0.35">
      <c r="A990">
        <v>2020</v>
      </c>
      <c r="B990">
        <v>3123809</v>
      </c>
      <c r="C990" t="str">
        <f>VLOOKUP(B990,SAEB!$A:$B,2,0)</f>
        <v>Engenheiro Navarro</v>
      </c>
      <c r="D990">
        <v>381</v>
      </c>
      <c r="E990">
        <v>0</v>
      </c>
      <c r="F990">
        <v>37</v>
      </c>
      <c r="G990">
        <v>0</v>
      </c>
      <c r="H990" s="7">
        <f t="shared" si="61"/>
        <v>91.148325358851679</v>
      </c>
      <c r="I990" s="7">
        <f t="shared" si="62"/>
        <v>0</v>
      </c>
      <c r="J990" s="7">
        <f t="shared" si="63"/>
        <v>8.8516746411483265</v>
      </c>
      <c r="K990" s="7">
        <f t="shared" si="64"/>
        <v>0</v>
      </c>
    </row>
    <row r="991" spans="1:11" x14ac:dyDescent="0.35">
      <c r="A991">
        <v>2020</v>
      </c>
      <c r="B991">
        <v>3124302</v>
      </c>
      <c r="C991" t="str">
        <f>VLOOKUP(B991,SAEB!$A:$B,2,0)</f>
        <v>Espinosa</v>
      </c>
      <c r="D991">
        <v>393</v>
      </c>
      <c r="E991">
        <v>0</v>
      </c>
      <c r="F991">
        <v>494</v>
      </c>
      <c r="G991">
        <v>0</v>
      </c>
      <c r="H991" s="7">
        <f t="shared" si="61"/>
        <v>44.306651634723785</v>
      </c>
      <c r="I991" s="7">
        <f t="shared" si="62"/>
        <v>0</v>
      </c>
      <c r="J991" s="7">
        <f t="shared" si="63"/>
        <v>55.693348365276208</v>
      </c>
      <c r="K991" s="7">
        <f t="shared" si="64"/>
        <v>0</v>
      </c>
    </row>
    <row r="992" spans="1:11" x14ac:dyDescent="0.35">
      <c r="A992">
        <v>2020</v>
      </c>
      <c r="B992">
        <v>3125408</v>
      </c>
      <c r="C992" t="str">
        <f>VLOOKUP(B992,SAEB!$A:$B,2,0)</f>
        <v>Felício dos Santos</v>
      </c>
      <c r="D992">
        <v>0</v>
      </c>
      <c r="E992">
        <v>0</v>
      </c>
      <c r="F992">
        <v>374</v>
      </c>
      <c r="G992">
        <v>0</v>
      </c>
      <c r="H992" s="7">
        <f t="shared" si="61"/>
        <v>0</v>
      </c>
      <c r="I992" s="7">
        <f t="shared" si="62"/>
        <v>0</v>
      </c>
      <c r="J992" s="7">
        <f t="shared" si="63"/>
        <v>100</v>
      </c>
      <c r="K992" s="7">
        <f t="shared" si="64"/>
        <v>0</v>
      </c>
    </row>
    <row r="993" spans="1:11" x14ac:dyDescent="0.35">
      <c r="A993">
        <v>2020</v>
      </c>
      <c r="B993">
        <v>3125705</v>
      </c>
      <c r="C993" t="str">
        <f>VLOOKUP(B993,SAEB!$A:$B,2,0)</f>
        <v>Felixlândia</v>
      </c>
      <c r="D993">
        <v>644</v>
      </c>
      <c r="E993">
        <v>444</v>
      </c>
      <c r="F993">
        <v>62</v>
      </c>
      <c r="G993">
        <v>0</v>
      </c>
      <c r="H993" s="7">
        <f t="shared" si="61"/>
        <v>56.000000000000007</v>
      </c>
      <c r="I993" s="7">
        <f t="shared" si="62"/>
        <v>38.608695652173914</v>
      </c>
      <c r="J993" s="7">
        <f t="shared" si="63"/>
        <v>5.3913043478260869</v>
      </c>
      <c r="K993" s="7">
        <f t="shared" si="64"/>
        <v>0</v>
      </c>
    </row>
    <row r="994" spans="1:11" x14ac:dyDescent="0.35">
      <c r="A994">
        <v>2020</v>
      </c>
      <c r="B994">
        <v>3126604</v>
      </c>
      <c r="C994" t="str">
        <f>VLOOKUP(B994,SAEB!$A:$B,2,0)</f>
        <v>Francisco Dumont</v>
      </c>
      <c r="D994">
        <v>257</v>
      </c>
      <c r="E994">
        <v>0</v>
      </c>
      <c r="F994">
        <v>55</v>
      </c>
      <c r="G994">
        <v>47</v>
      </c>
      <c r="H994" s="7">
        <f t="shared" si="61"/>
        <v>71.587743732590525</v>
      </c>
      <c r="I994" s="7">
        <f t="shared" si="62"/>
        <v>0</v>
      </c>
      <c r="J994" s="7">
        <f t="shared" si="63"/>
        <v>15.32033426183844</v>
      </c>
      <c r="K994" s="7">
        <f t="shared" si="64"/>
        <v>13.09192200557103</v>
      </c>
    </row>
    <row r="995" spans="1:11" x14ac:dyDescent="0.35">
      <c r="A995">
        <v>2020</v>
      </c>
      <c r="B995">
        <v>3126703</v>
      </c>
      <c r="C995" t="str">
        <f>VLOOKUP(B995,SAEB!$A:$B,2,0)</f>
        <v>Francisco Sá</v>
      </c>
      <c r="D995">
        <v>558</v>
      </c>
      <c r="E995">
        <v>126</v>
      </c>
      <c r="F995">
        <v>267</v>
      </c>
      <c r="G995">
        <v>83</v>
      </c>
      <c r="H995" s="7">
        <f t="shared" si="61"/>
        <v>53.965183752417801</v>
      </c>
      <c r="I995" s="7">
        <f t="shared" si="62"/>
        <v>12.185686653771761</v>
      </c>
      <c r="J995" s="7">
        <f t="shared" si="63"/>
        <v>25.822050290135394</v>
      </c>
      <c r="K995" s="7">
        <f t="shared" si="64"/>
        <v>8.0270793036750483</v>
      </c>
    </row>
    <row r="996" spans="1:11" x14ac:dyDescent="0.35">
      <c r="A996">
        <v>2020</v>
      </c>
      <c r="B996">
        <v>3126901</v>
      </c>
      <c r="C996" t="str">
        <f>VLOOKUP(B996,SAEB!$A:$B,2,0)</f>
        <v>Frei Inocêncio</v>
      </c>
      <c r="D996">
        <v>294</v>
      </c>
      <c r="E996">
        <v>0</v>
      </c>
      <c r="F996">
        <v>63</v>
      </c>
      <c r="G996">
        <v>0</v>
      </c>
      <c r="H996" s="7">
        <f t="shared" si="61"/>
        <v>82.35294117647058</v>
      </c>
      <c r="I996" s="7">
        <f t="shared" si="62"/>
        <v>0</v>
      </c>
      <c r="J996" s="7">
        <f t="shared" si="63"/>
        <v>17.647058823529413</v>
      </c>
      <c r="K996" s="7">
        <f t="shared" si="64"/>
        <v>0</v>
      </c>
    </row>
    <row r="997" spans="1:11" x14ac:dyDescent="0.35">
      <c r="A997">
        <v>2020</v>
      </c>
      <c r="B997">
        <v>3127073</v>
      </c>
      <c r="C997" t="str">
        <f>VLOOKUP(B997,SAEB!$A:$B,2,0)</f>
        <v>Fruta de Leite</v>
      </c>
      <c r="D997">
        <v>0</v>
      </c>
      <c r="E997">
        <v>0</v>
      </c>
      <c r="F997">
        <v>209</v>
      </c>
      <c r="G997">
        <v>0</v>
      </c>
      <c r="H997" s="7">
        <f t="shared" si="61"/>
        <v>0</v>
      </c>
      <c r="I997" s="7">
        <f t="shared" si="62"/>
        <v>0</v>
      </c>
      <c r="J997" s="7">
        <f t="shared" si="63"/>
        <v>100</v>
      </c>
      <c r="K997" s="7">
        <f t="shared" si="64"/>
        <v>0</v>
      </c>
    </row>
    <row r="998" spans="1:11" x14ac:dyDescent="0.35">
      <c r="A998">
        <v>2020</v>
      </c>
      <c r="B998">
        <v>3127354</v>
      </c>
      <c r="C998" t="str">
        <f>VLOOKUP(B998,SAEB!$A:$B,2,0)</f>
        <v>Glaucilândia</v>
      </c>
      <c r="D998">
        <v>104</v>
      </c>
      <c r="E998">
        <v>0</v>
      </c>
      <c r="F998">
        <v>83</v>
      </c>
      <c r="G998">
        <v>0</v>
      </c>
      <c r="H998" s="7">
        <f t="shared" si="61"/>
        <v>55.614973262032088</v>
      </c>
      <c r="I998" s="7">
        <f t="shared" si="62"/>
        <v>0</v>
      </c>
      <c r="J998" s="7">
        <f t="shared" si="63"/>
        <v>44.385026737967912</v>
      </c>
      <c r="K998" s="7">
        <f t="shared" si="64"/>
        <v>0</v>
      </c>
    </row>
    <row r="999" spans="1:11" x14ac:dyDescent="0.35">
      <c r="A999">
        <v>2020</v>
      </c>
      <c r="B999">
        <v>3127503</v>
      </c>
      <c r="C999" t="str">
        <f>VLOOKUP(B999,SAEB!$A:$B,2,0)</f>
        <v>Gonzaga</v>
      </c>
      <c r="D999">
        <v>274</v>
      </c>
      <c r="E999">
        <v>0</v>
      </c>
      <c r="F999">
        <v>111</v>
      </c>
      <c r="G999">
        <v>0</v>
      </c>
      <c r="H999" s="7">
        <f t="shared" si="61"/>
        <v>71.168831168831176</v>
      </c>
      <c r="I999" s="7">
        <f t="shared" si="62"/>
        <v>0</v>
      </c>
      <c r="J999" s="7">
        <f t="shared" si="63"/>
        <v>28.831168831168831</v>
      </c>
      <c r="K999" s="7">
        <f t="shared" si="64"/>
        <v>0</v>
      </c>
    </row>
    <row r="1000" spans="1:11" x14ac:dyDescent="0.35">
      <c r="A1000">
        <v>2020</v>
      </c>
      <c r="B1000">
        <v>3127602</v>
      </c>
      <c r="C1000" t="str">
        <f>VLOOKUP(B1000,SAEB!$A:$B,2,0)</f>
        <v>Gouveia</v>
      </c>
      <c r="D1000">
        <v>633</v>
      </c>
      <c r="E1000">
        <v>0</v>
      </c>
      <c r="F1000">
        <v>75</v>
      </c>
      <c r="G1000">
        <v>49</v>
      </c>
      <c r="H1000" s="7">
        <f t="shared" si="61"/>
        <v>83.619550858652588</v>
      </c>
      <c r="I1000" s="7">
        <f t="shared" si="62"/>
        <v>0</v>
      </c>
      <c r="J1000" s="7">
        <f t="shared" si="63"/>
        <v>9.9075297225891674</v>
      </c>
      <c r="K1000" s="7">
        <f t="shared" si="64"/>
        <v>6.4729194187582566</v>
      </c>
    </row>
    <row r="1001" spans="1:11" x14ac:dyDescent="0.35">
      <c r="A1001">
        <v>2020</v>
      </c>
      <c r="B1001">
        <v>3127701</v>
      </c>
      <c r="C1001" t="str">
        <f>VLOOKUP(B1001,SAEB!$A:$B,2,0)</f>
        <v>Governador Valadares</v>
      </c>
      <c r="D1001">
        <v>5959</v>
      </c>
      <c r="E1001">
        <v>2245</v>
      </c>
      <c r="F1001">
        <v>428</v>
      </c>
      <c r="G1001">
        <v>326</v>
      </c>
      <c r="H1001" s="7">
        <f t="shared" si="61"/>
        <v>66.521544987720475</v>
      </c>
      <c r="I1001" s="7">
        <f t="shared" si="62"/>
        <v>25.061397633400311</v>
      </c>
      <c r="J1001" s="7">
        <f t="shared" si="63"/>
        <v>4.7778521991515968</v>
      </c>
      <c r="K1001" s="7">
        <f t="shared" si="64"/>
        <v>3.6392051797276177</v>
      </c>
    </row>
    <row r="1002" spans="1:11" x14ac:dyDescent="0.35">
      <c r="A1002">
        <v>2020</v>
      </c>
      <c r="B1002">
        <v>3128006</v>
      </c>
      <c r="C1002" t="str">
        <f>VLOOKUP(B1002,SAEB!$A:$B,2,0)</f>
        <v>Guanhães</v>
      </c>
      <c r="D1002">
        <v>1392</v>
      </c>
      <c r="E1002">
        <v>0</v>
      </c>
      <c r="F1002">
        <v>89</v>
      </c>
      <c r="G1002">
        <v>0</v>
      </c>
      <c r="H1002" s="7">
        <f t="shared" si="61"/>
        <v>93.990546927751524</v>
      </c>
      <c r="I1002" s="7">
        <f t="shared" si="62"/>
        <v>0</v>
      </c>
      <c r="J1002" s="7">
        <f t="shared" si="63"/>
        <v>6.0094530722484807</v>
      </c>
      <c r="K1002" s="7">
        <f t="shared" si="64"/>
        <v>0</v>
      </c>
    </row>
    <row r="1003" spans="1:11" x14ac:dyDescent="0.35">
      <c r="A1003">
        <v>2020</v>
      </c>
      <c r="B1003">
        <v>3128253</v>
      </c>
      <c r="C1003" t="str">
        <f>VLOOKUP(B1003,SAEB!$A:$B,2,0)</f>
        <v>Guaraciama</v>
      </c>
      <c r="D1003">
        <v>322</v>
      </c>
      <c r="E1003">
        <v>0</v>
      </c>
      <c r="F1003">
        <v>0</v>
      </c>
      <c r="G1003">
        <v>0</v>
      </c>
      <c r="H1003" s="7">
        <f t="shared" si="61"/>
        <v>100</v>
      </c>
      <c r="I1003" s="7">
        <f t="shared" si="62"/>
        <v>0</v>
      </c>
      <c r="J1003" s="7">
        <f t="shared" si="63"/>
        <v>0</v>
      </c>
      <c r="K1003" s="7">
        <f t="shared" si="64"/>
        <v>0</v>
      </c>
    </row>
    <row r="1004" spans="1:11" x14ac:dyDescent="0.35">
      <c r="A1004">
        <v>2020</v>
      </c>
      <c r="B1004">
        <v>3129657</v>
      </c>
      <c r="C1004" t="str">
        <f>VLOOKUP(B1004,SAEB!$A:$B,2,0)</f>
        <v>Ibiracatu</v>
      </c>
      <c r="D1004">
        <v>102</v>
      </c>
      <c r="E1004">
        <v>131</v>
      </c>
      <c r="F1004">
        <v>91</v>
      </c>
      <c r="G1004">
        <v>34</v>
      </c>
      <c r="H1004" s="7">
        <f t="shared" si="61"/>
        <v>28.491620111731841</v>
      </c>
      <c r="I1004" s="7">
        <f t="shared" si="62"/>
        <v>36.592178770949715</v>
      </c>
      <c r="J1004" s="7">
        <f t="shared" si="63"/>
        <v>25.41899441340782</v>
      </c>
      <c r="K1004" s="7">
        <f t="shared" si="64"/>
        <v>9.4972067039106136</v>
      </c>
    </row>
    <row r="1005" spans="1:11" x14ac:dyDescent="0.35">
      <c r="A1005">
        <v>2020</v>
      </c>
      <c r="B1005">
        <v>3130051</v>
      </c>
      <c r="C1005" t="str">
        <f>VLOOKUP(B1005,SAEB!$A:$B,2,0)</f>
        <v>Icaraí de Minas</v>
      </c>
      <c r="D1005">
        <v>370</v>
      </c>
      <c r="E1005">
        <v>0</v>
      </c>
      <c r="F1005">
        <v>83</v>
      </c>
      <c r="G1005">
        <v>0</v>
      </c>
      <c r="H1005" s="7">
        <f t="shared" si="61"/>
        <v>81.677704194260485</v>
      </c>
      <c r="I1005" s="7">
        <f t="shared" si="62"/>
        <v>0</v>
      </c>
      <c r="J1005" s="7">
        <f t="shared" si="63"/>
        <v>18.322295805739515</v>
      </c>
      <c r="K1005" s="7">
        <f t="shared" si="64"/>
        <v>0</v>
      </c>
    </row>
    <row r="1006" spans="1:11" x14ac:dyDescent="0.35">
      <c r="A1006">
        <v>2020</v>
      </c>
      <c r="B1006">
        <v>3130556</v>
      </c>
      <c r="C1006" t="str">
        <f>VLOOKUP(B1006,SAEB!$A:$B,2,0)</f>
        <v>Imbé de Minas</v>
      </c>
      <c r="D1006">
        <v>266</v>
      </c>
      <c r="E1006">
        <v>0</v>
      </c>
      <c r="F1006">
        <v>167</v>
      </c>
      <c r="G1006">
        <v>0</v>
      </c>
      <c r="H1006" s="7">
        <f t="shared" si="61"/>
        <v>61.431870669745962</v>
      </c>
      <c r="I1006" s="7">
        <f t="shared" si="62"/>
        <v>0</v>
      </c>
      <c r="J1006" s="7">
        <f t="shared" si="63"/>
        <v>38.568129330254038</v>
      </c>
      <c r="K1006" s="7">
        <f t="shared" si="64"/>
        <v>0</v>
      </c>
    </row>
    <row r="1007" spans="1:11" x14ac:dyDescent="0.35">
      <c r="A1007">
        <v>2020</v>
      </c>
      <c r="B1007">
        <v>3130655</v>
      </c>
      <c r="C1007" t="str">
        <f>VLOOKUP(B1007,SAEB!$A:$B,2,0)</f>
        <v>Indaiabira</v>
      </c>
      <c r="D1007">
        <v>139</v>
      </c>
      <c r="E1007">
        <v>0</v>
      </c>
      <c r="F1007">
        <v>160</v>
      </c>
      <c r="G1007">
        <v>76</v>
      </c>
      <c r="H1007" s="7">
        <f t="shared" si="61"/>
        <v>37.066666666666663</v>
      </c>
      <c r="I1007" s="7">
        <f t="shared" si="62"/>
        <v>0</v>
      </c>
      <c r="J1007" s="7">
        <f t="shared" si="63"/>
        <v>42.666666666666671</v>
      </c>
      <c r="K1007" s="7">
        <f t="shared" si="64"/>
        <v>20.266666666666666</v>
      </c>
    </row>
    <row r="1008" spans="1:11" x14ac:dyDescent="0.35">
      <c r="A1008">
        <v>2020</v>
      </c>
      <c r="B1008">
        <v>3130903</v>
      </c>
      <c r="C1008" t="str">
        <f>VLOOKUP(B1008,SAEB!$A:$B,2,0)</f>
        <v>Inhapim</v>
      </c>
      <c r="D1008">
        <v>316</v>
      </c>
      <c r="E1008">
        <v>0</v>
      </c>
      <c r="F1008">
        <v>412</v>
      </c>
      <c r="G1008">
        <v>79</v>
      </c>
      <c r="H1008" s="7">
        <f t="shared" si="61"/>
        <v>39.157372986369268</v>
      </c>
      <c r="I1008" s="7">
        <f t="shared" si="62"/>
        <v>0</v>
      </c>
      <c r="J1008" s="7">
        <f t="shared" si="63"/>
        <v>51.053283767038415</v>
      </c>
      <c r="K1008" s="7">
        <f t="shared" si="64"/>
        <v>9.7893432465923169</v>
      </c>
    </row>
    <row r="1009" spans="1:11" x14ac:dyDescent="0.35">
      <c r="A1009">
        <v>2020</v>
      </c>
      <c r="B1009">
        <v>3131109</v>
      </c>
      <c r="C1009" t="str">
        <f>VLOOKUP(B1009,SAEB!$A:$B,2,0)</f>
        <v>Inimutaba</v>
      </c>
      <c r="D1009">
        <v>317</v>
      </c>
      <c r="E1009">
        <v>0</v>
      </c>
      <c r="F1009">
        <v>68</v>
      </c>
      <c r="G1009">
        <v>0</v>
      </c>
      <c r="H1009" s="7">
        <f t="shared" si="61"/>
        <v>82.337662337662337</v>
      </c>
      <c r="I1009" s="7">
        <f t="shared" si="62"/>
        <v>0</v>
      </c>
      <c r="J1009" s="7">
        <f t="shared" si="63"/>
        <v>17.662337662337663</v>
      </c>
      <c r="K1009" s="7">
        <f t="shared" si="64"/>
        <v>0</v>
      </c>
    </row>
    <row r="1010" spans="1:11" x14ac:dyDescent="0.35">
      <c r="A1010">
        <v>2020</v>
      </c>
      <c r="B1010">
        <v>3131208</v>
      </c>
      <c r="C1010" t="str">
        <f>VLOOKUP(B1010,SAEB!$A:$B,2,0)</f>
        <v>Ipanema</v>
      </c>
      <c r="D1010">
        <v>615</v>
      </c>
      <c r="E1010">
        <v>436</v>
      </c>
      <c r="F1010">
        <v>37</v>
      </c>
      <c r="G1010">
        <v>34</v>
      </c>
      <c r="H1010" s="7">
        <f t="shared" si="61"/>
        <v>54.81283422459893</v>
      </c>
      <c r="I1010" s="7">
        <f t="shared" si="62"/>
        <v>38.859180035650624</v>
      </c>
      <c r="J1010" s="7">
        <f t="shared" si="63"/>
        <v>3.297682709447415</v>
      </c>
      <c r="K1010" s="7">
        <f t="shared" si="64"/>
        <v>3.0303030303030303</v>
      </c>
    </row>
    <row r="1011" spans="1:11" x14ac:dyDescent="0.35">
      <c r="A1011">
        <v>2020</v>
      </c>
      <c r="B1011">
        <v>3131802</v>
      </c>
      <c r="C1011" t="str">
        <f>VLOOKUP(B1011,SAEB!$A:$B,2,0)</f>
        <v>Itabirinha</v>
      </c>
      <c r="D1011">
        <v>450</v>
      </c>
      <c r="E1011">
        <v>0</v>
      </c>
      <c r="F1011">
        <v>107</v>
      </c>
      <c r="G1011">
        <v>0</v>
      </c>
      <c r="H1011" s="7">
        <f t="shared" si="61"/>
        <v>80.789946140035909</v>
      </c>
      <c r="I1011" s="7">
        <f t="shared" si="62"/>
        <v>0</v>
      </c>
      <c r="J1011" s="7">
        <f t="shared" si="63"/>
        <v>19.210053859964095</v>
      </c>
      <c r="K1011" s="7">
        <f t="shared" si="64"/>
        <v>0</v>
      </c>
    </row>
    <row r="1012" spans="1:11" x14ac:dyDescent="0.35">
      <c r="A1012">
        <v>2020</v>
      </c>
      <c r="B1012">
        <v>3132107</v>
      </c>
      <c r="C1012" t="str">
        <f>VLOOKUP(B1012,SAEB!$A:$B,2,0)</f>
        <v>Itacarambi</v>
      </c>
      <c r="D1012">
        <v>910</v>
      </c>
      <c r="E1012">
        <v>827</v>
      </c>
      <c r="F1012">
        <v>93</v>
      </c>
      <c r="G1012">
        <v>96</v>
      </c>
      <c r="H1012" s="7">
        <f t="shared" si="61"/>
        <v>47.248182762201452</v>
      </c>
      <c r="I1012" s="7">
        <f t="shared" si="62"/>
        <v>42.938733125649016</v>
      </c>
      <c r="J1012" s="7">
        <f t="shared" si="63"/>
        <v>4.8286604361370715</v>
      </c>
      <c r="K1012" s="7">
        <f t="shared" si="64"/>
        <v>4.9844236760124607</v>
      </c>
    </row>
    <row r="1013" spans="1:11" x14ac:dyDescent="0.35">
      <c r="A1013">
        <v>2020</v>
      </c>
      <c r="B1013">
        <v>3132305</v>
      </c>
      <c r="C1013" t="str">
        <f>VLOOKUP(B1013,SAEB!$A:$B,2,0)</f>
        <v>Itaipé</v>
      </c>
      <c r="D1013">
        <v>267</v>
      </c>
      <c r="E1013">
        <v>421</v>
      </c>
      <c r="F1013">
        <v>344</v>
      </c>
      <c r="G1013">
        <v>0</v>
      </c>
      <c r="H1013" s="7">
        <f t="shared" si="61"/>
        <v>25.872093023255815</v>
      </c>
      <c r="I1013" s="7">
        <f t="shared" si="62"/>
        <v>40.79457364341085</v>
      </c>
      <c r="J1013" s="7">
        <f t="shared" si="63"/>
        <v>33.333333333333329</v>
      </c>
      <c r="K1013" s="7">
        <f t="shared" si="64"/>
        <v>0</v>
      </c>
    </row>
    <row r="1014" spans="1:11" x14ac:dyDescent="0.35">
      <c r="A1014">
        <v>2020</v>
      </c>
      <c r="B1014">
        <v>3132503</v>
      </c>
      <c r="C1014" t="str">
        <f>VLOOKUP(B1014,SAEB!$A:$B,2,0)</f>
        <v>Itamarandiba</v>
      </c>
      <c r="D1014">
        <v>1261</v>
      </c>
      <c r="E1014">
        <v>250</v>
      </c>
      <c r="F1014">
        <v>269</v>
      </c>
      <c r="G1014">
        <v>56</v>
      </c>
      <c r="H1014" s="7">
        <f t="shared" si="61"/>
        <v>68.68191721132898</v>
      </c>
      <c r="I1014" s="7">
        <f t="shared" si="62"/>
        <v>13.616557734204793</v>
      </c>
      <c r="J1014" s="7">
        <f t="shared" si="63"/>
        <v>14.651416122004356</v>
      </c>
      <c r="K1014" s="7">
        <f t="shared" si="64"/>
        <v>3.0501089324618738</v>
      </c>
    </row>
    <row r="1015" spans="1:11" x14ac:dyDescent="0.35">
      <c r="A1015">
        <v>2020</v>
      </c>
      <c r="B1015">
        <v>3132701</v>
      </c>
      <c r="C1015" t="str">
        <f>VLOOKUP(B1015,SAEB!$A:$B,2,0)</f>
        <v>Itambacuri</v>
      </c>
      <c r="D1015">
        <v>171</v>
      </c>
      <c r="E1015">
        <v>67</v>
      </c>
      <c r="F1015">
        <v>399</v>
      </c>
      <c r="G1015">
        <v>280</v>
      </c>
      <c r="H1015" s="7">
        <f t="shared" si="61"/>
        <v>18.647764449291166</v>
      </c>
      <c r="I1015" s="7">
        <f t="shared" si="62"/>
        <v>7.306434023991276</v>
      </c>
      <c r="J1015" s="7">
        <f t="shared" si="63"/>
        <v>43.511450381679388</v>
      </c>
      <c r="K1015" s="7">
        <f t="shared" si="64"/>
        <v>30.534351145038169</v>
      </c>
    </row>
    <row r="1016" spans="1:11" x14ac:dyDescent="0.35">
      <c r="A1016">
        <v>2020</v>
      </c>
      <c r="B1016">
        <v>3133204</v>
      </c>
      <c r="C1016" t="str">
        <f>VLOOKUP(B1016,SAEB!$A:$B,2,0)</f>
        <v>Itanhomi</v>
      </c>
      <c r="D1016">
        <v>718</v>
      </c>
      <c r="E1016">
        <v>0</v>
      </c>
      <c r="F1016">
        <v>22</v>
      </c>
      <c r="G1016">
        <v>0</v>
      </c>
      <c r="H1016" s="7">
        <f t="shared" si="61"/>
        <v>97.027027027027017</v>
      </c>
      <c r="I1016" s="7">
        <f t="shared" si="62"/>
        <v>0</v>
      </c>
      <c r="J1016" s="7">
        <f t="shared" si="63"/>
        <v>2.9729729729729732</v>
      </c>
      <c r="K1016" s="7">
        <f t="shared" si="64"/>
        <v>0</v>
      </c>
    </row>
    <row r="1017" spans="1:11" x14ac:dyDescent="0.35">
      <c r="A1017">
        <v>2020</v>
      </c>
      <c r="B1017">
        <v>3133303</v>
      </c>
      <c r="C1017" t="str">
        <f>VLOOKUP(B1017,SAEB!$A:$B,2,0)</f>
        <v>Itaobim</v>
      </c>
      <c r="D1017">
        <v>486</v>
      </c>
      <c r="E1017">
        <v>145</v>
      </c>
      <c r="F1017">
        <v>222</v>
      </c>
      <c r="G1017">
        <v>106</v>
      </c>
      <c r="H1017" s="7">
        <f t="shared" si="61"/>
        <v>50.677789363920752</v>
      </c>
      <c r="I1017" s="7">
        <f t="shared" si="62"/>
        <v>15.119916579770596</v>
      </c>
      <c r="J1017" s="7">
        <f t="shared" si="63"/>
        <v>23.149113660062564</v>
      </c>
      <c r="K1017" s="7">
        <f t="shared" si="64"/>
        <v>11.05318039624609</v>
      </c>
    </row>
    <row r="1018" spans="1:11" x14ac:dyDescent="0.35">
      <c r="A1018">
        <v>2020</v>
      </c>
      <c r="B1018">
        <v>3134004</v>
      </c>
      <c r="C1018" t="str">
        <f>VLOOKUP(B1018,SAEB!$A:$B,2,0)</f>
        <v>Itinga</v>
      </c>
      <c r="D1018">
        <v>227</v>
      </c>
      <c r="E1018">
        <v>0</v>
      </c>
      <c r="F1018">
        <v>272</v>
      </c>
      <c r="G1018">
        <v>239</v>
      </c>
      <c r="H1018" s="7">
        <f t="shared" si="61"/>
        <v>30.758807588075882</v>
      </c>
      <c r="I1018" s="7">
        <f t="shared" si="62"/>
        <v>0</v>
      </c>
      <c r="J1018" s="7">
        <f t="shared" si="63"/>
        <v>36.856368563685635</v>
      </c>
      <c r="K1018" s="7">
        <f t="shared" si="64"/>
        <v>32.384823848238483</v>
      </c>
    </row>
    <row r="1019" spans="1:11" x14ac:dyDescent="0.35">
      <c r="A1019">
        <v>2020</v>
      </c>
      <c r="B1019">
        <v>3134103</v>
      </c>
      <c r="C1019" t="str">
        <f>VLOOKUP(B1019,SAEB!$A:$B,2,0)</f>
        <v>Itueta</v>
      </c>
      <c r="D1019">
        <v>133</v>
      </c>
      <c r="E1019">
        <v>101</v>
      </c>
      <c r="F1019">
        <v>93</v>
      </c>
      <c r="G1019">
        <v>58</v>
      </c>
      <c r="H1019" s="7">
        <f t="shared" si="61"/>
        <v>34.545454545454547</v>
      </c>
      <c r="I1019" s="7">
        <f t="shared" si="62"/>
        <v>26.233766233766232</v>
      </c>
      <c r="J1019" s="7">
        <f t="shared" si="63"/>
        <v>24.155844155844157</v>
      </c>
      <c r="K1019" s="7">
        <f t="shared" si="64"/>
        <v>15.064935064935064</v>
      </c>
    </row>
    <row r="1020" spans="1:11" x14ac:dyDescent="0.35">
      <c r="A1020">
        <v>2020</v>
      </c>
      <c r="B1020">
        <v>3134707</v>
      </c>
      <c r="C1020" t="str">
        <f>VLOOKUP(B1020,SAEB!$A:$B,2,0)</f>
        <v>Jacinto</v>
      </c>
      <c r="D1020">
        <v>578</v>
      </c>
      <c r="E1020">
        <v>0</v>
      </c>
      <c r="F1020">
        <v>63</v>
      </c>
      <c r="G1020">
        <v>19</v>
      </c>
      <c r="H1020" s="7">
        <f t="shared" si="61"/>
        <v>87.575757575757578</v>
      </c>
      <c r="I1020" s="7">
        <f t="shared" si="62"/>
        <v>0</v>
      </c>
      <c r="J1020" s="7">
        <f t="shared" si="63"/>
        <v>9.5454545454545467</v>
      </c>
      <c r="K1020" s="7">
        <f t="shared" si="64"/>
        <v>2.8787878787878789</v>
      </c>
    </row>
    <row r="1021" spans="1:11" x14ac:dyDescent="0.35">
      <c r="A1021">
        <v>2020</v>
      </c>
      <c r="B1021">
        <v>3135050</v>
      </c>
      <c r="C1021" t="str">
        <f>VLOOKUP(B1021,SAEB!$A:$B,2,0)</f>
        <v>Jaíba</v>
      </c>
      <c r="D1021">
        <v>608</v>
      </c>
      <c r="E1021">
        <v>0</v>
      </c>
      <c r="F1021">
        <v>350</v>
      </c>
      <c r="G1021">
        <v>224</v>
      </c>
      <c r="H1021" s="7">
        <f t="shared" si="61"/>
        <v>51.438240270727576</v>
      </c>
      <c r="I1021" s="7">
        <f t="shared" si="62"/>
        <v>0</v>
      </c>
      <c r="J1021" s="7">
        <f t="shared" si="63"/>
        <v>29.610829103214893</v>
      </c>
      <c r="K1021" s="7">
        <f t="shared" si="64"/>
        <v>18.950930626057531</v>
      </c>
    </row>
    <row r="1022" spans="1:11" x14ac:dyDescent="0.35">
      <c r="A1022">
        <v>2020</v>
      </c>
      <c r="B1022">
        <v>3135100</v>
      </c>
      <c r="C1022" t="str">
        <f>VLOOKUP(B1022,SAEB!$A:$B,2,0)</f>
        <v>Janaúba</v>
      </c>
      <c r="D1022">
        <v>1488</v>
      </c>
      <c r="E1022">
        <v>520</v>
      </c>
      <c r="F1022">
        <v>174</v>
      </c>
      <c r="G1022">
        <v>0</v>
      </c>
      <c r="H1022" s="7">
        <f t="shared" si="61"/>
        <v>68.194317140238311</v>
      </c>
      <c r="I1022" s="7">
        <f t="shared" si="62"/>
        <v>23.831347387717692</v>
      </c>
      <c r="J1022" s="7">
        <f t="shared" si="63"/>
        <v>7.9743354720439958</v>
      </c>
      <c r="K1022" s="7">
        <f t="shared" si="64"/>
        <v>0</v>
      </c>
    </row>
    <row r="1023" spans="1:11" x14ac:dyDescent="0.35">
      <c r="A1023">
        <v>2020</v>
      </c>
      <c r="B1023">
        <v>3135209</v>
      </c>
      <c r="C1023" t="str">
        <f>VLOOKUP(B1023,SAEB!$A:$B,2,0)</f>
        <v>Januária</v>
      </c>
      <c r="D1023">
        <v>619</v>
      </c>
      <c r="E1023">
        <v>343</v>
      </c>
      <c r="F1023">
        <v>738</v>
      </c>
      <c r="G1023">
        <v>494</v>
      </c>
      <c r="H1023" s="7">
        <f t="shared" si="61"/>
        <v>28.213309024612581</v>
      </c>
      <c r="I1023" s="7">
        <f t="shared" si="62"/>
        <v>15.633546034639927</v>
      </c>
      <c r="J1023" s="7">
        <f t="shared" si="63"/>
        <v>33.637192342752961</v>
      </c>
      <c r="K1023" s="7">
        <f t="shared" si="64"/>
        <v>22.515952597994531</v>
      </c>
    </row>
    <row r="1024" spans="1:11" x14ac:dyDescent="0.35">
      <c r="A1024">
        <v>2020</v>
      </c>
      <c r="B1024">
        <v>3135357</v>
      </c>
      <c r="C1024" t="str">
        <f>VLOOKUP(B1024,SAEB!$A:$B,2,0)</f>
        <v>Japonvar</v>
      </c>
      <c r="D1024">
        <v>110</v>
      </c>
      <c r="E1024">
        <v>138</v>
      </c>
      <c r="F1024">
        <v>172</v>
      </c>
      <c r="G1024">
        <v>165</v>
      </c>
      <c r="H1024" s="7">
        <f t="shared" si="61"/>
        <v>18.803418803418804</v>
      </c>
      <c r="I1024" s="7">
        <f t="shared" si="62"/>
        <v>23.589743589743588</v>
      </c>
      <c r="J1024" s="7">
        <f t="shared" si="63"/>
        <v>29.401709401709404</v>
      </c>
      <c r="K1024" s="7">
        <f t="shared" si="64"/>
        <v>28.205128205128204</v>
      </c>
    </row>
    <row r="1025" spans="1:11" x14ac:dyDescent="0.35">
      <c r="A1025">
        <v>2020</v>
      </c>
      <c r="B1025">
        <v>3135605</v>
      </c>
      <c r="C1025" t="str">
        <f>VLOOKUP(B1025,SAEB!$A:$B,2,0)</f>
        <v>Jequitaí</v>
      </c>
      <c r="D1025">
        <v>380</v>
      </c>
      <c r="E1025">
        <v>0</v>
      </c>
      <c r="F1025">
        <v>14</v>
      </c>
      <c r="G1025">
        <v>0</v>
      </c>
      <c r="H1025" s="7">
        <f t="shared" si="61"/>
        <v>96.44670050761421</v>
      </c>
      <c r="I1025" s="7">
        <f t="shared" si="62"/>
        <v>0</v>
      </c>
      <c r="J1025" s="7">
        <f t="shared" si="63"/>
        <v>3.5532994923857872</v>
      </c>
      <c r="K1025" s="7">
        <f t="shared" si="64"/>
        <v>0</v>
      </c>
    </row>
    <row r="1026" spans="1:11" x14ac:dyDescent="0.35">
      <c r="A1026">
        <v>2020</v>
      </c>
      <c r="B1026">
        <v>3135803</v>
      </c>
      <c r="C1026" t="str">
        <f>VLOOKUP(B1026,SAEB!$A:$B,2,0)</f>
        <v>Jequitinhonha</v>
      </c>
      <c r="D1026">
        <v>750</v>
      </c>
      <c r="E1026">
        <v>0</v>
      </c>
      <c r="F1026">
        <v>188</v>
      </c>
      <c r="G1026">
        <v>107</v>
      </c>
      <c r="H1026" s="7">
        <f t="shared" si="61"/>
        <v>71.770334928229659</v>
      </c>
      <c r="I1026" s="7">
        <f t="shared" si="62"/>
        <v>0</v>
      </c>
      <c r="J1026" s="7">
        <f t="shared" si="63"/>
        <v>17.990430622009569</v>
      </c>
      <c r="K1026" s="7">
        <f t="shared" si="64"/>
        <v>10.239234449760765</v>
      </c>
    </row>
    <row r="1027" spans="1:11" x14ac:dyDescent="0.35">
      <c r="A1027">
        <v>2020</v>
      </c>
      <c r="B1027">
        <v>3136009</v>
      </c>
      <c r="C1027" t="str">
        <f>VLOOKUP(B1027,SAEB!$A:$B,2,0)</f>
        <v>Joaíma</v>
      </c>
      <c r="D1027">
        <v>703</v>
      </c>
      <c r="E1027">
        <v>304</v>
      </c>
      <c r="F1027">
        <v>205</v>
      </c>
      <c r="G1027">
        <v>138</v>
      </c>
      <c r="H1027" s="7">
        <f t="shared" ref="H1027:H1090" si="65">D1027/SUM($D1027:$G1027)*100</f>
        <v>52.074074074074076</v>
      </c>
      <c r="I1027" s="7">
        <f t="shared" ref="I1027:I1090" si="66">E1027/SUM($D1027:$G1027)*100</f>
        <v>22.518518518518519</v>
      </c>
      <c r="J1027" s="7">
        <f t="shared" ref="J1027:J1090" si="67">F1027/SUM($D1027:$G1027)*100</f>
        <v>15.185185185185185</v>
      </c>
      <c r="K1027" s="7">
        <f t="shared" ref="K1027:K1090" si="68">G1027/SUM($D1027:$G1027)*100</f>
        <v>10.222222222222223</v>
      </c>
    </row>
    <row r="1028" spans="1:11" x14ac:dyDescent="0.35">
      <c r="A1028">
        <v>2020</v>
      </c>
      <c r="B1028">
        <v>3136405</v>
      </c>
      <c r="C1028" t="str">
        <f>VLOOKUP(B1028,SAEB!$A:$B,2,0)</f>
        <v>Joaquim Felício</v>
      </c>
      <c r="D1028">
        <v>232</v>
      </c>
      <c r="E1028">
        <v>261</v>
      </c>
      <c r="F1028">
        <v>0</v>
      </c>
      <c r="G1028">
        <v>0</v>
      </c>
      <c r="H1028" s="7">
        <f t="shared" si="65"/>
        <v>47.058823529411761</v>
      </c>
      <c r="I1028" s="7">
        <f t="shared" si="66"/>
        <v>52.941176470588239</v>
      </c>
      <c r="J1028" s="7">
        <f t="shared" si="67"/>
        <v>0</v>
      </c>
      <c r="K1028" s="7">
        <f t="shared" si="68"/>
        <v>0</v>
      </c>
    </row>
    <row r="1029" spans="1:11" x14ac:dyDescent="0.35">
      <c r="A1029">
        <v>2020</v>
      </c>
      <c r="B1029">
        <v>3136553</v>
      </c>
      <c r="C1029" t="str">
        <f>VLOOKUP(B1029,SAEB!$A:$B,2,0)</f>
        <v>José Raydan</v>
      </c>
      <c r="D1029">
        <v>173</v>
      </c>
      <c r="E1029">
        <v>0</v>
      </c>
      <c r="F1029">
        <v>97</v>
      </c>
      <c r="G1029">
        <v>0</v>
      </c>
      <c r="H1029" s="7">
        <f t="shared" si="65"/>
        <v>64.074074074074076</v>
      </c>
      <c r="I1029" s="7">
        <f t="shared" si="66"/>
        <v>0</v>
      </c>
      <c r="J1029" s="7">
        <f t="shared" si="67"/>
        <v>35.925925925925931</v>
      </c>
      <c r="K1029" s="7">
        <f t="shared" si="68"/>
        <v>0</v>
      </c>
    </row>
    <row r="1030" spans="1:11" x14ac:dyDescent="0.35">
      <c r="A1030">
        <v>2020</v>
      </c>
      <c r="B1030">
        <v>3136801</v>
      </c>
      <c r="C1030" t="str">
        <f>VLOOKUP(B1030,SAEB!$A:$B,2,0)</f>
        <v>Juramento</v>
      </c>
      <c r="D1030">
        <v>180</v>
      </c>
      <c r="E1030">
        <v>0</v>
      </c>
      <c r="F1030">
        <v>50</v>
      </c>
      <c r="G1030">
        <v>0</v>
      </c>
      <c r="H1030" s="7">
        <f t="shared" si="65"/>
        <v>78.260869565217391</v>
      </c>
      <c r="I1030" s="7">
        <f t="shared" si="66"/>
        <v>0</v>
      </c>
      <c r="J1030" s="7">
        <f t="shared" si="67"/>
        <v>21.739130434782609</v>
      </c>
      <c r="K1030" s="7">
        <f t="shared" si="68"/>
        <v>0</v>
      </c>
    </row>
    <row r="1031" spans="1:11" x14ac:dyDescent="0.35">
      <c r="A1031">
        <v>2020</v>
      </c>
      <c r="B1031">
        <v>3136959</v>
      </c>
      <c r="C1031" t="str">
        <f>VLOOKUP(B1031,SAEB!$A:$B,2,0)</f>
        <v>Juvenília</v>
      </c>
      <c r="D1031">
        <v>264</v>
      </c>
      <c r="E1031">
        <v>130</v>
      </c>
      <c r="F1031">
        <v>40</v>
      </c>
      <c r="G1031">
        <v>23</v>
      </c>
      <c r="H1031" s="7">
        <f t="shared" si="65"/>
        <v>57.76805251641138</v>
      </c>
      <c r="I1031" s="7">
        <f t="shared" si="66"/>
        <v>28.446389496717721</v>
      </c>
      <c r="J1031" s="7">
        <f t="shared" si="67"/>
        <v>8.7527352297592991</v>
      </c>
      <c r="K1031" s="7">
        <f t="shared" si="68"/>
        <v>5.0328227571115978</v>
      </c>
    </row>
    <row r="1032" spans="1:11" x14ac:dyDescent="0.35">
      <c r="A1032">
        <v>2020</v>
      </c>
      <c r="B1032">
        <v>3137007</v>
      </c>
      <c r="C1032" t="str">
        <f>VLOOKUP(B1032,SAEB!$A:$B,2,0)</f>
        <v>Ladainha</v>
      </c>
      <c r="D1032">
        <v>0</v>
      </c>
      <c r="E1032">
        <v>0</v>
      </c>
      <c r="F1032">
        <v>490</v>
      </c>
      <c r="G1032">
        <v>160</v>
      </c>
      <c r="H1032" s="7">
        <f t="shared" si="65"/>
        <v>0</v>
      </c>
      <c r="I1032" s="7">
        <f t="shared" si="66"/>
        <v>0</v>
      </c>
      <c r="J1032" s="7">
        <f t="shared" si="67"/>
        <v>75.384615384615387</v>
      </c>
      <c r="K1032" s="7">
        <f t="shared" si="68"/>
        <v>24.615384615384617</v>
      </c>
    </row>
    <row r="1033" spans="1:11" x14ac:dyDescent="0.35">
      <c r="A1033">
        <v>2020</v>
      </c>
      <c r="B1033">
        <v>3137304</v>
      </c>
      <c r="C1033" t="str">
        <f>VLOOKUP(B1033,SAEB!$A:$B,2,0)</f>
        <v>Lagoa dos Patos</v>
      </c>
      <c r="D1033">
        <v>242</v>
      </c>
      <c r="E1033">
        <v>0</v>
      </c>
      <c r="F1033">
        <v>0</v>
      </c>
      <c r="G1033">
        <v>0</v>
      </c>
      <c r="H1033" s="7">
        <f t="shared" si="65"/>
        <v>100</v>
      </c>
      <c r="I1033" s="7">
        <f t="shared" si="66"/>
        <v>0</v>
      </c>
      <c r="J1033" s="7">
        <f t="shared" si="67"/>
        <v>0</v>
      </c>
      <c r="K1033" s="7">
        <f t="shared" si="68"/>
        <v>0</v>
      </c>
    </row>
    <row r="1034" spans="1:11" x14ac:dyDescent="0.35">
      <c r="A1034">
        <v>2020</v>
      </c>
      <c r="B1034">
        <v>3138104</v>
      </c>
      <c r="C1034" t="str">
        <f>VLOOKUP(B1034,SAEB!$A:$B,2,0)</f>
        <v>Lassance</v>
      </c>
      <c r="D1034">
        <v>172</v>
      </c>
      <c r="E1034">
        <v>0</v>
      </c>
      <c r="F1034">
        <v>136</v>
      </c>
      <c r="G1034">
        <v>130</v>
      </c>
      <c r="H1034" s="7">
        <f t="shared" si="65"/>
        <v>39.269406392694059</v>
      </c>
      <c r="I1034" s="7">
        <f t="shared" si="66"/>
        <v>0</v>
      </c>
      <c r="J1034" s="7">
        <f t="shared" si="67"/>
        <v>31.05022831050228</v>
      </c>
      <c r="K1034" s="7">
        <f t="shared" si="68"/>
        <v>29.68036529680365</v>
      </c>
    </row>
    <row r="1035" spans="1:11" x14ac:dyDescent="0.35">
      <c r="A1035">
        <v>2020</v>
      </c>
      <c r="B1035">
        <v>3138351</v>
      </c>
      <c r="C1035" t="str">
        <f>VLOOKUP(B1035,SAEB!$A:$B,2,0)</f>
        <v>Leme do Prado</v>
      </c>
      <c r="D1035">
        <v>31</v>
      </c>
      <c r="E1035">
        <v>0</v>
      </c>
      <c r="F1035">
        <v>153</v>
      </c>
      <c r="G1035">
        <v>66</v>
      </c>
      <c r="H1035" s="7">
        <f t="shared" si="65"/>
        <v>12.4</v>
      </c>
      <c r="I1035" s="7">
        <f t="shared" si="66"/>
        <v>0</v>
      </c>
      <c r="J1035" s="7">
        <f t="shared" si="67"/>
        <v>61.199999999999996</v>
      </c>
      <c r="K1035" s="7">
        <f t="shared" si="68"/>
        <v>26.400000000000002</v>
      </c>
    </row>
    <row r="1036" spans="1:11" x14ac:dyDescent="0.35">
      <c r="A1036">
        <v>2020</v>
      </c>
      <c r="B1036">
        <v>3138658</v>
      </c>
      <c r="C1036" t="str">
        <f>VLOOKUP(B1036,SAEB!$A:$B,2,0)</f>
        <v>Lontra</v>
      </c>
      <c r="D1036">
        <v>552</v>
      </c>
      <c r="E1036">
        <v>223</v>
      </c>
      <c r="F1036">
        <v>34</v>
      </c>
      <c r="G1036">
        <v>0</v>
      </c>
      <c r="H1036" s="7">
        <f t="shared" si="65"/>
        <v>68.232385661310261</v>
      </c>
      <c r="I1036" s="7">
        <f t="shared" si="66"/>
        <v>27.564894932014834</v>
      </c>
      <c r="J1036" s="7">
        <f t="shared" si="67"/>
        <v>4.2027194066749072</v>
      </c>
      <c r="K1036" s="7">
        <f t="shared" si="68"/>
        <v>0</v>
      </c>
    </row>
    <row r="1037" spans="1:11" x14ac:dyDescent="0.35">
      <c r="A1037">
        <v>2020</v>
      </c>
      <c r="B1037">
        <v>3138906</v>
      </c>
      <c r="C1037" t="str">
        <f>VLOOKUP(B1037,SAEB!$A:$B,2,0)</f>
        <v>Machacalis</v>
      </c>
      <c r="D1037">
        <v>290</v>
      </c>
      <c r="E1037">
        <v>0</v>
      </c>
      <c r="F1037">
        <v>55</v>
      </c>
      <c r="G1037">
        <v>0</v>
      </c>
      <c r="H1037" s="7">
        <f t="shared" si="65"/>
        <v>84.05797101449275</v>
      </c>
      <c r="I1037" s="7">
        <f t="shared" si="66"/>
        <v>0</v>
      </c>
      <c r="J1037" s="7">
        <f t="shared" si="67"/>
        <v>15.942028985507244</v>
      </c>
      <c r="K1037" s="7">
        <f t="shared" si="68"/>
        <v>0</v>
      </c>
    </row>
    <row r="1038" spans="1:11" x14ac:dyDescent="0.35">
      <c r="A1038">
        <v>2020</v>
      </c>
      <c r="B1038">
        <v>3139201</v>
      </c>
      <c r="C1038" t="str">
        <f>VLOOKUP(B1038,SAEB!$A:$B,2,0)</f>
        <v>Malacacheta</v>
      </c>
      <c r="D1038">
        <v>163</v>
      </c>
      <c r="E1038">
        <v>0</v>
      </c>
      <c r="F1038">
        <v>165</v>
      </c>
      <c r="G1038">
        <v>110</v>
      </c>
      <c r="H1038" s="7">
        <f t="shared" si="65"/>
        <v>37.214611872146122</v>
      </c>
      <c r="I1038" s="7">
        <f t="shared" si="66"/>
        <v>0</v>
      </c>
      <c r="J1038" s="7">
        <f t="shared" si="67"/>
        <v>37.671232876712331</v>
      </c>
      <c r="K1038" s="7">
        <f t="shared" si="68"/>
        <v>25.11415525114155</v>
      </c>
    </row>
    <row r="1039" spans="1:11" x14ac:dyDescent="0.35">
      <c r="A1039">
        <v>2020</v>
      </c>
      <c r="B1039">
        <v>3139250</v>
      </c>
      <c r="C1039" t="str">
        <f>VLOOKUP(B1039,SAEB!$A:$B,2,0)</f>
        <v>Mamonas</v>
      </c>
      <c r="D1039">
        <v>273</v>
      </c>
      <c r="E1039">
        <v>0</v>
      </c>
      <c r="F1039">
        <v>23</v>
      </c>
      <c r="G1039">
        <v>0</v>
      </c>
      <c r="H1039" s="7">
        <f t="shared" si="65"/>
        <v>92.229729729729726</v>
      </c>
      <c r="I1039" s="7">
        <f t="shared" si="66"/>
        <v>0</v>
      </c>
      <c r="J1039" s="7">
        <f t="shared" si="67"/>
        <v>7.7702702702702702</v>
      </c>
      <c r="K1039" s="7">
        <f t="shared" si="68"/>
        <v>0</v>
      </c>
    </row>
    <row r="1040" spans="1:11" x14ac:dyDescent="0.35">
      <c r="A1040">
        <v>2020</v>
      </c>
      <c r="B1040">
        <v>3139300</v>
      </c>
      <c r="C1040" t="str">
        <f>VLOOKUP(B1040,SAEB!$A:$B,2,0)</f>
        <v>Manga</v>
      </c>
      <c r="D1040">
        <v>551</v>
      </c>
      <c r="E1040">
        <v>267</v>
      </c>
      <c r="F1040">
        <v>283</v>
      </c>
      <c r="G1040">
        <v>157</v>
      </c>
      <c r="H1040" s="7">
        <f t="shared" si="65"/>
        <v>43.799682034976151</v>
      </c>
      <c r="I1040" s="7">
        <f t="shared" si="66"/>
        <v>21.224165341812402</v>
      </c>
      <c r="J1040" s="7">
        <f t="shared" si="67"/>
        <v>22.496025437201908</v>
      </c>
      <c r="K1040" s="7">
        <f t="shared" si="68"/>
        <v>12.48012718600954</v>
      </c>
    </row>
    <row r="1041" spans="1:11" x14ac:dyDescent="0.35">
      <c r="A1041">
        <v>2020</v>
      </c>
      <c r="B1041">
        <v>3139607</v>
      </c>
      <c r="C1041" t="str">
        <f>VLOOKUP(B1041,SAEB!$A:$B,2,0)</f>
        <v>Mantena</v>
      </c>
      <c r="D1041">
        <v>1392</v>
      </c>
      <c r="E1041">
        <v>508</v>
      </c>
      <c r="F1041">
        <v>162</v>
      </c>
      <c r="G1041">
        <v>132</v>
      </c>
      <c r="H1041" s="7">
        <f t="shared" si="65"/>
        <v>63.445761166818592</v>
      </c>
      <c r="I1041" s="7">
        <f t="shared" si="66"/>
        <v>23.15405651777575</v>
      </c>
      <c r="J1041" s="7">
        <f t="shared" si="67"/>
        <v>7.3837739288969919</v>
      </c>
      <c r="K1041" s="7">
        <f t="shared" si="68"/>
        <v>6.0164083865086599</v>
      </c>
    </row>
    <row r="1042" spans="1:11" x14ac:dyDescent="0.35">
      <c r="A1042">
        <v>2020</v>
      </c>
      <c r="B1042">
        <v>3140100</v>
      </c>
      <c r="C1042" t="str">
        <f>VLOOKUP(B1042,SAEB!$A:$B,2,0)</f>
        <v>Marilac</v>
      </c>
      <c r="D1042">
        <v>292</v>
      </c>
      <c r="E1042">
        <v>0</v>
      </c>
      <c r="F1042">
        <v>0</v>
      </c>
      <c r="G1042">
        <v>0</v>
      </c>
      <c r="H1042" s="7">
        <f t="shared" si="65"/>
        <v>100</v>
      </c>
      <c r="I1042" s="7">
        <f t="shared" si="66"/>
        <v>0</v>
      </c>
      <c r="J1042" s="7">
        <f t="shared" si="67"/>
        <v>0</v>
      </c>
      <c r="K1042" s="7">
        <f t="shared" si="68"/>
        <v>0</v>
      </c>
    </row>
    <row r="1043" spans="1:11" x14ac:dyDescent="0.35">
      <c r="A1043">
        <v>2020</v>
      </c>
      <c r="B1043">
        <v>3140605</v>
      </c>
      <c r="C1043" t="str">
        <f>VLOOKUP(B1043,SAEB!$A:$B,2,0)</f>
        <v>Materlândia</v>
      </c>
      <c r="D1043">
        <v>201</v>
      </c>
      <c r="E1043">
        <v>0</v>
      </c>
      <c r="F1043">
        <v>92</v>
      </c>
      <c r="G1043">
        <v>40</v>
      </c>
      <c r="H1043" s="7">
        <f t="shared" si="65"/>
        <v>60.360360360360367</v>
      </c>
      <c r="I1043" s="7">
        <f t="shared" si="66"/>
        <v>0</v>
      </c>
      <c r="J1043" s="7">
        <f t="shared" si="67"/>
        <v>27.627627627627625</v>
      </c>
      <c r="K1043" s="7">
        <f t="shared" si="68"/>
        <v>12.012012012012011</v>
      </c>
    </row>
    <row r="1044" spans="1:11" x14ac:dyDescent="0.35">
      <c r="A1044">
        <v>2020</v>
      </c>
      <c r="B1044">
        <v>3171501</v>
      </c>
      <c r="C1044" t="str">
        <f>VLOOKUP(B1044,SAEB!$A:$B,2,0)</f>
        <v>Mathias Lobato</v>
      </c>
      <c r="D1044">
        <v>252</v>
      </c>
      <c r="E1044">
        <v>0</v>
      </c>
      <c r="F1044">
        <v>0</v>
      </c>
      <c r="G1044">
        <v>0</v>
      </c>
      <c r="H1044" s="7">
        <f t="shared" si="65"/>
        <v>100</v>
      </c>
      <c r="I1044" s="7">
        <f t="shared" si="66"/>
        <v>0</v>
      </c>
      <c r="J1044" s="7">
        <f t="shared" si="67"/>
        <v>0</v>
      </c>
      <c r="K1044" s="7">
        <f t="shared" si="68"/>
        <v>0</v>
      </c>
    </row>
    <row r="1045" spans="1:11" x14ac:dyDescent="0.35">
      <c r="A1045">
        <v>2020</v>
      </c>
      <c r="B1045">
        <v>3140852</v>
      </c>
      <c r="C1045" t="str">
        <f>VLOOKUP(B1045,SAEB!$A:$B,2,0)</f>
        <v>Matias Cardoso</v>
      </c>
      <c r="D1045">
        <v>400</v>
      </c>
      <c r="E1045">
        <v>313</v>
      </c>
      <c r="F1045">
        <v>98</v>
      </c>
      <c r="G1045">
        <v>0</v>
      </c>
      <c r="H1045" s="7">
        <f t="shared" si="65"/>
        <v>49.321824907521581</v>
      </c>
      <c r="I1045" s="7">
        <f t="shared" si="66"/>
        <v>38.594327990135632</v>
      </c>
      <c r="J1045" s="7">
        <f t="shared" si="67"/>
        <v>12.083847102342787</v>
      </c>
      <c r="K1045" s="7">
        <f t="shared" si="68"/>
        <v>0</v>
      </c>
    </row>
    <row r="1046" spans="1:11" x14ac:dyDescent="0.35">
      <c r="A1046">
        <v>2020</v>
      </c>
      <c r="B1046">
        <v>3141009</v>
      </c>
      <c r="C1046" t="str">
        <f>VLOOKUP(B1046,SAEB!$A:$B,2,0)</f>
        <v>Mato Verde</v>
      </c>
      <c r="D1046">
        <v>326</v>
      </c>
      <c r="E1046">
        <v>0</v>
      </c>
      <c r="F1046">
        <v>69</v>
      </c>
      <c r="G1046">
        <v>0</v>
      </c>
      <c r="H1046" s="7">
        <f t="shared" si="65"/>
        <v>82.531645569620252</v>
      </c>
      <c r="I1046" s="7">
        <f t="shared" si="66"/>
        <v>0</v>
      </c>
      <c r="J1046" s="7">
        <f t="shared" si="67"/>
        <v>17.468354430379744</v>
      </c>
      <c r="K1046" s="7">
        <f t="shared" si="68"/>
        <v>0</v>
      </c>
    </row>
    <row r="1047" spans="1:11" x14ac:dyDescent="0.35">
      <c r="A1047">
        <v>2020</v>
      </c>
      <c r="B1047">
        <v>3141405</v>
      </c>
      <c r="C1047" t="str">
        <f>VLOOKUP(B1047,SAEB!$A:$B,2,0)</f>
        <v>Medina</v>
      </c>
      <c r="D1047">
        <v>573</v>
      </c>
      <c r="E1047">
        <v>0</v>
      </c>
      <c r="F1047">
        <v>174</v>
      </c>
      <c r="G1047">
        <v>0</v>
      </c>
      <c r="H1047" s="7">
        <f t="shared" si="65"/>
        <v>76.706827309236942</v>
      </c>
      <c r="I1047" s="7">
        <f t="shared" si="66"/>
        <v>0</v>
      </c>
      <c r="J1047" s="7">
        <f t="shared" si="67"/>
        <v>23.293172690763054</v>
      </c>
      <c r="K1047" s="7">
        <f t="shared" si="68"/>
        <v>0</v>
      </c>
    </row>
    <row r="1048" spans="1:11" x14ac:dyDescent="0.35">
      <c r="A1048">
        <v>2020</v>
      </c>
      <c r="B1048">
        <v>3141504</v>
      </c>
      <c r="C1048" t="str">
        <f>VLOOKUP(B1048,SAEB!$A:$B,2,0)</f>
        <v>Mendes Pimentel</v>
      </c>
      <c r="D1048">
        <v>219</v>
      </c>
      <c r="E1048">
        <v>0</v>
      </c>
      <c r="F1048">
        <v>99</v>
      </c>
      <c r="G1048">
        <v>0</v>
      </c>
      <c r="H1048" s="7">
        <f t="shared" si="65"/>
        <v>68.867924528301884</v>
      </c>
      <c r="I1048" s="7">
        <f t="shared" si="66"/>
        <v>0</v>
      </c>
      <c r="J1048" s="7">
        <f t="shared" si="67"/>
        <v>31.132075471698112</v>
      </c>
      <c r="K1048" s="7">
        <f t="shared" si="68"/>
        <v>0</v>
      </c>
    </row>
    <row r="1049" spans="1:11" x14ac:dyDescent="0.35">
      <c r="A1049">
        <v>2020</v>
      </c>
      <c r="B1049">
        <v>3141801</v>
      </c>
      <c r="C1049" t="str">
        <f>VLOOKUP(B1049,SAEB!$A:$B,2,0)</f>
        <v>Minas Novas</v>
      </c>
      <c r="D1049">
        <v>193</v>
      </c>
      <c r="E1049">
        <v>229</v>
      </c>
      <c r="F1049">
        <v>392</v>
      </c>
      <c r="G1049">
        <v>134</v>
      </c>
      <c r="H1049" s="7">
        <f t="shared" si="65"/>
        <v>20.358649789029538</v>
      </c>
      <c r="I1049" s="7">
        <f t="shared" si="66"/>
        <v>24.156118143459913</v>
      </c>
      <c r="J1049" s="7">
        <f t="shared" si="67"/>
        <v>41.350210970464133</v>
      </c>
      <c r="K1049" s="7">
        <f t="shared" si="68"/>
        <v>14.135021097046414</v>
      </c>
    </row>
    <row r="1050" spans="1:11" x14ac:dyDescent="0.35">
      <c r="A1050">
        <v>2020</v>
      </c>
      <c r="B1050">
        <v>3142007</v>
      </c>
      <c r="C1050" t="str">
        <f>VLOOKUP(B1050,SAEB!$A:$B,2,0)</f>
        <v>Mirabela</v>
      </c>
      <c r="D1050">
        <v>456</v>
      </c>
      <c r="E1050">
        <v>0</v>
      </c>
      <c r="F1050">
        <v>74</v>
      </c>
      <c r="G1050">
        <v>101</v>
      </c>
      <c r="H1050" s="7">
        <f t="shared" si="65"/>
        <v>72.266244057052305</v>
      </c>
      <c r="I1050" s="7">
        <f t="shared" si="66"/>
        <v>0</v>
      </c>
      <c r="J1050" s="7">
        <f t="shared" si="67"/>
        <v>11.727416798732172</v>
      </c>
      <c r="K1050" s="7">
        <f t="shared" si="68"/>
        <v>16.006339144215531</v>
      </c>
    </row>
    <row r="1051" spans="1:11" x14ac:dyDescent="0.35">
      <c r="A1051">
        <v>2020</v>
      </c>
      <c r="B1051">
        <v>3142254</v>
      </c>
      <c r="C1051" t="str">
        <f>VLOOKUP(B1051,SAEB!$A:$B,2,0)</f>
        <v>Miravânia</v>
      </c>
      <c r="D1051">
        <v>0</v>
      </c>
      <c r="E1051">
        <v>0</v>
      </c>
      <c r="F1051">
        <v>117</v>
      </c>
      <c r="G1051">
        <v>146</v>
      </c>
      <c r="H1051" s="7">
        <f t="shared" si="65"/>
        <v>0</v>
      </c>
      <c r="I1051" s="7">
        <f t="shared" si="66"/>
        <v>0</v>
      </c>
      <c r="J1051" s="7">
        <f t="shared" si="67"/>
        <v>44.486692015209123</v>
      </c>
      <c r="K1051" s="7">
        <f t="shared" si="68"/>
        <v>55.51330798479087</v>
      </c>
    </row>
    <row r="1052" spans="1:11" x14ac:dyDescent="0.35">
      <c r="A1052">
        <v>2020</v>
      </c>
      <c r="B1052">
        <v>3142502</v>
      </c>
      <c r="C1052" t="str">
        <f>VLOOKUP(B1052,SAEB!$A:$B,2,0)</f>
        <v>Monjolos</v>
      </c>
      <c r="D1052">
        <v>70</v>
      </c>
      <c r="E1052">
        <v>0</v>
      </c>
      <c r="F1052">
        <v>0</v>
      </c>
      <c r="G1052">
        <v>0</v>
      </c>
      <c r="H1052" s="7">
        <f t="shared" si="65"/>
        <v>100</v>
      </c>
      <c r="I1052" s="7">
        <f t="shared" si="66"/>
        <v>0</v>
      </c>
      <c r="J1052" s="7">
        <f t="shared" si="67"/>
        <v>0</v>
      </c>
      <c r="K1052" s="7">
        <f t="shared" si="68"/>
        <v>0</v>
      </c>
    </row>
    <row r="1053" spans="1:11" x14ac:dyDescent="0.35">
      <c r="A1053">
        <v>2020</v>
      </c>
      <c r="B1053">
        <v>3142700</v>
      </c>
      <c r="C1053" t="str">
        <f>VLOOKUP(B1053,SAEB!$A:$B,2,0)</f>
        <v>Montalvânia</v>
      </c>
      <c r="D1053">
        <v>268</v>
      </c>
      <c r="E1053">
        <v>57</v>
      </c>
      <c r="F1053">
        <v>154</v>
      </c>
      <c r="G1053">
        <v>22</v>
      </c>
      <c r="H1053" s="7">
        <f t="shared" si="65"/>
        <v>53.493013972055891</v>
      </c>
      <c r="I1053" s="7">
        <f t="shared" si="66"/>
        <v>11.377245508982035</v>
      </c>
      <c r="J1053" s="7">
        <f t="shared" si="67"/>
        <v>30.738522954091817</v>
      </c>
      <c r="K1053" s="7">
        <f t="shared" si="68"/>
        <v>4.39121756487026</v>
      </c>
    </row>
    <row r="1054" spans="1:11" x14ac:dyDescent="0.35">
      <c r="A1054">
        <v>2020</v>
      </c>
      <c r="B1054">
        <v>3143153</v>
      </c>
      <c r="C1054" t="str">
        <f>VLOOKUP(B1054,SAEB!$A:$B,2,0)</f>
        <v>Monte Formoso</v>
      </c>
      <c r="D1054">
        <v>179</v>
      </c>
      <c r="E1054">
        <v>0</v>
      </c>
      <c r="F1054">
        <v>126</v>
      </c>
      <c r="G1054">
        <v>0</v>
      </c>
      <c r="H1054" s="7">
        <f t="shared" si="65"/>
        <v>58.688524590163937</v>
      </c>
      <c r="I1054" s="7">
        <f t="shared" si="66"/>
        <v>0</v>
      </c>
      <c r="J1054" s="7">
        <f t="shared" si="67"/>
        <v>41.311475409836071</v>
      </c>
      <c r="K1054" s="7">
        <f t="shared" si="68"/>
        <v>0</v>
      </c>
    </row>
    <row r="1055" spans="1:11" x14ac:dyDescent="0.35">
      <c r="A1055">
        <v>2020</v>
      </c>
      <c r="B1055">
        <v>3143302</v>
      </c>
      <c r="C1055" t="str">
        <f>VLOOKUP(B1055,SAEB!$A:$B,2,0)</f>
        <v>Montes Claros</v>
      </c>
      <c r="D1055">
        <v>9579</v>
      </c>
      <c r="E1055">
        <v>5793</v>
      </c>
      <c r="F1055">
        <v>1349</v>
      </c>
      <c r="G1055">
        <v>742</v>
      </c>
      <c r="H1055" s="7">
        <f t="shared" si="65"/>
        <v>54.853118020958604</v>
      </c>
      <c r="I1055" s="7">
        <f t="shared" si="66"/>
        <v>33.172994330870985</v>
      </c>
      <c r="J1055" s="7">
        <f t="shared" si="67"/>
        <v>7.7249040829181697</v>
      </c>
      <c r="K1055" s="7">
        <f t="shared" si="68"/>
        <v>4.2489835652522476</v>
      </c>
    </row>
    <row r="1056" spans="1:11" x14ac:dyDescent="0.35">
      <c r="A1056">
        <v>2020</v>
      </c>
      <c r="B1056">
        <v>3143450</v>
      </c>
      <c r="C1056" t="str">
        <f>VLOOKUP(B1056,SAEB!$A:$B,2,0)</f>
        <v>Montezuma</v>
      </c>
      <c r="D1056">
        <v>269</v>
      </c>
      <c r="E1056">
        <v>0</v>
      </c>
      <c r="F1056">
        <v>121</v>
      </c>
      <c r="G1056">
        <v>0</v>
      </c>
      <c r="H1056" s="7">
        <f t="shared" si="65"/>
        <v>68.974358974358978</v>
      </c>
      <c r="I1056" s="7">
        <f t="shared" si="66"/>
        <v>0</v>
      </c>
      <c r="J1056" s="7">
        <f t="shared" si="67"/>
        <v>31.025641025641026</v>
      </c>
      <c r="K1056" s="7">
        <f t="shared" si="68"/>
        <v>0</v>
      </c>
    </row>
    <row r="1057" spans="1:11" x14ac:dyDescent="0.35">
      <c r="A1057">
        <v>2020</v>
      </c>
      <c r="B1057">
        <v>3143609</v>
      </c>
      <c r="C1057" t="str">
        <f>VLOOKUP(B1057,SAEB!$A:$B,2,0)</f>
        <v>Morro da Garça</v>
      </c>
      <c r="D1057">
        <v>131</v>
      </c>
      <c r="E1057">
        <v>149</v>
      </c>
      <c r="F1057">
        <v>17</v>
      </c>
      <c r="G1057">
        <v>17</v>
      </c>
      <c r="H1057" s="7">
        <f t="shared" si="65"/>
        <v>41.719745222929937</v>
      </c>
      <c r="I1057" s="7">
        <f t="shared" si="66"/>
        <v>47.452229299363054</v>
      </c>
      <c r="J1057" s="7">
        <f t="shared" si="67"/>
        <v>5.4140127388535033</v>
      </c>
      <c r="K1057" s="7">
        <f t="shared" si="68"/>
        <v>5.4140127388535033</v>
      </c>
    </row>
    <row r="1058" spans="1:11" x14ac:dyDescent="0.35">
      <c r="A1058">
        <v>2020</v>
      </c>
      <c r="B1058">
        <v>3144003</v>
      </c>
      <c r="C1058" t="str">
        <f>VLOOKUP(B1058,SAEB!$A:$B,2,0)</f>
        <v>Mutum</v>
      </c>
      <c r="D1058">
        <v>454</v>
      </c>
      <c r="E1058">
        <v>0</v>
      </c>
      <c r="F1058">
        <v>318</v>
      </c>
      <c r="G1058">
        <v>134</v>
      </c>
      <c r="H1058" s="7">
        <f t="shared" si="65"/>
        <v>50.110375275938189</v>
      </c>
      <c r="I1058" s="7">
        <f t="shared" si="66"/>
        <v>0</v>
      </c>
      <c r="J1058" s="7">
        <f t="shared" si="67"/>
        <v>35.099337748344375</v>
      </c>
      <c r="K1058" s="7">
        <f t="shared" si="68"/>
        <v>14.790286975717439</v>
      </c>
    </row>
    <row r="1059" spans="1:11" x14ac:dyDescent="0.35">
      <c r="A1059">
        <v>2020</v>
      </c>
      <c r="B1059">
        <v>3144201</v>
      </c>
      <c r="C1059" t="str">
        <f>VLOOKUP(B1059,SAEB!$A:$B,2,0)</f>
        <v>Nacip Raydan</v>
      </c>
      <c r="D1059">
        <v>161</v>
      </c>
      <c r="E1059">
        <v>0</v>
      </c>
      <c r="F1059">
        <v>6</v>
      </c>
      <c r="G1059">
        <v>0</v>
      </c>
      <c r="H1059" s="7">
        <f t="shared" si="65"/>
        <v>96.407185628742525</v>
      </c>
      <c r="I1059" s="7">
        <f t="shared" si="66"/>
        <v>0</v>
      </c>
      <c r="J1059" s="7">
        <f t="shared" si="67"/>
        <v>3.5928143712574849</v>
      </c>
      <c r="K1059" s="7">
        <f t="shared" si="68"/>
        <v>0</v>
      </c>
    </row>
    <row r="1060" spans="1:11" x14ac:dyDescent="0.35">
      <c r="A1060">
        <v>2020</v>
      </c>
      <c r="B1060">
        <v>3144300</v>
      </c>
      <c r="C1060" t="str">
        <f>VLOOKUP(B1060,SAEB!$A:$B,2,0)</f>
        <v>Nanuque</v>
      </c>
      <c r="D1060">
        <v>436</v>
      </c>
      <c r="E1060">
        <v>356</v>
      </c>
      <c r="F1060">
        <v>113</v>
      </c>
      <c r="G1060">
        <v>102</v>
      </c>
      <c r="H1060" s="7">
        <f t="shared" si="65"/>
        <v>43.296921549155911</v>
      </c>
      <c r="I1060" s="7">
        <f t="shared" si="66"/>
        <v>35.352532274081426</v>
      </c>
      <c r="J1060" s="7">
        <f t="shared" si="67"/>
        <v>11.221449851042701</v>
      </c>
      <c r="K1060" s="7">
        <f t="shared" si="68"/>
        <v>10.12909632571996</v>
      </c>
    </row>
    <row r="1061" spans="1:11" x14ac:dyDescent="0.35">
      <c r="A1061">
        <v>2020</v>
      </c>
      <c r="B1061">
        <v>3144359</v>
      </c>
      <c r="C1061" t="str">
        <f>VLOOKUP(B1061,SAEB!$A:$B,2,0)</f>
        <v>Naque</v>
      </c>
      <c r="D1061">
        <v>478</v>
      </c>
      <c r="E1061">
        <v>0</v>
      </c>
      <c r="F1061">
        <v>0</v>
      </c>
      <c r="G1061">
        <v>0</v>
      </c>
      <c r="H1061" s="7">
        <f t="shared" si="65"/>
        <v>100</v>
      </c>
      <c r="I1061" s="7">
        <f t="shared" si="66"/>
        <v>0</v>
      </c>
      <c r="J1061" s="7">
        <f t="shared" si="67"/>
        <v>0</v>
      </c>
      <c r="K1061" s="7">
        <f t="shared" si="68"/>
        <v>0</v>
      </c>
    </row>
    <row r="1062" spans="1:11" x14ac:dyDescent="0.35">
      <c r="A1062">
        <v>2020</v>
      </c>
      <c r="B1062">
        <v>3144375</v>
      </c>
      <c r="C1062" t="str">
        <f>VLOOKUP(B1062,SAEB!$A:$B,2,0)</f>
        <v>Natalândia</v>
      </c>
      <c r="D1062">
        <v>258</v>
      </c>
      <c r="E1062">
        <v>0</v>
      </c>
      <c r="F1062">
        <v>0</v>
      </c>
      <c r="G1062">
        <v>0</v>
      </c>
      <c r="H1062" s="7">
        <f t="shared" si="65"/>
        <v>100</v>
      </c>
      <c r="I1062" s="7">
        <f t="shared" si="66"/>
        <v>0</v>
      </c>
      <c r="J1062" s="7">
        <f t="shared" si="67"/>
        <v>0</v>
      </c>
      <c r="K1062" s="7">
        <f t="shared" si="68"/>
        <v>0</v>
      </c>
    </row>
    <row r="1063" spans="1:11" x14ac:dyDescent="0.35">
      <c r="A1063">
        <v>2020</v>
      </c>
      <c r="B1063">
        <v>3144656</v>
      </c>
      <c r="C1063" t="str">
        <f>VLOOKUP(B1063,SAEB!$A:$B,2,0)</f>
        <v>Ninheira</v>
      </c>
      <c r="D1063">
        <v>338</v>
      </c>
      <c r="E1063">
        <v>0</v>
      </c>
      <c r="F1063">
        <v>278</v>
      </c>
      <c r="G1063">
        <v>0</v>
      </c>
      <c r="H1063" s="7">
        <f t="shared" si="65"/>
        <v>54.870129870129873</v>
      </c>
      <c r="I1063" s="7">
        <f t="shared" si="66"/>
        <v>0</v>
      </c>
      <c r="J1063" s="7">
        <f t="shared" si="67"/>
        <v>45.129870129870127</v>
      </c>
      <c r="K1063" s="7">
        <f t="shared" si="68"/>
        <v>0</v>
      </c>
    </row>
    <row r="1064" spans="1:11" x14ac:dyDescent="0.35">
      <c r="A1064">
        <v>2020</v>
      </c>
      <c r="B1064">
        <v>3144672</v>
      </c>
      <c r="C1064" t="str">
        <f>VLOOKUP(B1064,SAEB!$A:$B,2,0)</f>
        <v>Nova Belém</v>
      </c>
      <c r="D1064">
        <v>150</v>
      </c>
      <c r="E1064">
        <v>0</v>
      </c>
      <c r="F1064">
        <v>94</v>
      </c>
      <c r="G1064">
        <v>0</v>
      </c>
      <c r="H1064" s="7">
        <f t="shared" si="65"/>
        <v>61.475409836065573</v>
      </c>
      <c r="I1064" s="7">
        <f t="shared" si="66"/>
        <v>0</v>
      </c>
      <c r="J1064" s="7">
        <f t="shared" si="67"/>
        <v>38.524590163934427</v>
      </c>
      <c r="K1064" s="7">
        <f t="shared" si="68"/>
        <v>0</v>
      </c>
    </row>
    <row r="1065" spans="1:11" x14ac:dyDescent="0.35">
      <c r="A1065">
        <v>2020</v>
      </c>
      <c r="B1065">
        <v>3145059</v>
      </c>
      <c r="C1065" t="str">
        <f>VLOOKUP(B1065,SAEB!$A:$B,2,0)</f>
        <v>Nova Porteirinha</v>
      </c>
      <c r="D1065">
        <v>208</v>
      </c>
      <c r="E1065">
        <v>65</v>
      </c>
      <c r="F1065">
        <v>145</v>
      </c>
      <c r="G1065">
        <v>0</v>
      </c>
      <c r="H1065" s="7">
        <f t="shared" si="65"/>
        <v>49.760765550239235</v>
      </c>
      <c r="I1065" s="7">
        <f t="shared" si="66"/>
        <v>15.550239234449762</v>
      </c>
      <c r="J1065" s="7">
        <f t="shared" si="67"/>
        <v>34.688995215311003</v>
      </c>
      <c r="K1065" s="7">
        <f t="shared" si="68"/>
        <v>0</v>
      </c>
    </row>
    <row r="1066" spans="1:11" x14ac:dyDescent="0.35">
      <c r="A1066">
        <v>2020</v>
      </c>
      <c r="B1066">
        <v>3145356</v>
      </c>
      <c r="C1066" t="str">
        <f>VLOOKUP(B1066,SAEB!$A:$B,2,0)</f>
        <v>Novo Oriente de Minas</v>
      </c>
      <c r="D1066">
        <v>242</v>
      </c>
      <c r="E1066">
        <v>0</v>
      </c>
      <c r="F1066">
        <v>268</v>
      </c>
      <c r="G1066">
        <v>81</v>
      </c>
      <c r="H1066" s="7">
        <f t="shared" si="65"/>
        <v>40.947546531302876</v>
      </c>
      <c r="I1066" s="7">
        <f t="shared" si="66"/>
        <v>0</v>
      </c>
      <c r="J1066" s="7">
        <f t="shared" si="67"/>
        <v>45.346869712351946</v>
      </c>
      <c r="K1066" s="7">
        <f t="shared" si="68"/>
        <v>13.705583756345177</v>
      </c>
    </row>
    <row r="1067" spans="1:11" x14ac:dyDescent="0.35">
      <c r="A1067">
        <v>2020</v>
      </c>
      <c r="B1067">
        <v>3145372</v>
      </c>
      <c r="C1067" t="str">
        <f>VLOOKUP(B1067,SAEB!$A:$B,2,0)</f>
        <v>Novorizonte</v>
      </c>
      <c r="D1067">
        <v>0</v>
      </c>
      <c r="E1067">
        <v>0</v>
      </c>
      <c r="F1067">
        <v>314</v>
      </c>
      <c r="G1067">
        <v>89</v>
      </c>
      <c r="H1067" s="7">
        <f t="shared" si="65"/>
        <v>0</v>
      </c>
      <c r="I1067" s="7">
        <f t="shared" si="66"/>
        <v>0</v>
      </c>
      <c r="J1067" s="7">
        <f t="shared" si="67"/>
        <v>77.91563275434244</v>
      </c>
      <c r="K1067" s="7">
        <f t="shared" si="68"/>
        <v>22.084367245657567</v>
      </c>
    </row>
    <row r="1068" spans="1:11" x14ac:dyDescent="0.35">
      <c r="A1068">
        <v>2020</v>
      </c>
      <c r="B1068">
        <v>3145455</v>
      </c>
      <c r="C1068" t="str">
        <f>VLOOKUP(B1068,SAEB!$A:$B,2,0)</f>
        <v>Olhos-d'Água</v>
      </c>
      <c r="D1068">
        <v>336</v>
      </c>
      <c r="E1068">
        <v>0</v>
      </c>
      <c r="F1068">
        <v>70</v>
      </c>
      <c r="G1068">
        <v>0</v>
      </c>
      <c r="H1068" s="7">
        <f t="shared" si="65"/>
        <v>82.758620689655174</v>
      </c>
      <c r="I1068" s="7">
        <f t="shared" si="66"/>
        <v>0</v>
      </c>
      <c r="J1068" s="7">
        <f t="shared" si="67"/>
        <v>17.241379310344829</v>
      </c>
      <c r="K1068" s="7">
        <f t="shared" si="68"/>
        <v>0</v>
      </c>
    </row>
    <row r="1069" spans="1:11" x14ac:dyDescent="0.35">
      <c r="A1069">
        <v>2020</v>
      </c>
      <c r="B1069">
        <v>3146305</v>
      </c>
      <c r="C1069" t="str">
        <f>VLOOKUP(B1069,SAEB!$A:$B,2,0)</f>
        <v>Padre Paraíso</v>
      </c>
      <c r="D1069">
        <v>396</v>
      </c>
      <c r="E1069">
        <v>0</v>
      </c>
      <c r="F1069">
        <v>354</v>
      </c>
      <c r="G1069">
        <v>404</v>
      </c>
      <c r="H1069" s="7">
        <f t="shared" si="65"/>
        <v>34.315424610051991</v>
      </c>
      <c r="I1069" s="7">
        <f t="shared" si="66"/>
        <v>0</v>
      </c>
      <c r="J1069" s="7">
        <f t="shared" si="67"/>
        <v>30.675909878682845</v>
      </c>
      <c r="K1069" s="7">
        <f t="shared" si="68"/>
        <v>35.008665511265164</v>
      </c>
    </row>
    <row r="1070" spans="1:11" x14ac:dyDescent="0.35">
      <c r="A1070">
        <v>2020</v>
      </c>
      <c r="B1070">
        <v>3146552</v>
      </c>
      <c r="C1070" t="str">
        <f>VLOOKUP(B1070,SAEB!$A:$B,2,0)</f>
        <v>Pai Pedro</v>
      </c>
      <c r="D1070">
        <v>258</v>
      </c>
      <c r="E1070">
        <v>0</v>
      </c>
      <c r="F1070">
        <v>167</v>
      </c>
      <c r="G1070">
        <v>151</v>
      </c>
      <c r="H1070" s="7">
        <f t="shared" si="65"/>
        <v>44.791666666666671</v>
      </c>
      <c r="I1070" s="7">
        <f t="shared" si="66"/>
        <v>0</v>
      </c>
      <c r="J1070" s="7">
        <f t="shared" si="67"/>
        <v>28.993055555555557</v>
      </c>
      <c r="K1070" s="7">
        <f t="shared" si="68"/>
        <v>26.215277777777779</v>
      </c>
    </row>
    <row r="1071" spans="1:11" x14ac:dyDescent="0.35">
      <c r="A1071">
        <v>2020</v>
      </c>
      <c r="B1071">
        <v>3146750</v>
      </c>
      <c r="C1071" t="str">
        <f>VLOOKUP(B1071,SAEB!$A:$B,2,0)</f>
        <v>Palmópolis</v>
      </c>
      <c r="D1071">
        <v>339</v>
      </c>
      <c r="E1071">
        <v>31</v>
      </c>
      <c r="F1071">
        <v>10</v>
      </c>
      <c r="G1071">
        <v>0</v>
      </c>
      <c r="H1071" s="7">
        <f t="shared" si="65"/>
        <v>89.21052631578948</v>
      </c>
      <c r="I1071" s="7">
        <f t="shared" si="66"/>
        <v>8.1578947368421062</v>
      </c>
      <c r="J1071" s="7">
        <f t="shared" si="67"/>
        <v>2.6315789473684208</v>
      </c>
      <c r="K1071" s="7">
        <f t="shared" si="68"/>
        <v>0</v>
      </c>
    </row>
    <row r="1072" spans="1:11" x14ac:dyDescent="0.35">
      <c r="A1072">
        <v>2020</v>
      </c>
      <c r="B1072">
        <v>3147956</v>
      </c>
      <c r="C1072" t="str">
        <f>VLOOKUP(B1072,SAEB!$A:$B,2,0)</f>
        <v>Patis</v>
      </c>
      <c r="D1072">
        <v>194</v>
      </c>
      <c r="E1072">
        <v>140</v>
      </c>
      <c r="F1072">
        <v>61</v>
      </c>
      <c r="G1072">
        <v>85</v>
      </c>
      <c r="H1072" s="7">
        <f t="shared" si="65"/>
        <v>40.416666666666664</v>
      </c>
      <c r="I1072" s="7">
        <f t="shared" si="66"/>
        <v>29.166666666666668</v>
      </c>
      <c r="J1072" s="7">
        <f t="shared" si="67"/>
        <v>12.708333333333332</v>
      </c>
      <c r="K1072" s="7">
        <f t="shared" si="68"/>
        <v>17.708333333333336</v>
      </c>
    </row>
    <row r="1073" spans="1:11" x14ac:dyDescent="0.35">
      <c r="A1073">
        <v>2020</v>
      </c>
      <c r="B1073">
        <v>3148608</v>
      </c>
      <c r="C1073" t="str">
        <f>VLOOKUP(B1073,SAEB!$A:$B,2,0)</f>
        <v>Peçanha</v>
      </c>
      <c r="D1073">
        <v>0</v>
      </c>
      <c r="E1073">
        <v>0</v>
      </c>
      <c r="F1073">
        <v>372</v>
      </c>
      <c r="G1073">
        <v>340</v>
      </c>
      <c r="H1073" s="7">
        <f t="shared" si="65"/>
        <v>0</v>
      </c>
      <c r="I1073" s="7">
        <f t="shared" si="66"/>
        <v>0</v>
      </c>
      <c r="J1073" s="7">
        <f t="shared" si="67"/>
        <v>52.247191011235962</v>
      </c>
      <c r="K1073" s="7">
        <f t="shared" si="68"/>
        <v>47.752808988764045</v>
      </c>
    </row>
    <row r="1074" spans="1:11" x14ac:dyDescent="0.35">
      <c r="A1074">
        <v>2020</v>
      </c>
      <c r="B1074">
        <v>3148707</v>
      </c>
      <c r="C1074" t="str">
        <f>VLOOKUP(B1074,SAEB!$A:$B,2,0)</f>
        <v>Pedra Azul</v>
      </c>
      <c r="D1074">
        <v>1251</v>
      </c>
      <c r="E1074">
        <v>141</v>
      </c>
      <c r="F1074">
        <v>67</v>
      </c>
      <c r="G1074">
        <v>0</v>
      </c>
      <c r="H1074" s="7">
        <f t="shared" si="65"/>
        <v>85.743660041124059</v>
      </c>
      <c r="I1074" s="7">
        <f t="shared" si="66"/>
        <v>9.6641535298149428</v>
      </c>
      <c r="J1074" s="7">
        <f t="shared" si="67"/>
        <v>4.5921864290610008</v>
      </c>
      <c r="K1074" s="7">
        <f t="shared" si="68"/>
        <v>0</v>
      </c>
    </row>
    <row r="1075" spans="1:11" x14ac:dyDescent="0.35">
      <c r="A1075">
        <v>2020</v>
      </c>
      <c r="B1075">
        <v>3149952</v>
      </c>
      <c r="C1075" t="str">
        <f>VLOOKUP(B1075,SAEB!$A:$B,2,0)</f>
        <v>Periquito</v>
      </c>
      <c r="D1075">
        <v>541</v>
      </c>
      <c r="E1075">
        <v>234</v>
      </c>
      <c r="F1075">
        <v>0</v>
      </c>
      <c r="G1075">
        <v>0</v>
      </c>
      <c r="H1075" s="7">
        <f t="shared" si="65"/>
        <v>69.806451612903231</v>
      </c>
      <c r="I1075" s="7">
        <f t="shared" si="66"/>
        <v>30.193548387096776</v>
      </c>
      <c r="J1075" s="7">
        <f t="shared" si="67"/>
        <v>0</v>
      </c>
      <c r="K1075" s="7">
        <f t="shared" si="68"/>
        <v>0</v>
      </c>
    </row>
    <row r="1076" spans="1:11" x14ac:dyDescent="0.35">
      <c r="A1076">
        <v>2020</v>
      </c>
      <c r="B1076">
        <v>3150158</v>
      </c>
      <c r="C1076" t="str">
        <f>VLOOKUP(B1076,SAEB!$A:$B,2,0)</f>
        <v>Piedade de Caratinga</v>
      </c>
      <c r="D1076">
        <v>556</v>
      </c>
      <c r="E1076">
        <v>0</v>
      </c>
      <c r="F1076">
        <v>70</v>
      </c>
      <c r="G1076">
        <v>0</v>
      </c>
      <c r="H1076" s="7">
        <f t="shared" si="65"/>
        <v>88.817891373801913</v>
      </c>
      <c r="I1076" s="7">
        <f t="shared" si="66"/>
        <v>0</v>
      </c>
      <c r="J1076" s="7">
        <f t="shared" si="67"/>
        <v>11.182108626198083</v>
      </c>
      <c r="K1076" s="7">
        <f t="shared" si="68"/>
        <v>0</v>
      </c>
    </row>
    <row r="1077" spans="1:11" x14ac:dyDescent="0.35">
      <c r="A1077">
        <v>2020</v>
      </c>
      <c r="B1077">
        <v>3150570</v>
      </c>
      <c r="C1077" t="str">
        <f>VLOOKUP(B1077,SAEB!$A:$B,2,0)</f>
        <v>Pintópolis</v>
      </c>
      <c r="D1077">
        <v>354</v>
      </c>
      <c r="E1077">
        <v>0</v>
      </c>
      <c r="F1077">
        <v>86</v>
      </c>
      <c r="G1077">
        <v>0</v>
      </c>
      <c r="H1077" s="7">
        <f t="shared" si="65"/>
        <v>80.454545454545453</v>
      </c>
      <c r="I1077" s="7">
        <f t="shared" si="66"/>
        <v>0</v>
      </c>
      <c r="J1077" s="7">
        <f t="shared" si="67"/>
        <v>19.545454545454547</v>
      </c>
      <c r="K1077" s="7">
        <f t="shared" si="68"/>
        <v>0</v>
      </c>
    </row>
    <row r="1078" spans="1:11" x14ac:dyDescent="0.35">
      <c r="A1078">
        <v>2020</v>
      </c>
      <c r="B1078">
        <v>3151206</v>
      </c>
      <c r="C1078" t="str">
        <f>VLOOKUP(B1078,SAEB!$A:$B,2,0)</f>
        <v>Pirapora</v>
      </c>
      <c r="D1078">
        <v>2811</v>
      </c>
      <c r="E1078">
        <v>113</v>
      </c>
      <c r="F1078">
        <v>0</v>
      </c>
      <c r="G1078">
        <v>0</v>
      </c>
      <c r="H1078" s="7">
        <f t="shared" si="65"/>
        <v>96.135430916552664</v>
      </c>
      <c r="I1078" s="7">
        <f t="shared" si="66"/>
        <v>3.8645690834473325</v>
      </c>
      <c r="J1078" s="7">
        <f t="shared" si="67"/>
        <v>0</v>
      </c>
      <c r="K1078" s="7">
        <f t="shared" si="68"/>
        <v>0</v>
      </c>
    </row>
    <row r="1079" spans="1:11" x14ac:dyDescent="0.35">
      <c r="A1079">
        <v>2020</v>
      </c>
      <c r="B1079">
        <v>3152170</v>
      </c>
      <c r="C1079" t="str">
        <f>VLOOKUP(B1079,SAEB!$A:$B,2,0)</f>
        <v>Ponto dos Volantes</v>
      </c>
      <c r="D1079">
        <v>437</v>
      </c>
      <c r="E1079">
        <v>276</v>
      </c>
      <c r="F1079">
        <v>356</v>
      </c>
      <c r="G1079">
        <v>387</v>
      </c>
      <c r="H1079" s="7">
        <f t="shared" si="65"/>
        <v>30.013736263736263</v>
      </c>
      <c r="I1079" s="7">
        <f t="shared" si="66"/>
        <v>18.956043956043956</v>
      </c>
      <c r="J1079" s="7">
        <f t="shared" si="67"/>
        <v>24.450549450549449</v>
      </c>
      <c r="K1079" s="7">
        <f t="shared" si="68"/>
        <v>26.579670329670328</v>
      </c>
    </row>
    <row r="1080" spans="1:11" x14ac:dyDescent="0.35">
      <c r="A1080">
        <v>2020</v>
      </c>
      <c r="B1080">
        <v>3152402</v>
      </c>
      <c r="C1080" t="str">
        <f>VLOOKUP(B1080,SAEB!$A:$B,2,0)</f>
        <v>Poté</v>
      </c>
      <c r="D1080">
        <v>563</v>
      </c>
      <c r="E1080">
        <v>257</v>
      </c>
      <c r="F1080">
        <v>73</v>
      </c>
      <c r="G1080">
        <v>0</v>
      </c>
      <c r="H1080" s="7">
        <f t="shared" si="65"/>
        <v>63.045912653975364</v>
      </c>
      <c r="I1080" s="7">
        <f t="shared" si="66"/>
        <v>28.779395296752519</v>
      </c>
      <c r="J1080" s="7">
        <f t="shared" si="67"/>
        <v>8.1746920492721173</v>
      </c>
      <c r="K1080" s="7">
        <f t="shared" si="68"/>
        <v>0</v>
      </c>
    </row>
    <row r="1081" spans="1:11" x14ac:dyDescent="0.35">
      <c r="A1081">
        <v>2020</v>
      </c>
      <c r="B1081">
        <v>3153301</v>
      </c>
      <c r="C1081" t="str">
        <f>VLOOKUP(B1081,SAEB!$A:$B,2,0)</f>
        <v>Presidente Kubitschek</v>
      </c>
      <c r="D1081">
        <v>267</v>
      </c>
      <c r="E1081">
        <v>0</v>
      </c>
      <c r="F1081">
        <v>0</v>
      </c>
      <c r="G1081">
        <v>0</v>
      </c>
      <c r="H1081" s="7">
        <f t="shared" si="65"/>
        <v>100</v>
      </c>
      <c r="I1081" s="7">
        <f t="shared" si="66"/>
        <v>0</v>
      </c>
      <c r="J1081" s="7">
        <f t="shared" si="67"/>
        <v>0</v>
      </c>
      <c r="K1081" s="7">
        <f t="shared" si="68"/>
        <v>0</v>
      </c>
    </row>
    <row r="1082" spans="1:11" x14ac:dyDescent="0.35">
      <c r="A1082">
        <v>2020</v>
      </c>
      <c r="B1082">
        <v>3154309</v>
      </c>
      <c r="C1082" t="str">
        <f>VLOOKUP(B1082,SAEB!$A:$B,2,0)</f>
        <v>Resplendor</v>
      </c>
      <c r="D1082">
        <v>912</v>
      </c>
      <c r="E1082">
        <v>592</v>
      </c>
      <c r="F1082">
        <v>0</v>
      </c>
      <c r="G1082">
        <v>0</v>
      </c>
      <c r="H1082" s="7">
        <f t="shared" si="65"/>
        <v>60.638297872340431</v>
      </c>
      <c r="I1082" s="7">
        <f t="shared" si="66"/>
        <v>39.361702127659576</v>
      </c>
      <c r="J1082" s="7">
        <f t="shared" si="67"/>
        <v>0</v>
      </c>
      <c r="K1082" s="7">
        <f t="shared" si="68"/>
        <v>0</v>
      </c>
    </row>
    <row r="1083" spans="1:11" x14ac:dyDescent="0.35">
      <c r="A1083">
        <v>2020</v>
      </c>
      <c r="B1083">
        <v>3155108</v>
      </c>
      <c r="C1083" t="str">
        <f>VLOOKUP(B1083,SAEB!$A:$B,2,0)</f>
        <v>Rio do Prado</v>
      </c>
      <c r="D1083">
        <v>0</v>
      </c>
      <c r="E1083">
        <v>0</v>
      </c>
      <c r="F1083">
        <v>129</v>
      </c>
      <c r="G1083">
        <v>148</v>
      </c>
      <c r="H1083" s="7">
        <f t="shared" si="65"/>
        <v>0</v>
      </c>
      <c r="I1083" s="7">
        <f t="shared" si="66"/>
        <v>0</v>
      </c>
      <c r="J1083" s="7">
        <f t="shared" si="67"/>
        <v>46.570397111913358</v>
      </c>
      <c r="K1083" s="7">
        <f t="shared" si="68"/>
        <v>53.429602888086649</v>
      </c>
    </row>
    <row r="1084" spans="1:11" x14ac:dyDescent="0.35">
      <c r="A1084">
        <v>2020</v>
      </c>
      <c r="B1084">
        <v>3155603</v>
      </c>
      <c r="C1084" t="str">
        <f>VLOOKUP(B1084,SAEB!$A:$B,2,0)</f>
        <v>Rio Pardo de Minas</v>
      </c>
      <c r="D1084">
        <v>690</v>
      </c>
      <c r="E1084">
        <v>268</v>
      </c>
      <c r="F1084">
        <v>489</v>
      </c>
      <c r="G1084">
        <v>425</v>
      </c>
      <c r="H1084" s="7">
        <f t="shared" si="65"/>
        <v>36.858974358974365</v>
      </c>
      <c r="I1084" s="7">
        <f t="shared" si="66"/>
        <v>14.316239316239315</v>
      </c>
      <c r="J1084" s="7">
        <f t="shared" si="67"/>
        <v>26.121794871794872</v>
      </c>
      <c r="K1084" s="7">
        <f t="shared" si="68"/>
        <v>22.702991452991451</v>
      </c>
    </row>
    <row r="1085" spans="1:11" x14ac:dyDescent="0.35">
      <c r="A1085">
        <v>2020</v>
      </c>
      <c r="B1085">
        <v>3156502</v>
      </c>
      <c r="C1085" t="str">
        <f>VLOOKUP(B1085,SAEB!$A:$B,2,0)</f>
        <v>Rubelita</v>
      </c>
      <c r="D1085">
        <v>115</v>
      </c>
      <c r="E1085">
        <v>0</v>
      </c>
      <c r="F1085">
        <v>120</v>
      </c>
      <c r="G1085">
        <v>0</v>
      </c>
      <c r="H1085" s="7">
        <f t="shared" si="65"/>
        <v>48.936170212765958</v>
      </c>
      <c r="I1085" s="7">
        <f t="shared" si="66"/>
        <v>0</v>
      </c>
      <c r="J1085" s="7">
        <f t="shared" si="67"/>
        <v>51.063829787234042</v>
      </c>
      <c r="K1085" s="7">
        <f t="shared" si="68"/>
        <v>0</v>
      </c>
    </row>
    <row r="1086" spans="1:11" x14ac:dyDescent="0.35">
      <c r="A1086">
        <v>2020</v>
      </c>
      <c r="B1086">
        <v>3156601</v>
      </c>
      <c r="C1086" t="str">
        <f>VLOOKUP(B1086,SAEB!$A:$B,2,0)</f>
        <v>Rubim</v>
      </c>
      <c r="D1086">
        <v>471</v>
      </c>
      <c r="E1086">
        <v>429</v>
      </c>
      <c r="F1086">
        <v>87</v>
      </c>
      <c r="G1086">
        <v>0</v>
      </c>
      <c r="H1086" s="7">
        <f t="shared" si="65"/>
        <v>47.720364741641333</v>
      </c>
      <c r="I1086" s="7">
        <f t="shared" si="66"/>
        <v>43.465045592705167</v>
      </c>
      <c r="J1086" s="7">
        <f t="shared" si="67"/>
        <v>8.8145896656534948</v>
      </c>
      <c r="K1086" s="7">
        <f t="shared" si="68"/>
        <v>0</v>
      </c>
    </row>
    <row r="1087" spans="1:11" x14ac:dyDescent="0.35">
      <c r="A1087">
        <v>2020</v>
      </c>
      <c r="B1087">
        <v>3156809</v>
      </c>
      <c r="C1087" t="str">
        <f>VLOOKUP(B1087,SAEB!$A:$B,2,0)</f>
        <v>Sabinópolis</v>
      </c>
      <c r="D1087">
        <v>239</v>
      </c>
      <c r="E1087">
        <v>0</v>
      </c>
      <c r="F1087">
        <v>127</v>
      </c>
      <c r="G1087">
        <v>0</v>
      </c>
      <c r="H1087" s="7">
        <f t="shared" si="65"/>
        <v>65.300546448087431</v>
      </c>
      <c r="I1087" s="7">
        <f t="shared" si="66"/>
        <v>0</v>
      </c>
      <c r="J1087" s="7">
        <f t="shared" si="67"/>
        <v>34.699453551912569</v>
      </c>
      <c r="K1087" s="7">
        <f t="shared" si="68"/>
        <v>0</v>
      </c>
    </row>
    <row r="1088" spans="1:11" x14ac:dyDescent="0.35">
      <c r="A1088">
        <v>2020</v>
      </c>
      <c r="B1088">
        <v>3157005</v>
      </c>
      <c r="C1088" t="str">
        <f>VLOOKUP(B1088,SAEB!$A:$B,2,0)</f>
        <v>Salinas</v>
      </c>
      <c r="D1088">
        <v>562</v>
      </c>
      <c r="E1088">
        <v>0</v>
      </c>
      <c r="F1088">
        <v>173</v>
      </c>
      <c r="G1088">
        <v>80</v>
      </c>
      <c r="H1088" s="7">
        <f t="shared" si="65"/>
        <v>68.957055214723923</v>
      </c>
      <c r="I1088" s="7">
        <f t="shared" si="66"/>
        <v>0</v>
      </c>
      <c r="J1088" s="7">
        <f t="shared" si="67"/>
        <v>21.226993865030675</v>
      </c>
      <c r="K1088" s="7">
        <f t="shared" si="68"/>
        <v>9.8159509202453989</v>
      </c>
    </row>
    <row r="1089" spans="1:11" x14ac:dyDescent="0.35">
      <c r="A1089">
        <v>2020</v>
      </c>
      <c r="B1089">
        <v>3157104</v>
      </c>
      <c r="C1089" t="str">
        <f>VLOOKUP(B1089,SAEB!$A:$B,2,0)</f>
        <v>Salto da Divisa</v>
      </c>
      <c r="D1089">
        <v>441</v>
      </c>
      <c r="E1089">
        <v>0</v>
      </c>
      <c r="F1089">
        <v>23</v>
      </c>
      <c r="G1089">
        <v>0</v>
      </c>
      <c r="H1089" s="7">
        <f t="shared" si="65"/>
        <v>95.043103448275872</v>
      </c>
      <c r="I1089" s="7">
        <f t="shared" si="66"/>
        <v>0</v>
      </c>
      <c r="J1089" s="7">
        <f t="shared" si="67"/>
        <v>4.9568965517241379</v>
      </c>
      <c r="K1089" s="7">
        <f t="shared" si="68"/>
        <v>0</v>
      </c>
    </row>
    <row r="1090" spans="1:11" x14ac:dyDescent="0.35">
      <c r="A1090">
        <v>2020</v>
      </c>
      <c r="B1090">
        <v>3157252</v>
      </c>
      <c r="C1090" t="str">
        <f>VLOOKUP(B1090,SAEB!$A:$B,2,0)</f>
        <v>Santa Bárbara do Leste</v>
      </c>
      <c r="D1090">
        <v>93</v>
      </c>
      <c r="E1090">
        <v>138</v>
      </c>
      <c r="F1090">
        <v>173</v>
      </c>
      <c r="G1090">
        <v>97</v>
      </c>
      <c r="H1090" s="7">
        <f t="shared" si="65"/>
        <v>18.562874251497004</v>
      </c>
      <c r="I1090" s="7">
        <f t="shared" si="66"/>
        <v>27.54491017964072</v>
      </c>
      <c r="J1090" s="7">
        <f t="shared" si="67"/>
        <v>34.530938123752499</v>
      </c>
      <c r="K1090" s="7">
        <f t="shared" si="68"/>
        <v>19.361277445109781</v>
      </c>
    </row>
    <row r="1091" spans="1:11" x14ac:dyDescent="0.35">
      <c r="A1091">
        <v>2020</v>
      </c>
      <c r="B1091">
        <v>3157377</v>
      </c>
      <c r="C1091" t="str">
        <f>VLOOKUP(B1091,SAEB!$A:$B,2,0)</f>
        <v>Santa Cruz de Salinas</v>
      </c>
      <c r="D1091">
        <v>159</v>
      </c>
      <c r="E1091">
        <v>0</v>
      </c>
      <c r="F1091">
        <v>104</v>
      </c>
      <c r="G1091">
        <v>35</v>
      </c>
      <c r="H1091" s="7">
        <f t="shared" ref="H1091:H1154" si="69">D1091/SUM($D1091:$G1091)*100</f>
        <v>53.355704697986575</v>
      </c>
      <c r="I1091" s="7">
        <f t="shared" ref="I1091:I1154" si="70">E1091/SUM($D1091:$G1091)*100</f>
        <v>0</v>
      </c>
      <c r="J1091" s="7">
        <f t="shared" ref="J1091:J1154" si="71">F1091/SUM($D1091:$G1091)*100</f>
        <v>34.899328859060404</v>
      </c>
      <c r="K1091" s="7">
        <f t="shared" ref="K1091:K1154" si="72">G1091/SUM($D1091:$G1091)*100</f>
        <v>11.74496644295302</v>
      </c>
    </row>
    <row r="1092" spans="1:11" x14ac:dyDescent="0.35">
      <c r="A1092">
        <v>2020</v>
      </c>
      <c r="B1092">
        <v>3157500</v>
      </c>
      <c r="C1092" t="str">
        <f>VLOOKUP(B1092,SAEB!$A:$B,2,0)</f>
        <v>Santa Efigênia de Minas</v>
      </c>
      <c r="D1092">
        <v>262</v>
      </c>
      <c r="E1092">
        <v>0</v>
      </c>
      <c r="F1092">
        <v>44</v>
      </c>
      <c r="G1092">
        <v>0</v>
      </c>
      <c r="H1092" s="7">
        <f t="shared" si="69"/>
        <v>85.620915032679733</v>
      </c>
      <c r="I1092" s="7">
        <f t="shared" si="70"/>
        <v>0</v>
      </c>
      <c r="J1092" s="7">
        <f t="shared" si="71"/>
        <v>14.37908496732026</v>
      </c>
      <c r="K1092" s="7">
        <f t="shared" si="72"/>
        <v>0</v>
      </c>
    </row>
    <row r="1093" spans="1:11" x14ac:dyDescent="0.35">
      <c r="A1093">
        <v>2020</v>
      </c>
      <c r="B1093">
        <v>3157658</v>
      </c>
      <c r="C1093" t="str">
        <f>VLOOKUP(B1093,SAEB!$A:$B,2,0)</f>
        <v>Santa Helena de Minas</v>
      </c>
      <c r="D1093">
        <v>175</v>
      </c>
      <c r="E1093">
        <v>0</v>
      </c>
      <c r="F1093">
        <v>44</v>
      </c>
      <c r="G1093">
        <v>53</v>
      </c>
      <c r="H1093" s="7">
        <f t="shared" si="69"/>
        <v>64.338235294117652</v>
      </c>
      <c r="I1093" s="7">
        <f t="shared" si="70"/>
        <v>0</v>
      </c>
      <c r="J1093" s="7">
        <f t="shared" si="71"/>
        <v>16.176470588235293</v>
      </c>
      <c r="K1093" s="7">
        <f t="shared" si="72"/>
        <v>19.485294117647058</v>
      </c>
    </row>
    <row r="1094" spans="1:11" x14ac:dyDescent="0.35">
      <c r="A1094">
        <v>2020</v>
      </c>
      <c r="B1094">
        <v>3158201</v>
      </c>
      <c r="C1094" t="str">
        <f>VLOOKUP(B1094,SAEB!$A:$B,2,0)</f>
        <v>Santa Maria do Suaçuí</v>
      </c>
      <c r="D1094">
        <v>320</v>
      </c>
      <c r="E1094">
        <v>17</v>
      </c>
      <c r="F1094">
        <v>43</v>
      </c>
      <c r="G1094">
        <v>0</v>
      </c>
      <c r="H1094" s="7">
        <f t="shared" si="69"/>
        <v>84.210526315789465</v>
      </c>
      <c r="I1094" s="7">
        <f t="shared" si="70"/>
        <v>4.4736842105263159</v>
      </c>
      <c r="J1094" s="7">
        <f t="shared" si="71"/>
        <v>11.315789473684211</v>
      </c>
      <c r="K1094" s="7">
        <f t="shared" si="72"/>
        <v>0</v>
      </c>
    </row>
    <row r="1095" spans="1:11" x14ac:dyDescent="0.35">
      <c r="A1095">
        <v>2020</v>
      </c>
      <c r="B1095">
        <v>3159357</v>
      </c>
      <c r="C1095" t="str">
        <f>VLOOKUP(B1095,SAEB!$A:$B,2,0)</f>
        <v>Santa Rita de Minas</v>
      </c>
      <c r="D1095">
        <v>394</v>
      </c>
      <c r="E1095">
        <v>0</v>
      </c>
      <c r="F1095">
        <v>44</v>
      </c>
      <c r="G1095">
        <v>0</v>
      </c>
      <c r="H1095" s="7">
        <f t="shared" si="69"/>
        <v>89.954337899543376</v>
      </c>
      <c r="I1095" s="7">
        <f t="shared" si="70"/>
        <v>0</v>
      </c>
      <c r="J1095" s="7">
        <f t="shared" si="71"/>
        <v>10.045662100456621</v>
      </c>
      <c r="K1095" s="7">
        <f t="shared" si="72"/>
        <v>0</v>
      </c>
    </row>
    <row r="1096" spans="1:11" x14ac:dyDescent="0.35">
      <c r="A1096">
        <v>2020</v>
      </c>
      <c r="B1096">
        <v>3159506</v>
      </c>
      <c r="C1096" t="str">
        <f>VLOOKUP(B1096,SAEB!$A:$B,2,0)</f>
        <v>Santa Rita do Itueto</v>
      </c>
      <c r="D1096">
        <v>147</v>
      </c>
      <c r="E1096">
        <v>0</v>
      </c>
      <c r="F1096">
        <v>156</v>
      </c>
      <c r="G1096">
        <v>104</v>
      </c>
      <c r="H1096" s="7">
        <f t="shared" si="69"/>
        <v>36.117936117936118</v>
      </c>
      <c r="I1096" s="7">
        <f t="shared" si="70"/>
        <v>0</v>
      </c>
      <c r="J1096" s="7">
        <f t="shared" si="71"/>
        <v>38.329238329238329</v>
      </c>
      <c r="K1096" s="7">
        <f t="shared" si="72"/>
        <v>25.552825552825553</v>
      </c>
    </row>
    <row r="1097" spans="1:11" x14ac:dyDescent="0.35">
      <c r="A1097">
        <v>2020</v>
      </c>
      <c r="B1097">
        <v>3160454</v>
      </c>
      <c r="C1097" t="str">
        <f>VLOOKUP(B1097,SAEB!$A:$B,2,0)</f>
        <v>Santo Antônio do Retiro</v>
      </c>
      <c r="D1097">
        <v>255</v>
      </c>
      <c r="E1097">
        <v>249</v>
      </c>
      <c r="F1097">
        <v>147</v>
      </c>
      <c r="G1097">
        <v>147</v>
      </c>
      <c r="H1097" s="7">
        <f t="shared" si="69"/>
        <v>31.954887218045116</v>
      </c>
      <c r="I1097" s="7">
        <f t="shared" si="70"/>
        <v>31.203007518796994</v>
      </c>
      <c r="J1097" s="7">
        <f t="shared" si="71"/>
        <v>18.421052631578945</v>
      </c>
      <c r="K1097" s="7">
        <f t="shared" si="72"/>
        <v>18.421052631578945</v>
      </c>
    </row>
    <row r="1098" spans="1:11" x14ac:dyDescent="0.35">
      <c r="A1098">
        <v>2020</v>
      </c>
      <c r="B1098">
        <v>3160603</v>
      </c>
      <c r="C1098" t="str">
        <f>VLOOKUP(B1098,SAEB!$A:$B,2,0)</f>
        <v>Santo Hipólito</v>
      </c>
      <c r="D1098">
        <v>139</v>
      </c>
      <c r="E1098">
        <v>0</v>
      </c>
      <c r="F1098">
        <v>6</v>
      </c>
      <c r="G1098">
        <v>0</v>
      </c>
      <c r="H1098" s="7">
        <f t="shared" si="69"/>
        <v>95.862068965517238</v>
      </c>
      <c r="I1098" s="7">
        <f t="shared" si="70"/>
        <v>0</v>
      </c>
      <c r="J1098" s="7">
        <f t="shared" si="71"/>
        <v>4.1379310344827589</v>
      </c>
      <c r="K1098" s="7">
        <f t="shared" si="72"/>
        <v>0</v>
      </c>
    </row>
    <row r="1099" spans="1:11" x14ac:dyDescent="0.35">
      <c r="A1099">
        <v>2020</v>
      </c>
      <c r="B1099">
        <v>3160959</v>
      </c>
      <c r="C1099" t="str">
        <f>VLOOKUP(B1099,SAEB!$A:$B,2,0)</f>
        <v>São Domingos das Dores</v>
      </c>
      <c r="D1099">
        <v>291</v>
      </c>
      <c r="E1099">
        <v>0</v>
      </c>
      <c r="F1099">
        <v>150</v>
      </c>
      <c r="G1099">
        <v>184</v>
      </c>
      <c r="H1099" s="7">
        <f t="shared" si="69"/>
        <v>46.56</v>
      </c>
      <c r="I1099" s="7">
        <f t="shared" si="70"/>
        <v>0</v>
      </c>
      <c r="J1099" s="7">
        <f t="shared" si="71"/>
        <v>24</v>
      </c>
      <c r="K1099" s="7">
        <f t="shared" si="72"/>
        <v>29.439999999999998</v>
      </c>
    </row>
    <row r="1100" spans="1:11" x14ac:dyDescent="0.35">
      <c r="A1100">
        <v>2020</v>
      </c>
      <c r="B1100">
        <v>3161601</v>
      </c>
      <c r="C1100" t="str">
        <f>VLOOKUP(B1100,SAEB!$A:$B,2,0)</f>
        <v>São Geraldo da Piedade</v>
      </c>
      <c r="D1100">
        <v>104</v>
      </c>
      <c r="E1100">
        <v>0</v>
      </c>
      <c r="F1100">
        <v>148</v>
      </c>
      <c r="G1100">
        <v>75</v>
      </c>
      <c r="H1100" s="7">
        <f t="shared" si="69"/>
        <v>31.804281345565748</v>
      </c>
      <c r="I1100" s="7">
        <f t="shared" si="70"/>
        <v>0</v>
      </c>
      <c r="J1100" s="7">
        <f t="shared" si="71"/>
        <v>45.259938837920487</v>
      </c>
      <c r="K1100" s="7">
        <f t="shared" si="72"/>
        <v>22.935779816513762</v>
      </c>
    </row>
    <row r="1101" spans="1:11" x14ac:dyDescent="0.35">
      <c r="A1101">
        <v>2020</v>
      </c>
      <c r="B1101">
        <v>3125507</v>
      </c>
      <c r="C1101" t="str">
        <f>VLOOKUP(B1101,SAEB!$A:$B,2,0)</f>
        <v>São Gonçalo do Rio Preto</v>
      </c>
      <c r="D1101">
        <v>177</v>
      </c>
      <c r="E1101">
        <v>0</v>
      </c>
      <c r="F1101">
        <v>0</v>
      </c>
      <c r="G1101">
        <v>0</v>
      </c>
      <c r="H1101" s="7">
        <f t="shared" si="69"/>
        <v>100</v>
      </c>
      <c r="I1101" s="7">
        <f t="shared" si="70"/>
        <v>0</v>
      </c>
      <c r="J1101" s="7">
        <f t="shared" si="71"/>
        <v>0</v>
      </c>
      <c r="K1101" s="7">
        <f t="shared" si="72"/>
        <v>0</v>
      </c>
    </row>
    <row r="1102" spans="1:11" x14ac:dyDescent="0.35">
      <c r="A1102">
        <v>2020</v>
      </c>
      <c r="B1102">
        <v>3162252</v>
      </c>
      <c r="C1102" t="str">
        <f>VLOOKUP(B1102,SAEB!$A:$B,2,0)</f>
        <v>São João da Lagoa</v>
      </c>
      <c r="D1102">
        <v>240</v>
      </c>
      <c r="E1102">
        <v>0</v>
      </c>
      <c r="F1102">
        <v>55</v>
      </c>
      <c r="G1102">
        <v>62</v>
      </c>
      <c r="H1102" s="7">
        <f t="shared" si="69"/>
        <v>67.226890756302524</v>
      </c>
      <c r="I1102" s="7">
        <f t="shared" si="70"/>
        <v>0</v>
      </c>
      <c r="J1102" s="7">
        <f t="shared" si="71"/>
        <v>15.406162464985995</v>
      </c>
      <c r="K1102" s="7">
        <f t="shared" si="72"/>
        <v>17.366946778711483</v>
      </c>
    </row>
    <row r="1103" spans="1:11" x14ac:dyDescent="0.35">
      <c r="A1103">
        <v>2020</v>
      </c>
      <c r="B1103">
        <v>3162401</v>
      </c>
      <c r="C1103" t="str">
        <f>VLOOKUP(B1103,SAEB!$A:$B,2,0)</f>
        <v>São João da Ponte</v>
      </c>
      <c r="D1103">
        <v>304</v>
      </c>
      <c r="E1103">
        <v>294</v>
      </c>
      <c r="F1103">
        <v>847</v>
      </c>
      <c r="G1103">
        <v>576</v>
      </c>
      <c r="H1103" s="7">
        <f t="shared" si="69"/>
        <v>15.04205838693716</v>
      </c>
      <c r="I1103" s="7">
        <f t="shared" si="70"/>
        <v>14.54725383473528</v>
      </c>
      <c r="J1103" s="7">
        <f t="shared" si="71"/>
        <v>41.909945571499257</v>
      </c>
      <c r="K1103" s="7">
        <f t="shared" si="72"/>
        <v>28.500742206828299</v>
      </c>
    </row>
    <row r="1104" spans="1:11" x14ac:dyDescent="0.35">
      <c r="A1104">
        <v>2020</v>
      </c>
      <c r="B1104">
        <v>3162575</v>
      </c>
      <c r="C1104" t="str">
        <f>VLOOKUP(B1104,SAEB!$A:$B,2,0)</f>
        <v>São João do Manteninha</v>
      </c>
      <c r="D1104">
        <v>230</v>
      </c>
      <c r="E1104">
        <v>0</v>
      </c>
      <c r="F1104">
        <v>133</v>
      </c>
      <c r="G1104">
        <v>0</v>
      </c>
      <c r="H1104" s="7">
        <f t="shared" si="69"/>
        <v>63.360881542699723</v>
      </c>
      <c r="I1104" s="7">
        <f t="shared" si="70"/>
        <v>0</v>
      </c>
      <c r="J1104" s="7">
        <f t="shared" si="71"/>
        <v>36.63911845730027</v>
      </c>
      <c r="K1104" s="7">
        <f t="shared" si="72"/>
        <v>0</v>
      </c>
    </row>
    <row r="1105" spans="1:11" x14ac:dyDescent="0.35">
      <c r="A1105">
        <v>2020</v>
      </c>
      <c r="B1105">
        <v>3162807</v>
      </c>
      <c r="C1105" t="str">
        <f>VLOOKUP(B1105,SAEB!$A:$B,2,0)</f>
        <v>São João Evangelista</v>
      </c>
      <c r="D1105">
        <v>780</v>
      </c>
      <c r="E1105">
        <v>0</v>
      </c>
      <c r="F1105">
        <v>119</v>
      </c>
      <c r="G1105">
        <v>71</v>
      </c>
      <c r="H1105" s="7">
        <f t="shared" si="69"/>
        <v>80.412371134020617</v>
      </c>
      <c r="I1105" s="7">
        <f t="shared" si="70"/>
        <v>0</v>
      </c>
      <c r="J1105" s="7">
        <f t="shared" si="71"/>
        <v>12.268041237113401</v>
      </c>
      <c r="K1105" s="7">
        <f t="shared" si="72"/>
        <v>7.31958762886598</v>
      </c>
    </row>
    <row r="1106" spans="1:11" x14ac:dyDescent="0.35">
      <c r="A1106">
        <v>2020</v>
      </c>
      <c r="B1106">
        <v>3163508</v>
      </c>
      <c r="C1106" t="str">
        <f>VLOOKUP(B1106,SAEB!$A:$B,2,0)</f>
        <v>São José do Jacuri</v>
      </c>
      <c r="D1106">
        <v>0</v>
      </c>
      <c r="E1106">
        <v>0</v>
      </c>
      <c r="F1106">
        <v>138</v>
      </c>
      <c r="G1106">
        <v>91</v>
      </c>
      <c r="H1106" s="7">
        <f t="shared" si="69"/>
        <v>0</v>
      </c>
      <c r="I1106" s="7">
        <f t="shared" si="70"/>
        <v>0</v>
      </c>
      <c r="J1106" s="7">
        <f t="shared" si="71"/>
        <v>60.262008733624448</v>
      </c>
      <c r="K1106" s="7">
        <f t="shared" si="72"/>
        <v>39.737991266375545</v>
      </c>
    </row>
    <row r="1107" spans="1:11" x14ac:dyDescent="0.35">
      <c r="A1107">
        <v>2020</v>
      </c>
      <c r="B1107">
        <v>3164100</v>
      </c>
      <c r="C1107" t="str">
        <f>VLOOKUP(B1107,SAEB!$A:$B,2,0)</f>
        <v>São Pedro do Suaçuí</v>
      </c>
      <c r="D1107">
        <v>219</v>
      </c>
      <c r="E1107">
        <v>0</v>
      </c>
      <c r="F1107">
        <v>48</v>
      </c>
      <c r="G1107">
        <v>0</v>
      </c>
      <c r="H1107" s="7">
        <f t="shared" si="69"/>
        <v>82.022471910112358</v>
      </c>
      <c r="I1107" s="7">
        <f t="shared" si="70"/>
        <v>0</v>
      </c>
      <c r="J1107" s="7">
        <f t="shared" si="71"/>
        <v>17.977528089887642</v>
      </c>
      <c r="K1107" s="7">
        <f t="shared" si="72"/>
        <v>0</v>
      </c>
    </row>
    <row r="1108" spans="1:11" x14ac:dyDescent="0.35">
      <c r="A1108">
        <v>2020</v>
      </c>
      <c r="B1108">
        <v>3164472</v>
      </c>
      <c r="C1108" t="str">
        <f>VLOOKUP(B1108,SAEB!$A:$B,2,0)</f>
        <v>São Sebastião do Anta</v>
      </c>
      <c r="D1108">
        <v>464</v>
      </c>
      <c r="E1108">
        <v>218</v>
      </c>
      <c r="F1108">
        <v>11</v>
      </c>
      <c r="G1108">
        <v>0</v>
      </c>
      <c r="H1108" s="7">
        <f t="shared" si="69"/>
        <v>66.95526695526695</v>
      </c>
      <c r="I1108" s="7">
        <f t="shared" si="70"/>
        <v>31.457431457431458</v>
      </c>
      <c r="J1108" s="7">
        <f t="shared" si="71"/>
        <v>1.5873015873015872</v>
      </c>
      <c r="K1108" s="7">
        <f t="shared" si="72"/>
        <v>0</v>
      </c>
    </row>
    <row r="1109" spans="1:11" x14ac:dyDescent="0.35">
      <c r="A1109">
        <v>2020</v>
      </c>
      <c r="B1109">
        <v>3165503</v>
      </c>
      <c r="C1109" t="str">
        <f>VLOOKUP(B1109,SAEB!$A:$B,2,0)</f>
        <v>Sardoá</v>
      </c>
      <c r="D1109">
        <v>205</v>
      </c>
      <c r="E1109">
        <v>0</v>
      </c>
      <c r="F1109">
        <v>118</v>
      </c>
      <c r="G1109">
        <v>113</v>
      </c>
      <c r="H1109" s="7">
        <f t="shared" si="69"/>
        <v>47.018348623853214</v>
      </c>
      <c r="I1109" s="7">
        <f t="shared" si="70"/>
        <v>0</v>
      </c>
      <c r="J1109" s="7">
        <f t="shared" si="71"/>
        <v>27.064220183486238</v>
      </c>
      <c r="K1109" s="7">
        <f t="shared" si="72"/>
        <v>25.917431192660551</v>
      </c>
    </row>
    <row r="1110" spans="1:11" x14ac:dyDescent="0.35">
      <c r="A1110">
        <v>2020</v>
      </c>
      <c r="B1110">
        <v>3165909</v>
      </c>
      <c r="C1110" t="str">
        <f>VLOOKUP(B1110,SAEB!$A:$B,2,0)</f>
        <v>Senador Modestino Gonçalves</v>
      </c>
      <c r="D1110">
        <v>174</v>
      </c>
      <c r="E1110">
        <v>0</v>
      </c>
      <c r="F1110">
        <v>65</v>
      </c>
      <c r="G1110">
        <v>0</v>
      </c>
      <c r="H1110" s="7">
        <f t="shared" si="69"/>
        <v>72.803347280334734</v>
      </c>
      <c r="I1110" s="7">
        <f t="shared" si="70"/>
        <v>0</v>
      </c>
      <c r="J1110" s="7">
        <f t="shared" si="71"/>
        <v>27.19665271966527</v>
      </c>
      <c r="K1110" s="7">
        <f t="shared" si="72"/>
        <v>0</v>
      </c>
    </row>
    <row r="1111" spans="1:11" x14ac:dyDescent="0.35">
      <c r="A1111">
        <v>2020</v>
      </c>
      <c r="B1111">
        <v>3166105</v>
      </c>
      <c r="C1111" t="str">
        <f>VLOOKUP(B1111,SAEB!$A:$B,2,0)</f>
        <v>Senhora do Porto</v>
      </c>
      <c r="D1111">
        <v>219</v>
      </c>
      <c r="E1111">
        <v>0</v>
      </c>
      <c r="F1111">
        <v>20</v>
      </c>
      <c r="G1111">
        <v>0</v>
      </c>
      <c r="H1111" s="7">
        <f t="shared" si="69"/>
        <v>91.63179916317992</v>
      </c>
      <c r="I1111" s="7">
        <f t="shared" si="70"/>
        <v>0</v>
      </c>
      <c r="J1111" s="7">
        <f t="shared" si="71"/>
        <v>8.3682008368200833</v>
      </c>
      <c r="K1111" s="7">
        <f t="shared" si="72"/>
        <v>0</v>
      </c>
    </row>
    <row r="1112" spans="1:11" x14ac:dyDescent="0.35">
      <c r="A1112">
        <v>2020</v>
      </c>
      <c r="B1112">
        <v>3166709</v>
      </c>
      <c r="C1112" t="str">
        <f>VLOOKUP(B1112,SAEB!$A:$B,2,0)</f>
        <v>Serra dos Aimorés</v>
      </c>
      <c r="D1112">
        <v>208</v>
      </c>
      <c r="E1112">
        <v>0</v>
      </c>
      <c r="F1112">
        <v>96</v>
      </c>
      <c r="G1112">
        <v>0</v>
      </c>
      <c r="H1112" s="7">
        <f t="shared" si="69"/>
        <v>68.421052631578945</v>
      </c>
      <c r="I1112" s="7">
        <f t="shared" si="70"/>
        <v>0</v>
      </c>
      <c r="J1112" s="7">
        <f t="shared" si="71"/>
        <v>31.578947368421051</v>
      </c>
      <c r="K1112" s="7">
        <f t="shared" si="72"/>
        <v>0</v>
      </c>
    </row>
    <row r="1113" spans="1:11" x14ac:dyDescent="0.35">
      <c r="A1113">
        <v>2020</v>
      </c>
      <c r="B1113">
        <v>3166956</v>
      </c>
      <c r="C1113" t="str">
        <f>VLOOKUP(B1113,SAEB!$A:$B,2,0)</f>
        <v>Serranópolis de Minas</v>
      </c>
      <c r="D1113">
        <v>132</v>
      </c>
      <c r="E1113">
        <v>0</v>
      </c>
      <c r="F1113">
        <v>159</v>
      </c>
      <c r="G1113">
        <v>110</v>
      </c>
      <c r="H1113" s="7">
        <f t="shared" si="69"/>
        <v>32.917705735660846</v>
      </c>
      <c r="I1113" s="7">
        <f t="shared" si="70"/>
        <v>0</v>
      </c>
      <c r="J1113" s="7">
        <f t="shared" si="71"/>
        <v>39.650872817955111</v>
      </c>
      <c r="K1113" s="7">
        <f t="shared" si="72"/>
        <v>27.431421446384043</v>
      </c>
    </row>
    <row r="1114" spans="1:11" x14ac:dyDescent="0.35">
      <c r="A1114">
        <v>2020</v>
      </c>
      <c r="B1114">
        <v>3168002</v>
      </c>
      <c r="C1114" t="str">
        <f>VLOOKUP(B1114,SAEB!$A:$B,2,0)</f>
        <v>Taiobeiras</v>
      </c>
      <c r="D1114">
        <v>900</v>
      </c>
      <c r="E1114">
        <v>187</v>
      </c>
      <c r="F1114">
        <v>96</v>
      </c>
      <c r="G1114">
        <v>98</v>
      </c>
      <c r="H1114" s="7">
        <f t="shared" si="69"/>
        <v>70.257611241217802</v>
      </c>
      <c r="I1114" s="7">
        <f t="shared" si="70"/>
        <v>14.597970335675253</v>
      </c>
      <c r="J1114" s="7">
        <f t="shared" si="71"/>
        <v>7.4941451990632322</v>
      </c>
      <c r="K1114" s="7">
        <f t="shared" si="72"/>
        <v>7.6502732240437163</v>
      </c>
    </row>
    <row r="1115" spans="1:11" x14ac:dyDescent="0.35">
      <c r="A1115">
        <v>2020</v>
      </c>
      <c r="B1115">
        <v>3168051</v>
      </c>
      <c r="C1115" t="str">
        <f>VLOOKUP(B1115,SAEB!$A:$B,2,0)</f>
        <v>Taparuba</v>
      </c>
      <c r="D1115">
        <v>193</v>
      </c>
      <c r="E1115">
        <v>39</v>
      </c>
      <c r="F1115">
        <v>33</v>
      </c>
      <c r="G1115">
        <v>0</v>
      </c>
      <c r="H1115" s="7">
        <f t="shared" si="69"/>
        <v>72.830188679245282</v>
      </c>
      <c r="I1115" s="7">
        <f t="shared" si="70"/>
        <v>14.716981132075471</v>
      </c>
      <c r="J1115" s="7">
        <f t="shared" si="71"/>
        <v>12.452830188679245</v>
      </c>
      <c r="K1115" s="7">
        <f t="shared" si="72"/>
        <v>0</v>
      </c>
    </row>
    <row r="1116" spans="1:11" x14ac:dyDescent="0.35">
      <c r="A1116">
        <v>2020</v>
      </c>
      <c r="B1116">
        <v>3168408</v>
      </c>
      <c r="C1116" t="str">
        <f>VLOOKUP(B1116,SAEB!$A:$B,2,0)</f>
        <v>Tarumirim</v>
      </c>
      <c r="D1116">
        <v>189</v>
      </c>
      <c r="E1116">
        <v>80</v>
      </c>
      <c r="F1116">
        <v>18</v>
      </c>
      <c r="G1116">
        <v>12</v>
      </c>
      <c r="H1116" s="7">
        <f t="shared" si="69"/>
        <v>63.210702341137129</v>
      </c>
      <c r="I1116" s="7">
        <f t="shared" si="70"/>
        <v>26.755852842809364</v>
      </c>
      <c r="J1116" s="7">
        <f t="shared" si="71"/>
        <v>6.0200668896321075</v>
      </c>
      <c r="K1116" s="7">
        <f t="shared" si="72"/>
        <v>4.0133779264214047</v>
      </c>
    </row>
    <row r="1117" spans="1:11" x14ac:dyDescent="0.35">
      <c r="A1117">
        <v>2020</v>
      </c>
      <c r="B1117">
        <v>3168606</v>
      </c>
      <c r="C1117" t="str">
        <f>VLOOKUP(B1117,SAEB!$A:$B,2,0)</f>
        <v>Teófilo Otoni</v>
      </c>
      <c r="D1117">
        <v>3177</v>
      </c>
      <c r="E1117">
        <v>1717</v>
      </c>
      <c r="F1117">
        <v>747</v>
      </c>
      <c r="G1117">
        <v>211</v>
      </c>
      <c r="H1117" s="7">
        <f t="shared" si="69"/>
        <v>54.289131920710865</v>
      </c>
      <c r="I1117" s="7">
        <f t="shared" si="70"/>
        <v>29.340396445659607</v>
      </c>
      <c r="J1117" s="7">
        <f t="shared" si="71"/>
        <v>12.764866712235134</v>
      </c>
      <c r="K1117" s="7">
        <f t="shared" si="72"/>
        <v>3.605604921394395</v>
      </c>
    </row>
    <row r="1118" spans="1:11" x14ac:dyDescent="0.35">
      <c r="A1118">
        <v>2020</v>
      </c>
      <c r="B1118">
        <v>3169505</v>
      </c>
      <c r="C1118" t="str">
        <f>VLOOKUP(B1118,SAEB!$A:$B,2,0)</f>
        <v>Tumiritinga</v>
      </c>
      <c r="D1118">
        <v>388</v>
      </c>
      <c r="E1118">
        <v>0</v>
      </c>
      <c r="F1118">
        <v>12</v>
      </c>
      <c r="G1118">
        <v>0</v>
      </c>
      <c r="H1118" s="7">
        <f t="shared" si="69"/>
        <v>97</v>
      </c>
      <c r="I1118" s="7">
        <f t="shared" si="70"/>
        <v>0</v>
      </c>
      <c r="J1118" s="7">
        <f t="shared" si="71"/>
        <v>3</v>
      </c>
      <c r="K1118" s="7">
        <f t="shared" si="72"/>
        <v>0</v>
      </c>
    </row>
    <row r="1119" spans="1:11" x14ac:dyDescent="0.35">
      <c r="A1119">
        <v>2020</v>
      </c>
      <c r="B1119">
        <v>3169703</v>
      </c>
      <c r="C1119" t="str">
        <f>VLOOKUP(B1119,SAEB!$A:$B,2,0)</f>
        <v>Turmalina</v>
      </c>
      <c r="D1119">
        <v>352</v>
      </c>
      <c r="E1119">
        <v>0</v>
      </c>
      <c r="F1119">
        <v>178</v>
      </c>
      <c r="G1119">
        <v>151</v>
      </c>
      <c r="H1119" s="7">
        <f t="shared" si="69"/>
        <v>51.688693098384732</v>
      </c>
      <c r="I1119" s="7">
        <f t="shared" si="70"/>
        <v>0</v>
      </c>
      <c r="J1119" s="7">
        <f t="shared" si="71"/>
        <v>26.138032305433185</v>
      </c>
      <c r="K1119" s="7">
        <f t="shared" si="72"/>
        <v>22.173274596182086</v>
      </c>
    </row>
    <row r="1120" spans="1:11" x14ac:dyDescent="0.35">
      <c r="A1120">
        <v>2020</v>
      </c>
      <c r="B1120">
        <v>3170057</v>
      </c>
      <c r="C1120" t="str">
        <f>VLOOKUP(B1120,SAEB!$A:$B,2,0)</f>
        <v>Ubaporanga</v>
      </c>
      <c r="D1120">
        <v>392</v>
      </c>
      <c r="E1120">
        <v>0</v>
      </c>
      <c r="F1120">
        <v>72</v>
      </c>
      <c r="G1120">
        <v>0</v>
      </c>
      <c r="H1120" s="7">
        <f t="shared" si="69"/>
        <v>84.482758620689651</v>
      </c>
      <c r="I1120" s="7">
        <f t="shared" si="70"/>
        <v>0</v>
      </c>
      <c r="J1120" s="7">
        <f t="shared" si="71"/>
        <v>15.517241379310345</v>
      </c>
      <c r="K1120" s="7">
        <f t="shared" si="72"/>
        <v>0</v>
      </c>
    </row>
    <row r="1121" spans="1:11" x14ac:dyDescent="0.35">
      <c r="A1121">
        <v>2020</v>
      </c>
      <c r="B1121">
        <v>3170305</v>
      </c>
      <c r="C1121" t="str">
        <f>VLOOKUP(B1121,SAEB!$A:$B,2,0)</f>
        <v>Umburatiba</v>
      </c>
      <c r="D1121">
        <v>147</v>
      </c>
      <c r="E1121">
        <v>0</v>
      </c>
      <c r="F1121">
        <v>67</v>
      </c>
      <c r="G1121">
        <v>83</v>
      </c>
      <c r="H1121" s="7">
        <f t="shared" si="69"/>
        <v>49.494949494949495</v>
      </c>
      <c r="I1121" s="7">
        <f t="shared" si="70"/>
        <v>0</v>
      </c>
      <c r="J1121" s="7">
        <f t="shared" si="71"/>
        <v>22.558922558922561</v>
      </c>
      <c r="K1121" s="7">
        <f t="shared" si="72"/>
        <v>27.946127946127948</v>
      </c>
    </row>
    <row r="1122" spans="1:11" x14ac:dyDescent="0.35">
      <c r="A1122">
        <v>2020</v>
      </c>
      <c r="B1122">
        <v>3170479</v>
      </c>
      <c r="C1122" t="str">
        <f>VLOOKUP(B1122,SAEB!$A:$B,2,0)</f>
        <v>Uruana de Minas</v>
      </c>
      <c r="D1122">
        <v>235</v>
      </c>
      <c r="E1122">
        <v>217</v>
      </c>
      <c r="F1122">
        <v>0</v>
      </c>
      <c r="G1122">
        <v>0</v>
      </c>
      <c r="H1122" s="7">
        <f t="shared" si="69"/>
        <v>51.991150442477874</v>
      </c>
      <c r="I1122" s="7">
        <f t="shared" si="70"/>
        <v>48.008849557522126</v>
      </c>
      <c r="J1122" s="7">
        <f t="shared" si="71"/>
        <v>0</v>
      </c>
      <c r="K1122" s="7">
        <f t="shared" si="72"/>
        <v>0</v>
      </c>
    </row>
    <row r="1123" spans="1:11" x14ac:dyDescent="0.35">
      <c r="A1123">
        <v>2020</v>
      </c>
      <c r="B1123">
        <v>3170529</v>
      </c>
      <c r="C1123" t="str">
        <f>VLOOKUP(B1123,SAEB!$A:$B,2,0)</f>
        <v>Urucuia</v>
      </c>
      <c r="D1123">
        <v>474</v>
      </c>
      <c r="E1123">
        <v>440</v>
      </c>
      <c r="F1123">
        <v>185</v>
      </c>
      <c r="G1123">
        <v>255</v>
      </c>
      <c r="H1123" s="7">
        <f t="shared" si="69"/>
        <v>35.007385524372232</v>
      </c>
      <c r="I1123" s="7">
        <f t="shared" si="70"/>
        <v>32.496307237813888</v>
      </c>
      <c r="J1123" s="7">
        <f t="shared" si="71"/>
        <v>13.663220088626293</v>
      </c>
      <c r="K1123" s="7">
        <f t="shared" si="72"/>
        <v>18.833087149187591</v>
      </c>
    </row>
    <row r="1124" spans="1:11" x14ac:dyDescent="0.35">
      <c r="A1124">
        <v>2020</v>
      </c>
      <c r="B1124">
        <v>3170651</v>
      </c>
      <c r="C1124" t="str">
        <f>VLOOKUP(B1124,SAEB!$A:$B,2,0)</f>
        <v>Vargem Grande do Rio Pardo</v>
      </c>
      <c r="D1124">
        <v>211</v>
      </c>
      <c r="E1124">
        <v>0</v>
      </c>
      <c r="F1124">
        <v>62</v>
      </c>
      <c r="G1124">
        <v>0</v>
      </c>
      <c r="H1124" s="7">
        <f t="shared" si="69"/>
        <v>77.289377289377299</v>
      </c>
      <c r="I1124" s="7">
        <f t="shared" si="70"/>
        <v>0</v>
      </c>
      <c r="J1124" s="7">
        <f t="shared" si="71"/>
        <v>22.710622710622712</v>
      </c>
      <c r="K1124" s="7">
        <f t="shared" si="72"/>
        <v>0</v>
      </c>
    </row>
    <row r="1125" spans="1:11" x14ac:dyDescent="0.35">
      <c r="A1125">
        <v>2020</v>
      </c>
      <c r="B1125">
        <v>3170800</v>
      </c>
      <c r="C1125" t="str">
        <f>VLOOKUP(B1125,SAEB!$A:$B,2,0)</f>
        <v>Várzea da Palma</v>
      </c>
      <c r="D1125">
        <v>1488</v>
      </c>
      <c r="E1125">
        <v>0</v>
      </c>
      <c r="F1125">
        <v>139</v>
      </c>
      <c r="G1125">
        <v>119</v>
      </c>
      <c r="H1125" s="7">
        <f t="shared" si="69"/>
        <v>85.223367697594497</v>
      </c>
      <c r="I1125" s="7">
        <f t="shared" si="70"/>
        <v>0</v>
      </c>
      <c r="J1125" s="7">
        <f t="shared" si="71"/>
        <v>7.9610538373424964</v>
      </c>
      <c r="K1125" s="7">
        <f t="shared" si="72"/>
        <v>6.8155784650630009</v>
      </c>
    </row>
    <row r="1126" spans="1:11" x14ac:dyDescent="0.35">
      <c r="A1126">
        <v>2020</v>
      </c>
      <c r="B1126">
        <v>3171071</v>
      </c>
      <c r="C1126" t="str">
        <f>VLOOKUP(B1126,SAEB!$A:$B,2,0)</f>
        <v>Veredinha</v>
      </c>
      <c r="D1126">
        <v>293</v>
      </c>
      <c r="E1126">
        <v>0</v>
      </c>
      <c r="F1126">
        <v>12</v>
      </c>
      <c r="G1126">
        <v>0</v>
      </c>
      <c r="H1126" s="7">
        <f t="shared" si="69"/>
        <v>96.06557377049181</v>
      </c>
      <c r="I1126" s="7">
        <f t="shared" si="70"/>
        <v>0</v>
      </c>
      <c r="J1126" s="7">
        <f t="shared" si="71"/>
        <v>3.9344262295081971</v>
      </c>
      <c r="K1126" s="7">
        <f t="shared" si="72"/>
        <v>0</v>
      </c>
    </row>
    <row r="1127" spans="1:11" x14ac:dyDescent="0.35">
      <c r="A1127">
        <v>2020</v>
      </c>
      <c r="B1127">
        <v>3171600</v>
      </c>
      <c r="C1127" t="str">
        <f>VLOOKUP(B1127,SAEB!$A:$B,2,0)</f>
        <v>Virgem da Lapa</v>
      </c>
      <c r="D1127">
        <v>308</v>
      </c>
      <c r="E1127">
        <v>0</v>
      </c>
      <c r="F1127">
        <v>78</v>
      </c>
      <c r="G1127">
        <v>0</v>
      </c>
      <c r="H1127" s="7">
        <f t="shared" si="69"/>
        <v>79.792746113989637</v>
      </c>
      <c r="I1127" s="7">
        <f t="shared" si="70"/>
        <v>0</v>
      </c>
      <c r="J1127" s="7">
        <f t="shared" si="71"/>
        <v>20.207253886010363</v>
      </c>
      <c r="K1127" s="7">
        <f t="shared" si="72"/>
        <v>0</v>
      </c>
    </row>
    <row r="1128" spans="1:11" x14ac:dyDescent="0.35">
      <c r="A1128">
        <v>2020</v>
      </c>
      <c r="B1128">
        <v>3171808</v>
      </c>
      <c r="C1128" t="str">
        <f>VLOOKUP(B1128,SAEB!$A:$B,2,0)</f>
        <v>Virginópolis</v>
      </c>
      <c r="D1128">
        <v>587</v>
      </c>
      <c r="E1128">
        <v>0</v>
      </c>
      <c r="F1128">
        <v>138</v>
      </c>
      <c r="G1128">
        <v>0</v>
      </c>
      <c r="H1128" s="7">
        <f t="shared" si="69"/>
        <v>80.965517241379317</v>
      </c>
      <c r="I1128" s="7">
        <f t="shared" si="70"/>
        <v>0</v>
      </c>
      <c r="J1128" s="7">
        <f t="shared" si="71"/>
        <v>19.034482758620687</v>
      </c>
      <c r="K1128" s="7">
        <f t="shared" si="72"/>
        <v>0</v>
      </c>
    </row>
    <row r="1129" spans="1:11" x14ac:dyDescent="0.35">
      <c r="A1129">
        <v>2020</v>
      </c>
      <c r="B1129">
        <v>3171907</v>
      </c>
      <c r="C1129" t="str">
        <f>VLOOKUP(B1129,SAEB!$A:$B,2,0)</f>
        <v>Virgolândia</v>
      </c>
      <c r="D1129">
        <v>283</v>
      </c>
      <c r="E1129">
        <v>0</v>
      </c>
      <c r="F1129">
        <v>0</v>
      </c>
      <c r="G1129">
        <v>0</v>
      </c>
      <c r="H1129" s="7">
        <f t="shared" si="69"/>
        <v>100</v>
      </c>
      <c r="I1129" s="7">
        <f t="shared" si="70"/>
        <v>0</v>
      </c>
      <c r="J1129" s="7">
        <f t="shared" si="71"/>
        <v>0</v>
      </c>
      <c r="K1129" s="7">
        <f t="shared" si="72"/>
        <v>0</v>
      </c>
    </row>
    <row r="1130" spans="1:11" x14ac:dyDescent="0.35">
      <c r="A1130">
        <v>2021</v>
      </c>
      <c r="B1130">
        <v>3101003</v>
      </c>
      <c r="C1130" t="str">
        <f>VLOOKUP(B1130,SAEB!$A:$B,2,0)</f>
        <v>Águas Vermelhas</v>
      </c>
      <c r="D1130">
        <v>310</v>
      </c>
      <c r="E1130">
        <v>0</v>
      </c>
      <c r="F1130">
        <v>267</v>
      </c>
      <c r="G1130">
        <v>0</v>
      </c>
      <c r="H1130" s="7">
        <f t="shared" si="69"/>
        <v>53.726169844020802</v>
      </c>
      <c r="I1130" s="7">
        <f t="shared" si="70"/>
        <v>0</v>
      </c>
      <c r="J1130" s="7">
        <f t="shared" si="71"/>
        <v>46.273830155979198</v>
      </c>
      <c r="K1130" s="7">
        <f t="shared" si="72"/>
        <v>0</v>
      </c>
    </row>
    <row r="1131" spans="1:11" x14ac:dyDescent="0.35">
      <c r="A1131">
        <v>2021</v>
      </c>
      <c r="B1131">
        <v>3101102</v>
      </c>
      <c r="C1131" t="str">
        <f>VLOOKUP(B1131,SAEB!$A:$B,2,0)</f>
        <v>Aimorés</v>
      </c>
      <c r="D1131">
        <v>605</v>
      </c>
      <c r="E1131">
        <v>436</v>
      </c>
      <c r="F1131">
        <v>41</v>
      </c>
      <c r="G1131">
        <v>0</v>
      </c>
      <c r="H1131" s="7">
        <f t="shared" si="69"/>
        <v>55.914972273567464</v>
      </c>
      <c r="I1131" s="7">
        <f t="shared" si="70"/>
        <v>40.29574861367837</v>
      </c>
      <c r="J1131" s="7">
        <f t="shared" si="71"/>
        <v>3.789279112754159</v>
      </c>
      <c r="K1131" s="7">
        <f t="shared" si="72"/>
        <v>0</v>
      </c>
    </row>
    <row r="1132" spans="1:11" x14ac:dyDescent="0.35">
      <c r="A1132">
        <v>2021</v>
      </c>
      <c r="B1132">
        <v>3101706</v>
      </c>
      <c r="C1132" t="str">
        <f>VLOOKUP(B1132,SAEB!$A:$B,2,0)</f>
        <v>Almenara</v>
      </c>
      <c r="D1132">
        <v>2184</v>
      </c>
      <c r="E1132">
        <v>589</v>
      </c>
      <c r="F1132">
        <v>360</v>
      </c>
      <c r="G1132">
        <v>197</v>
      </c>
      <c r="H1132" s="7">
        <f t="shared" si="69"/>
        <v>65.585585585585576</v>
      </c>
      <c r="I1132" s="7">
        <f t="shared" si="70"/>
        <v>17.687687687687685</v>
      </c>
      <c r="J1132" s="7">
        <f t="shared" si="71"/>
        <v>10.810810810810811</v>
      </c>
      <c r="K1132" s="7">
        <f t="shared" si="72"/>
        <v>5.9159159159159165</v>
      </c>
    </row>
    <row r="1133" spans="1:11" x14ac:dyDescent="0.35">
      <c r="A1133">
        <v>2021</v>
      </c>
      <c r="B1133">
        <v>3101805</v>
      </c>
      <c r="C1133" t="str">
        <f>VLOOKUP(B1133,SAEB!$A:$B,2,0)</f>
        <v>Alpercata</v>
      </c>
      <c r="D1133">
        <v>372</v>
      </c>
      <c r="E1133">
        <v>183</v>
      </c>
      <c r="F1133">
        <v>55</v>
      </c>
      <c r="G1133">
        <v>0</v>
      </c>
      <c r="H1133" s="7">
        <f t="shared" si="69"/>
        <v>60.983606557377044</v>
      </c>
      <c r="I1133" s="7">
        <f t="shared" si="70"/>
        <v>30</v>
      </c>
      <c r="J1133" s="7">
        <f t="shared" si="71"/>
        <v>9.0163934426229506</v>
      </c>
      <c r="K1133" s="7">
        <f t="shared" si="72"/>
        <v>0</v>
      </c>
    </row>
    <row r="1134" spans="1:11" x14ac:dyDescent="0.35">
      <c r="A1134">
        <v>2021</v>
      </c>
      <c r="B1134">
        <v>3102852</v>
      </c>
      <c r="C1134" t="str">
        <f>VLOOKUP(B1134,SAEB!$A:$B,2,0)</f>
        <v>Angelândia</v>
      </c>
      <c r="D1134">
        <v>416</v>
      </c>
      <c r="E1134">
        <v>0</v>
      </c>
      <c r="F1134">
        <v>36</v>
      </c>
      <c r="G1134">
        <v>0</v>
      </c>
      <c r="H1134" s="7">
        <f t="shared" si="69"/>
        <v>92.035398230088489</v>
      </c>
      <c r="I1134" s="7">
        <f t="shared" si="70"/>
        <v>0</v>
      </c>
      <c r="J1134" s="7">
        <f t="shared" si="71"/>
        <v>7.9646017699115044</v>
      </c>
      <c r="K1134" s="7">
        <f t="shared" si="72"/>
        <v>0</v>
      </c>
    </row>
    <row r="1135" spans="1:11" x14ac:dyDescent="0.35">
      <c r="A1135">
        <v>2021</v>
      </c>
      <c r="B1135">
        <v>3103405</v>
      </c>
      <c r="C1135" t="str">
        <f>VLOOKUP(B1135,SAEB!$A:$B,2,0)</f>
        <v>Araçuaí</v>
      </c>
      <c r="D1135">
        <v>355</v>
      </c>
      <c r="E1135">
        <v>0</v>
      </c>
      <c r="F1135">
        <v>315</v>
      </c>
      <c r="G1135">
        <v>274</v>
      </c>
      <c r="H1135" s="7">
        <f t="shared" si="69"/>
        <v>37.605932203389827</v>
      </c>
      <c r="I1135" s="7">
        <f t="shared" si="70"/>
        <v>0</v>
      </c>
      <c r="J1135" s="7">
        <f t="shared" si="71"/>
        <v>33.368644067796609</v>
      </c>
      <c r="K1135" s="7">
        <f t="shared" si="72"/>
        <v>29.025423728813561</v>
      </c>
    </row>
    <row r="1136" spans="1:11" x14ac:dyDescent="0.35">
      <c r="A1136">
        <v>2021</v>
      </c>
      <c r="B1136">
        <v>3104452</v>
      </c>
      <c r="C1136" t="str">
        <f>VLOOKUP(B1136,SAEB!$A:$B,2,0)</f>
        <v>Aricanduva</v>
      </c>
      <c r="D1136">
        <v>194</v>
      </c>
      <c r="E1136">
        <v>0</v>
      </c>
      <c r="F1136">
        <v>28</v>
      </c>
      <c r="G1136">
        <v>0</v>
      </c>
      <c r="H1136" s="7">
        <f t="shared" si="69"/>
        <v>87.387387387387378</v>
      </c>
      <c r="I1136" s="7">
        <f t="shared" si="70"/>
        <v>0</v>
      </c>
      <c r="J1136" s="7">
        <f t="shared" si="71"/>
        <v>12.612612612612612</v>
      </c>
      <c r="K1136" s="7">
        <f t="shared" si="72"/>
        <v>0</v>
      </c>
    </row>
    <row r="1137" spans="1:11" x14ac:dyDescent="0.35">
      <c r="A1137">
        <v>2021</v>
      </c>
      <c r="B1137">
        <v>3104502</v>
      </c>
      <c r="C1137" t="str">
        <f>VLOOKUP(B1137,SAEB!$A:$B,2,0)</f>
        <v>Arinos</v>
      </c>
      <c r="D1137">
        <v>410</v>
      </c>
      <c r="E1137">
        <v>129</v>
      </c>
      <c r="F1137">
        <v>270</v>
      </c>
      <c r="G1137">
        <v>192</v>
      </c>
      <c r="H1137" s="7">
        <f t="shared" si="69"/>
        <v>40.959040959040962</v>
      </c>
      <c r="I1137" s="7">
        <f t="shared" si="70"/>
        <v>12.887112887112886</v>
      </c>
      <c r="J1137" s="7">
        <f t="shared" si="71"/>
        <v>26.973026973026975</v>
      </c>
      <c r="K1137" s="7">
        <f t="shared" si="72"/>
        <v>19.180819180819181</v>
      </c>
    </row>
    <row r="1138" spans="1:11" x14ac:dyDescent="0.35">
      <c r="A1138">
        <v>2021</v>
      </c>
      <c r="B1138">
        <v>3104700</v>
      </c>
      <c r="C1138" t="str">
        <f>VLOOKUP(B1138,SAEB!$A:$B,2,0)</f>
        <v>Ataléia</v>
      </c>
      <c r="D1138">
        <v>174</v>
      </c>
      <c r="E1138">
        <v>59</v>
      </c>
      <c r="F1138">
        <v>277</v>
      </c>
      <c r="G1138">
        <v>0</v>
      </c>
      <c r="H1138" s="7">
        <f t="shared" si="69"/>
        <v>34.117647058823529</v>
      </c>
      <c r="I1138" s="7">
        <f t="shared" si="70"/>
        <v>11.568627450980392</v>
      </c>
      <c r="J1138" s="7">
        <f t="shared" si="71"/>
        <v>54.313725490196077</v>
      </c>
      <c r="K1138" s="7">
        <f t="shared" si="72"/>
        <v>0</v>
      </c>
    </row>
    <row r="1139" spans="1:11" x14ac:dyDescent="0.35">
      <c r="A1139">
        <v>2021</v>
      </c>
      <c r="B1139">
        <v>3105202</v>
      </c>
      <c r="C1139" t="str">
        <f>VLOOKUP(B1139,SAEB!$A:$B,2,0)</f>
        <v>Bandeira</v>
      </c>
      <c r="D1139">
        <v>139</v>
      </c>
      <c r="E1139">
        <v>0</v>
      </c>
      <c r="F1139">
        <v>48</v>
      </c>
      <c r="G1139">
        <v>55</v>
      </c>
      <c r="H1139" s="7">
        <f t="shared" si="69"/>
        <v>57.438016528925615</v>
      </c>
      <c r="I1139" s="7">
        <f t="shared" si="70"/>
        <v>0</v>
      </c>
      <c r="J1139" s="7">
        <f t="shared" si="71"/>
        <v>19.834710743801654</v>
      </c>
      <c r="K1139" s="7">
        <f t="shared" si="72"/>
        <v>22.727272727272727</v>
      </c>
    </row>
    <row r="1140" spans="1:11" x14ac:dyDescent="0.35">
      <c r="A1140">
        <v>2021</v>
      </c>
      <c r="B1140">
        <v>3106655</v>
      </c>
      <c r="C1140" t="str">
        <f>VLOOKUP(B1140,SAEB!$A:$B,2,0)</f>
        <v>Berizal</v>
      </c>
      <c r="D1140">
        <v>221</v>
      </c>
      <c r="E1140">
        <v>0</v>
      </c>
      <c r="F1140">
        <v>29</v>
      </c>
      <c r="G1140">
        <v>0</v>
      </c>
      <c r="H1140" s="7">
        <f t="shared" si="69"/>
        <v>88.4</v>
      </c>
      <c r="I1140" s="7">
        <f t="shared" si="70"/>
        <v>0</v>
      </c>
      <c r="J1140" s="7">
        <f t="shared" si="71"/>
        <v>11.600000000000001</v>
      </c>
      <c r="K1140" s="7">
        <f t="shared" si="72"/>
        <v>0</v>
      </c>
    </row>
    <row r="1141" spans="1:11" x14ac:dyDescent="0.35">
      <c r="A1141">
        <v>2021</v>
      </c>
      <c r="B1141">
        <v>3107307</v>
      </c>
      <c r="C1141" t="str">
        <f>VLOOKUP(B1141,SAEB!$A:$B,2,0)</f>
        <v>Bocaiúva</v>
      </c>
      <c r="D1141">
        <v>376</v>
      </c>
      <c r="E1141">
        <v>295</v>
      </c>
      <c r="F1141">
        <v>286</v>
      </c>
      <c r="G1141">
        <v>188</v>
      </c>
      <c r="H1141" s="7">
        <f t="shared" si="69"/>
        <v>32.838427947598255</v>
      </c>
      <c r="I1141" s="7">
        <f t="shared" si="70"/>
        <v>25.76419213973799</v>
      </c>
      <c r="J1141" s="7">
        <f t="shared" si="71"/>
        <v>24.978165938864631</v>
      </c>
      <c r="K1141" s="7">
        <f t="shared" si="72"/>
        <v>16.419213973799128</v>
      </c>
    </row>
    <row r="1142" spans="1:11" x14ac:dyDescent="0.35">
      <c r="A1142">
        <v>2021</v>
      </c>
      <c r="B1142">
        <v>3108206</v>
      </c>
      <c r="C1142" t="str">
        <f>VLOOKUP(B1142,SAEB!$A:$B,2,0)</f>
        <v>Bonfinópolis de Minas</v>
      </c>
      <c r="D1142">
        <v>238</v>
      </c>
      <c r="E1142">
        <v>220</v>
      </c>
      <c r="F1142">
        <v>28</v>
      </c>
      <c r="G1142">
        <v>0</v>
      </c>
      <c r="H1142" s="7">
        <f t="shared" si="69"/>
        <v>48.971193415637856</v>
      </c>
      <c r="I1142" s="7">
        <f t="shared" si="70"/>
        <v>45.267489711934154</v>
      </c>
      <c r="J1142" s="7">
        <f t="shared" si="71"/>
        <v>5.761316872427984</v>
      </c>
      <c r="K1142" s="7">
        <f t="shared" si="72"/>
        <v>0</v>
      </c>
    </row>
    <row r="1143" spans="1:11" x14ac:dyDescent="0.35">
      <c r="A1143">
        <v>2021</v>
      </c>
      <c r="B1143">
        <v>3108602</v>
      </c>
      <c r="C1143" t="str">
        <f>VLOOKUP(B1143,SAEB!$A:$B,2,0)</f>
        <v>Brasília de Minas</v>
      </c>
      <c r="D1143">
        <v>0</v>
      </c>
      <c r="E1143">
        <v>140</v>
      </c>
      <c r="F1143">
        <v>427</v>
      </c>
      <c r="G1143">
        <v>117</v>
      </c>
      <c r="H1143" s="7">
        <f t="shared" si="69"/>
        <v>0</v>
      </c>
      <c r="I1143" s="7">
        <f t="shared" si="70"/>
        <v>20.467836257309941</v>
      </c>
      <c r="J1143" s="7">
        <f t="shared" si="71"/>
        <v>62.42690058479532</v>
      </c>
      <c r="K1143" s="7">
        <f t="shared" si="72"/>
        <v>17.105263157894736</v>
      </c>
    </row>
    <row r="1144" spans="1:11" x14ac:dyDescent="0.35">
      <c r="A1144">
        <v>2021</v>
      </c>
      <c r="B1144">
        <v>3109204</v>
      </c>
      <c r="C1144" t="str">
        <f>VLOOKUP(B1144,SAEB!$A:$B,2,0)</f>
        <v>Buenópolis</v>
      </c>
      <c r="D1144">
        <v>591</v>
      </c>
      <c r="E1144">
        <v>0</v>
      </c>
      <c r="F1144">
        <v>40</v>
      </c>
      <c r="G1144">
        <v>0</v>
      </c>
      <c r="H1144" s="7">
        <f t="shared" si="69"/>
        <v>93.660855784469106</v>
      </c>
      <c r="I1144" s="7">
        <f t="shared" si="70"/>
        <v>0</v>
      </c>
      <c r="J1144" s="7">
        <f t="shared" si="71"/>
        <v>6.3391442155309035</v>
      </c>
      <c r="K1144" s="7">
        <f t="shared" si="72"/>
        <v>0</v>
      </c>
    </row>
    <row r="1145" spans="1:11" x14ac:dyDescent="0.35">
      <c r="A1145">
        <v>2021</v>
      </c>
      <c r="B1145">
        <v>3109402</v>
      </c>
      <c r="C1145" t="str">
        <f>VLOOKUP(B1145,SAEB!$A:$B,2,0)</f>
        <v>Buritizeiro</v>
      </c>
      <c r="D1145">
        <v>1045</v>
      </c>
      <c r="E1145">
        <v>0</v>
      </c>
      <c r="F1145">
        <v>106</v>
      </c>
      <c r="G1145">
        <v>0</v>
      </c>
      <c r="H1145" s="7">
        <f t="shared" si="69"/>
        <v>90.790616854908777</v>
      </c>
      <c r="I1145" s="7">
        <f t="shared" si="70"/>
        <v>0</v>
      </c>
      <c r="J1145" s="7">
        <f t="shared" si="71"/>
        <v>9.2093831450912251</v>
      </c>
      <c r="K1145" s="7">
        <f t="shared" si="72"/>
        <v>0</v>
      </c>
    </row>
    <row r="1146" spans="1:11" x14ac:dyDescent="0.35">
      <c r="A1146">
        <v>2021</v>
      </c>
      <c r="B1146">
        <v>3102704</v>
      </c>
      <c r="C1146" t="str">
        <f>VLOOKUP(B1146,SAEB!$A:$B,2,0)</f>
        <v>Cachoeira de Pajeú</v>
      </c>
      <c r="D1146">
        <v>180</v>
      </c>
      <c r="E1146">
        <v>0</v>
      </c>
      <c r="F1146">
        <v>300</v>
      </c>
      <c r="G1146">
        <v>78</v>
      </c>
      <c r="H1146" s="7">
        <f t="shared" si="69"/>
        <v>32.258064516129032</v>
      </c>
      <c r="I1146" s="7">
        <f t="shared" si="70"/>
        <v>0</v>
      </c>
      <c r="J1146" s="7">
        <f t="shared" si="71"/>
        <v>53.763440860215049</v>
      </c>
      <c r="K1146" s="7">
        <f t="shared" si="72"/>
        <v>13.978494623655912</v>
      </c>
    </row>
    <row r="1147" spans="1:11" x14ac:dyDescent="0.35">
      <c r="A1147">
        <v>2021</v>
      </c>
      <c r="B1147">
        <v>3110806</v>
      </c>
      <c r="C1147" t="str">
        <f>VLOOKUP(B1147,SAEB!$A:$B,2,0)</f>
        <v>Campanário</v>
      </c>
      <c r="D1147">
        <v>240</v>
      </c>
      <c r="E1147">
        <v>0</v>
      </c>
      <c r="F1147">
        <v>0</v>
      </c>
      <c r="G1147">
        <v>0</v>
      </c>
      <c r="H1147" s="7">
        <f t="shared" si="69"/>
        <v>100</v>
      </c>
      <c r="I1147" s="7">
        <f t="shared" si="70"/>
        <v>0</v>
      </c>
      <c r="J1147" s="7">
        <f t="shared" si="71"/>
        <v>0</v>
      </c>
      <c r="K1147" s="7">
        <f t="shared" si="72"/>
        <v>0</v>
      </c>
    </row>
    <row r="1148" spans="1:11" x14ac:dyDescent="0.35">
      <c r="A1148">
        <v>2021</v>
      </c>
      <c r="B1148">
        <v>3111150</v>
      </c>
      <c r="C1148" t="str">
        <f>VLOOKUP(B1148,SAEB!$A:$B,2,0)</f>
        <v>Campo Azul</v>
      </c>
      <c r="D1148">
        <v>143</v>
      </c>
      <c r="E1148">
        <v>0</v>
      </c>
      <c r="F1148">
        <v>97</v>
      </c>
      <c r="G1148">
        <v>63</v>
      </c>
      <c r="H1148" s="7">
        <f t="shared" si="69"/>
        <v>47.194719471947195</v>
      </c>
      <c r="I1148" s="7">
        <f t="shared" si="70"/>
        <v>0</v>
      </c>
      <c r="J1148" s="7">
        <f t="shared" si="71"/>
        <v>32.013201320132012</v>
      </c>
      <c r="K1148" s="7">
        <f t="shared" si="72"/>
        <v>20.792079207920793</v>
      </c>
    </row>
    <row r="1149" spans="1:11" x14ac:dyDescent="0.35">
      <c r="A1149">
        <v>2021</v>
      </c>
      <c r="B1149">
        <v>3112059</v>
      </c>
      <c r="C1149" t="str">
        <f>VLOOKUP(B1149,SAEB!$A:$B,2,0)</f>
        <v>Cantagalo</v>
      </c>
      <c r="D1149">
        <v>232</v>
      </c>
      <c r="E1149">
        <v>0</v>
      </c>
      <c r="F1149">
        <v>67</v>
      </c>
      <c r="G1149">
        <v>0</v>
      </c>
      <c r="H1149" s="7">
        <f t="shared" si="69"/>
        <v>77.591973244147155</v>
      </c>
      <c r="I1149" s="7">
        <f t="shared" si="70"/>
        <v>0</v>
      </c>
      <c r="J1149" s="7">
        <f t="shared" si="71"/>
        <v>22.408026755852841</v>
      </c>
      <c r="K1149" s="7">
        <f t="shared" si="72"/>
        <v>0</v>
      </c>
    </row>
    <row r="1150" spans="1:11" x14ac:dyDescent="0.35">
      <c r="A1150">
        <v>2021</v>
      </c>
      <c r="B1150">
        <v>3112307</v>
      </c>
      <c r="C1150" t="str">
        <f>VLOOKUP(B1150,SAEB!$A:$B,2,0)</f>
        <v>Capelinha</v>
      </c>
      <c r="D1150">
        <v>601</v>
      </c>
      <c r="E1150">
        <v>0</v>
      </c>
      <c r="F1150">
        <v>366</v>
      </c>
      <c r="G1150">
        <v>0</v>
      </c>
      <c r="H1150" s="7">
        <f t="shared" si="69"/>
        <v>62.150982419855225</v>
      </c>
      <c r="I1150" s="7">
        <f t="shared" si="70"/>
        <v>0</v>
      </c>
      <c r="J1150" s="7">
        <f t="shared" si="71"/>
        <v>37.849017580144775</v>
      </c>
      <c r="K1150" s="7">
        <f t="shared" si="72"/>
        <v>0</v>
      </c>
    </row>
    <row r="1151" spans="1:11" x14ac:dyDescent="0.35">
      <c r="A1151">
        <v>2021</v>
      </c>
      <c r="B1151">
        <v>3112703</v>
      </c>
      <c r="C1151" t="str">
        <f>VLOOKUP(B1151,SAEB!$A:$B,2,0)</f>
        <v>Capitão Enéas</v>
      </c>
      <c r="D1151">
        <v>369</v>
      </c>
      <c r="E1151">
        <v>227</v>
      </c>
      <c r="F1151">
        <v>70</v>
      </c>
      <c r="G1151">
        <v>28</v>
      </c>
      <c r="H1151" s="7">
        <f t="shared" si="69"/>
        <v>53.170028818443804</v>
      </c>
      <c r="I1151" s="7">
        <f t="shared" si="70"/>
        <v>32.708933717579249</v>
      </c>
      <c r="J1151" s="7">
        <f t="shared" si="71"/>
        <v>10.086455331412104</v>
      </c>
      <c r="K1151" s="7">
        <f t="shared" si="72"/>
        <v>4.0345821325648412</v>
      </c>
    </row>
    <row r="1152" spans="1:11" x14ac:dyDescent="0.35">
      <c r="A1152">
        <v>2021</v>
      </c>
      <c r="B1152">
        <v>3113008</v>
      </c>
      <c r="C1152" t="str">
        <f>VLOOKUP(B1152,SAEB!$A:$B,2,0)</f>
        <v>Caraí</v>
      </c>
      <c r="D1152">
        <v>64</v>
      </c>
      <c r="E1152">
        <v>160</v>
      </c>
      <c r="F1152">
        <v>596</v>
      </c>
      <c r="G1152">
        <v>357</v>
      </c>
      <c r="H1152" s="7">
        <f t="shared" si="69"/>
        <v>5.4375531011045029</v>
      </c>
      <c r="I1152" s="7">
        <f t="shared" si="70"/>
        <v>13.593882752761258</v>
      </c>
      <c r="J1152" s="7">
        <f t="shared" si="71"/>
        <v>50.637213254035686</v>
      </c>
      <c r="K1152" s="7">
        <f t="shared" si="72"/>
        <v>30.331350892098559</v>
      </c>
    </row>
    <row r="1153" spans="1:11" x14ac:dyDescent="0.35">
      <c r="A1153">
        <v>2021</v>
      </c>
      <c r="B1153">
        <v>3113503</v>
      </c>
      <c r="C1153" t="str">
        <f>VLOOKUP(B1153,SAEB!$A:$B,2,0)</f>
        <v>Carbonita</v>
      </c>
      <c r="D1153">
        <v>502</v>
      </c>
      <c r="E1153">
        <v>0</v>
      </c>
      <c r="F1153">
        <v>53</v>
      </c>
      <c r="G1153">
        <v>29</v>
      </c>
      <c r="H1153" s="7">
        <f t="shared" si="69"/>
        <v>85.958904109589042</v>
      </c>
      <c r="I1153" s="7">
        <f t="shared" si="70"/>
        <v>0</v>
      </c>
      <c r="J1153" s="7">
        <f t="shared" si="71"/>
        <v>9.0753424657534243</v>
      </c>
      <c r="K1153" s="7">
        <f t="shared" si="72"/>
        <v>4.9657534246575343</v>
      </c>
    </row>
    <row r="1154" spans="1:11" x14ac:dyDescent="0.35">
      <c r="A1154">
        <v>2021</v>
      </c>
      <c r="B1154">
        <v>3113701</v>
      </c>
      <c r="C1154" t="str">
        <f>VLOOKUP(B1154,SAEB!$A:$B,2,0)</f>
        <v>Carlos Chagas</v>
      </c>
      <c r="D1154">
        <v>830</v>
      </c>
      <c r="E1154">
        <v>259</v>
      </c>
      <c r="F1154">
        <v>223</v>
      </c>
      <c r="G1154">
        <v>107</v>
      </c>
      <c r="H1154" s="7">
        <f t="shared" si="69"/>
        <v>58.491895701198025</v>
      </c>
      <c r="I1154" s="7">
        <f t="shared" si="70"/>
        <v>18.2522903453136</v>
      </c>
      <c r="J1154" s="7">
        <f t="shared" si="71"/>
        <v>15.715292459478505</v>
      </c>
      <c r="K1154" s="7">
        <f t="shared" si="72"/>
        <v>7.5405214940098659</v>
      </c>
    </row>
    <row r="1155" spans="1:11" x14ac:dyDescent="0.35">
      <c r="A1155">
        <v>2021</v>
      </c>
      <c r="B1155">
        <v>3113800</v>
      </c>
      <c r="C1155" t="str">
        <f>VLOOKUP(B1155,SAEB!$A:$B,2,0)</f>
        <v>Carmésia</v>
      </c>
      <c r="D1155">
        <v>147</v>
      </c>
      <c r="E1155">
        <v>145</v>
      </c>
      <c r="F1155">
        <v>0</v>
      </c>
      <c r="G1155">
        <v>0</v>
      </c>
      <c r="H1155" s="7">
        <f t="shared" ref="H1155:H1218" si="73">D1155/SUM($D1155:$G1155)*100</f>
        <v>50.342465753424662</v>
      </c>
      <c r="I1155" s="7">
        <f t="shared" ref="I1155:I1218" si="74">E1155/SUM($D1155:$G1155)*100</f>
        <v>49.657534246575338</v>
      </c>
      <c r="J1155" s="7">
        <f t="shared" ref="J1155:J1218" si="75">F1155/SUM($D1155:$G1155)*100</f>
        <v>0</v>
      </c>
      <c r="K1155" s="7">
        <f t="shared" ref="K1155:K1218" si="76">G1155/SUM($D1155:$G1155)*100</f>
        <v>0</v>
      </c>
    </row>
    <row r="1156" spans="1:11" x14ac:dyDescent="0.35">
      <c r="A1156">
        <v>2021</v>
      </c>
      <c r="B1156">
        <v>3115458</v>
      </c>
      <c r="C1156" t="str">
        <f>VLOOKUP(B1156,SAEB!$A:$B,2,0)</f>
        <v>Catuji</v>
      </c>
      <c r="D1156">
        <v>238</v>
      </c>
      <c r="E1156">
        <v>0</v>
      </c>
      <c r="F1156">
        <v>264</v>
      </c>
      <c r="G1156">
        <v>0</v>
      </c>
      <c r="H1156" s="7">
        <f t="shared" si="73"/>
        <v>47.410358565737056</v>
      </c>
      <c r="I1156" s="7">
        <f t="shared" si="74"/>
        <v>0</v>
      </c>
      <c r="J1156" s="7">
        <f t="shared" si="75"/>
        <v>52.589641434262944</v>
      </c>
      <c r="K1156" s="7">
        <f t="shared" si="76"/>
        <v>0</v>
      </c>
    </row>
    <row r="1157" spans="1:11" x14ac:dyDescent="0.35">
      <c r="A1157">
        <v>2021</v>
      </c>
      <c r="B1157">
        <v>3115474</v>
      </c>
      <c r="C1157" t="str">
        <f>VLOOKUP(B1157,SAEB!$A:$B,2,0)</f>
        <v>Catuti</v>
      </c>
      <c r="D1157">
        <v>161</v>
      </c>
      <c r="E1157">
        <v>0</v>
      </c>
      <c r="F1157">
        <v>103</v>
      </c>
      <c r="G1157">
        <v>56</v>
      </c>
      <c r="H1157" s="7">
        <f t="shared" si="73"/>
        <v>50.312500000000007</v>
      </c>
      <c r="I1157" s="7">
        <f t="shared" si="74"/>
        <v>0</v>
      </c>
      <c r="J1157" s="7">
        <f t="shared" si="75"/>
        <v>32.1875</v>
      </c>
      <c r="K1157" s="7">
        <f t="shared" si="76"/>
        <v>17.5</v>
      </c>
    </row>
    <row r="1158" spans="1:11" x14ac:dyDescent="0.35">
      <c r="A1158">
        <v>2021</v>
      </c>
      <c r="B1158">
        <v>3116100</v>
      </c>
      <c r="C1158" t="str">
        <f>VLOOKUP(B1158,SAEB!$A:$B,2,0)</f>
        <v>Chapada do Norte</v>
      </c>
      <c r="D1158">
        <v>163</v>
      </c>
      <c r="E1158">
        <v>0</v>
      </c>
      <c r="F1158">
        <v>229</v>
      </c>
      <c r="G1158">
        <v>0</v>
      </c>
      <c r="H1158" s="7">
        <f t="shared" si="73"/>
        <v>41.58163265306122</v>
      </c>
      <c r="I1158" s="7">
        <f t="shared" si="74"/>
        <v>0</v>
      </c>
      <c r="J1158" s="7">
        <f t="shared" si="75"/>
        <v>58.418367346938773</v>
      </c>
      <c r="K1158" s="7">
        <f t="shared" si="76"/>
        <v>0</v>
      </c>
    </row>
    <row r="1159" spans="1:11" x14ac:dyDescent="0.35">
      <c r="A1159">
        <v>2021</v>
      </c>
      <c r="B1159">
        <v>3116159</v>
      </c>
      <c r="C1159" t="str">
        <f>VLOOKUP(B1159,SAEB!$A:$B,2,0)</f>
        <v>Chapada Gaúcha</v>
      </c>
      <c r="D1159">
        <v>526</v>
      </c>
      <c r="E1159">
        <v>134</v>
      </c>
      <c r="F1159">
        <v>257</v>
      </c>
      <c r="G1159">
        <v>245</v>
      </c>
      <c r="H1159" s="7">
        <f t="shared" si="73"/>
        <v>45.266781411359723</v>
      </c>
      <c r="I1159" s="7">
        <f t="shared" si="74"/>
        <v>11.53184165232358</v>
      </c>
      <c r="J1159" s="7">
        <f t="shared" si="75"/>
        <v>22.117039586919105</v>
      </c>
      <c r="K1159" s="7">
        <f t="shared" si="76"/>
        <v>21.084337349397593</v>
      </c>
    </row>
    <row r="1160" spans="1:11" x14ac:dyDescent="0.35">
      <c r="A1160">
        <v>2021</v>
      </c>
      <c r="B1160">
        <v>3116506</v>
      </c>
      <c r="C1160" t="str">
        <f>VLOOKUP(B1160,SAEB!$A:$B,2,0)</f>
        <v>Claro dos Poções</v>
      </c>
      <c r="D1160">
        <v>314</v>
      </c>
      <c r="E1160">
        <v>0</v>
      </c>
      <c r="F1160">
        <v>20</v>
      </c>
      <c r="G1160">
        <v>16</v>
      </c>
      <c r="H1160" s="7">
        <f t="shared" si="73"/>
        <v>89.714285714285708</v>
      </c>
      <c r="I1160" s="7">
        <f t="shared" si="74"/>
        <v>0</v>
      </c>
      <c r="J1160" s="7">
        <f t="shared" si="75"/>
        <v>5.7142857142857144</v>
      </c>
      <c r="K1160" s="7">
        <f t="shared" si="76"/>
        <v>4.5714285714285712</v>
      </c>
    </row>
    <row r="1161" spans="1:11" x14ac:dyDescent="0.35">
      <c r="A1161">
        <v>2021</v>
      </c>
      <c r="B1161">
        <v>3116803</v>
      </c>
      <c r="C1161" t="str">
        <f>VLOOKUP(B1161,SAEB!$A:$B,2,0)</f>
        <v>Coluna</v>
      </c>
      <c r="D1161">
        <v>120</v>
      </c>
      <c r="E1161">
        <v>0</v>
      </c>
      <c r="F1161">
        <v>218</v>
      </c>
      <c r="G1161">
        <v>0</v>
      </c>
      <c r="H1161" s="7">
        <f t="shared" si="73"/>
        <v>35.502958579881657</v>
      </c>
      <c r="I1161" s="7">
        <f t="shared" si="74"/>
        <v>0</v>
      </c>
      <c r="J1161" s="7">
        <f t="shared" si="75"/>
        <v>64.497041420118336</v>
      </c>
      <c r="K1161" s="7">
        <f t="shared" si="76"/>
        <v>0</v>
      </c>
    </row>
    <row r="1162" spans="1:11" x14ac:dyDescent="0.35">
      <c r="A1162">
        <v>2021</v>
      </c>
      <c r="B1162">
        <v>3117009</v>
      </c>
      <c r="C1162" t="str">
        <f>VLOOKUP(B1162,SAEB!$A:$B,2,0)</f>
        <v>Comercinho</v>
      </c>
      <c r="D1162">
        <v>210</v>
      </c>
      <c r="E1162">
        <v>0</v>
      </c>
      <c r="F1162">
        <v>136</v>
      </c>
      <c r="G1162">
        <v>87</v>
      </c>
      <c r="H1162" s="7">
        <f t="shared" si="73"/>
        <v>48.498845265588912</v>
      </c>
      <c r="I1162" s="7">
        <f t="shared" si="74"/>
        <v>0</v>
      </c>
      <c r="J1162" s="7">
        <f t="shared" si="75"/>
        <v>31.408775981524251</v>
      </c>
      <c r="K1162" s="7">
        <f t="shared" si="76"/>
        <v>20.092378752886837</v>
      </c>
    </row>
    <row r="1163" spans="1:11" x14ac:dyDescent="0.35">
      <c r="A1163">
        <v>2021</v>
      </c>
      <c r="B1163">
        <v>3118403</v>
      </c>
      <c r="C1163" t="str">
        <f>VLOOKUP(B1163,SAEB!$A:$B,2,0)</f>
        <v>Conselheiro Pena</v>
      </c>
      <c r="D1163">
        <v>787</v>
      </c>
      <c r="E1163">
        <v>85</v>
      </c>
      <c r="F1163">
        <v>94</v>
      </c>
      <c r="G1163">
        <v>64</v>
      </c>
      <c r="H1163" s="7">
        <f t="shared" si="73"/>
        <v>76.407766990291265</v>
      </c>
      <c r="I1163" s="7">
        <f t="shared" si="74"/>
        <v>8.2524271844660202</v>
      </c>
      <c r="J1163" s="7">
        <f t="shared" si="75"/>
        <v>9.1262135922330092</v>
      </c>
      <c r="K1163" s="7">
        <f t="shared" si="76"/>
        <v>6.2135922330097086</v>
      </c>
    </row>
    <row r="1164" spans="1:11" x14ac:dyDescent="0.35">
      <c r="A1164">
        <v>2021</v>
      </c>
      <c r="B1164">
        <v>3119104</v>
      </c>
      <c r="C1164" t="str">
        <f>VLOOKUP(B1164,SAEB!$A:$B,2,0)</f>
        <v>Corinto</v>
      </c>
      <c r="D1164">
        <v>1223</v>
      </c>
      <c r="E1164">
        <v>422</v>
      </c>
      <c r="F1164">
        <v>7</v>
      </c>
      <c r="G1164">
        <v>0</v>
      </c>
      <c r="H1164" s="7">
        <f t="shared" si="73"/>
        <v>74.031476997578693</v>
      </c>
      <c r="I1164" s="7">
        <f t="shared" si="74"/>
        <v>25.544794188861985</v>
      </c>
      <c r="J1164" s="7">
        <f t="shared" si="75"/>
        <v>0.42372881355932202</v>
      </c>
      <c r="K1164" s="7">
        <f t="shared" si="76"/>
        <v>0</v>
      </c>
    </row>
    <row r="1165" spans="1:11" x14ac:dyDescent="0.35">
      <c r="A1165">
        <v>2021</v>
      </c>
      <c r="B1165">
        <v>3119203</v>
      </c>
      <c r="C1165" t="str">
        <f>VLOOKUP(B1165,SAEB!$A:$B,2,0)</f>
        <v>Coroaci</v>
      </c>
      <c r="D1165">
        <v>373</v>
      </c>
      <c r="E1165">
        <v>53</v>
      </c>
      <c r="F1165">
        <v>158</v>
      </c>
      <c r="G1165">
        <v>110</v>
      </c>
      <c r="H1165" s="7">
        <f t="shared" si="73"/>
        <v>53.746397694524497</v>
      </c>
      <c r="I1165" s="7">
        <f t="shared" si="74"/>
        <v>7.6368876080691637</v>
      </c>
      <c r="J1165" s="7">
        <f t="shared" si="75"/>
        <v>22.766570605187319</v>
      </c>
      <c r="K1165" s="7">
        <f t="shared" si="76"/>
        <v>15.85014409221902</v>
      </c>
    </row>
    <row r="1166" spans="1:11" x14ac:dyDescent="0.35">
      <c r="A1166">
        <v>2021</v>
      </c>
      <c r="B1166">
        <v>3119500</v>
      </c>
      <c r="C1166" t="str">
        <f>VLOOKUP(B1166,SAEB!$A:$B,2,0)</f>
        <v>Coronel Murta</v>
      </c>
      <c r="D1166">
        <v>418</v>
      </c>
      <c r="E1166">
        <v>320</v>
      </c>
      <c r="F1166">
        <v>33</v>
      </c>
      <c r="G1166">
        <v>0</v>
      </c>
      <c r="H1166" s="7">
        <f t="shared" si="73"/>
        <v>54.215304798962386</v>
      </c>
      <c r="I1166" s="7">
        <f t="shared" si="74"/>
        <v>41.504539559014269</v>
      </c>
      <c r="J1166" s="7">
        <f t="shared" si="75"/>
        <v>4.2801556420233462</v>
      </c>
      <c r="K1166" s="7">
        <f t="shared" si="76"/>
        <v>0</v>
      </c>
    </row>
    <row r="1167" spans="1:11" x14ac:dyDescent="0.35">
      <c r="A1167">
        <v>2021</v>
      </c>
      <c r="B1167">
        <v>3120151</v>
      </c>
      <c r="C1167" t="str">
        <f>VLOOKUP(B1167,SAEB!$A:$B,2,0)</f>
        <v>Crisólita</v>
      </c>
      <c r="D1167">
        <v>371</v>
      </c>
      <c r="E1167">
        <v>128</v>
      </c>
      <c r="F1167">
        <v>0</v>
      </c>
      <c r="G1167">
        <v>0</v>
      </c>
      <c r="H1167" s="7">
        <f t="shared" si="73"/>
        <v>74.348697394789582</v>
      </c>
      <c r="I1167" s="7">
        <f t="shared" si="74"/>
        <v>25.651302605210418</v>
      </c>
      <c r="J1167" s="7">
        <f t="shared" si="75"/>
        <v>0</v>
      </c>
      <c r="K1167" s="7">
        <f t="shared" si="76"/>
        <v>0</v>
      </c>
    </row>
    <row r="1168" spans="1:11" x14ac:dyDescent="0.35">
      <c r="A1168">
        <v>2021</v>
      </c>
      <c r="B1168">
        <v>3120870</v>
      </c>
      <c r="C1168" t="str">
        <f>VLOOKUP(B1168,SAEB!$A:$B,2,0)</f>
        <v>Curral de Dentro</v>
      </c>
      <c r="D1168">
        <v>423</v>
      </c>
      <c r="E1168">
        <v>0</v>
      </c>
      <c r="F1168">
        <v>157</v>
      </c>
      <c r="G1168">
        <v>0</v>
      </c>
      <c r="H1168" s="7">
        <f t="shared" si="73"/>
        <v>72.931034482758619</v>
      </c>
      <c r="I1168" s="7">
        <f t="shared" si="74"/>
        <v>0</v>
      </c>
      <c r="J1168" s="7">
        <f t="shared" si="75"/>
        <v>27.068965517241377</v>
      </c>
      <c r="K1168" s="7">
        <f t="shared" si="76"/>
        <v>0</v>
      </c>
    </row>
    <row r="1169" spans="1:11" x14ac:dyDescent="0.35">
      <c r="A1169">
        <v>2021</v>
      </c>
      <c r="B1169">
        <v>3120904</v>
      </c>
      <c r="C1169" t="str">
        <f>VLOOKUP(B1169,SAEB!$A:$B,2,0)</f>
        <v>Curvelo</v>
      </c>
      <c r="D1169">
        <v>3817</v>
      </c>
      <c r="E1169">
        <v>0</v>
      </c>
      <c r="F1169">
        <v>388</v>
      </c>
      <c r="G1169">
        <v>0</v>
      </c>
      <c r="H1169" s="7">
        <f t="shared" si="73"/>
        <v>90.772889417360275</v>
      </c>
      <c r="I1169" s="7">
        <f t="shared" si="74"/>
        <v>0</v>
      </c>
      <c r="J1169" s="7">
        <f t="shared" si="75"/>
        <v>9.2271105826397157</v>
      </c>
      <c r="K1169" s="7">
        <f t="shared" si="76"/>
        <v>0</v>
      </c>
    </row>
    <row r="1170" spans="1:11" x14ac:dyDescent="0.35">
      <c r="A1170">
        <v>2021</v>
      </c>
      <c r="B1170">
        <v>3121001</v>
      </c>
      <c r="C1170" t="str">
        <f>VLOOKUP(B1170,SAEB!$A:$B,2,0)</f>
        <v>Datas</v>
      </c>
      <c r="D1170">
        <v>266</v>
      </c>
      <c r="E1170">
        <v>0</v>
      </c>
      <c r="F1170">
        <v>143</v>
      </c>
      <c r="G1170">
        <v>0</v>
      </c>
      <c r="H1170" s="7">
        <f t="shared" si="73"/>
        <v>65.036674816625919</v>
      </c>
      <c r="I1170" s="7">
        <f t="shared" si="74"/>
        <v>0</v>
      </c>
      <c r="J1170" s="7">
        <f t="shared" si="75"/>
        <v>34.963325183374081</v>
      </c>
      <c r="K1170" s="7">
        <f t="shared" si="76"/>
        <v>0</v>
      </c>
    </row>
    <row r="1171" spans="1:11" x14ac:dyDescent="0.35">
      <c r="A1171">
        <v>2021</v>
      </c>
      <c r="B1171">
        <v>3121605</v>
      </c>
      <c r="C1171" t="str">
        <f>VLOOKUP(B1171,SAEB!$A:$B,2,0)</f>
        <v>Diamantina</v>
      </c>
      <c r="D1171">
        <v>650</v>
      </c>
      <c r="E1171">
        <v>75</v>
      </c>
      <c r="F1171">
        <v>342</v>
      </c>
      <c r="G1171">
        <v>72</v>
      </c>
      <c r="H1171" s="7">
        <f t="shared" si="73"/>
        <v>57.067603160667261</v>
      </c>
      <c r="I1171" s="7">
        <f t="shared" si="74"/>
        <v>6.5847234416154521</v>
      </c>
      <c r="J1171" s="7">
        <f t="shared" si="75"/>
        <v>30.026338893766464</v>
      </c>
      <c r="K1171" s="7">
        <f t="shared" si="76"/>
        <v>6.3213345039508342</v>
      </c>
    </row>
    <row r="1172" spans="1:11" x14ac:dyDescent="0.35">
      <c r="A1172">
        <v>2021</v>
      </c>
      <c r="B1172">
        <v>3122108</v>
      </c>
      <c r="C1172" t="str">
        <f>VLOOKUP(B1172,SAEB!$A:$B,2,0)</f>
        <v>Divino das Laranjeiras</v>
      </c>
      <c r="D1172">
        <v>140</v>
      </c>
      <c r="E1172">
        <v>0</v>
      </c>
      <c r="F1172">
        <v>0</v>
      </c>
      <c r="G1172">
        <v>0</v>
      </c>
      <c r="H1172" s="7">
        <f t="shared" si="73"/>
        <v>100</v>
      </c>
      <c r="I1172" s="7">
        <f t="shared" si="74"/>
        <v>0</v>
      </c>
      <c r="J1172" s="7">
        <f t="shared" si="75"/>
        <v>0</v>
      </c>
      <c r="K1172" s="7">
        <f t="shared" si="76"/>
        <v>0</v>
      </c>
    </row>
    <row r="1173" spans="1:11" x14ac:dyDescent="0.35">
      <c r="A1173">
        <v>2021</v>
      </c>
      <c r="B1173">
        <v>3122207</v>
      </c>
      <c r="C1173" t="str">
        <f>VLOOKUP(B1173,SAEB!$A:$B,2,0)</f>
        <v>Divinolândia de Minas</v>
      </c>
      <c r="D1173">
        <v>358</v>
      </c>
      <c r="E1173">
        <v>0</v>
      </c>
      <c r="F1173">
        <v>146</v>
      </c>
      <c r="G1173">
        <v>0</v>
      </c>
      <c r="H1173" s="7">
        <f t="shared" si="73"/>
        <v>71.031746031746039</v>
      </c>
      <c r="I1173" s="7">
        <f t="shared" si="74"/>
        <v>0</v>
      </c>
      <c r="J1173" s="7">
        <f t="shared" si="75"/>
        <v>28.968253968253972</v>
      </c>
      <c r="K1173" s="7">
        <f t="shared" si="76"/>
        <v>0</v>
      </c>
    </row>
    <row r="1174" spans="1:11" x14ac:dyDescent="0.35">
      <c r="A1174">
        <v>2021</v>
      </c>
      <c r="B1174">
        <v>3122454</v>
      </c>
      <c r="C1174" t="str">
        <f>VLOOKUP(B1174,SAEB!$A:$B,2,0)</f>
        <v>Divisópolis</v>
      </c>
      <c r="D1174">
        <v>513</v>
      </c>
      <c r="E1174">
        <v>0</v>
      </c>
      <c r="F1174">
        <v>62</v>
      </c>
      <c r="G1174">
        <v>0</v>
      </c>
      <c r="H1174" s="7">
        <f t="shared" si="73"/>
        <v>89.217391304347828</v>
      </c>
      <c r="I1174" s="7">
        <f t="shared" si="74"/>
        <v>0</v>
      </c>
      <c r="J1174" s="7">
        <f t="shared" si="75"/>
        <v>10.782608695652174</v>
      </c>
      <c r="K1174" s="7">
        <f t="shared" si="76"/>
        <v>0</v>
      </c>
    </row>
    <row r="1175" spans="1:11" x14ac:dyDescent="0.35">
      <c r="A1175">
        <v>2021</v>
      </c>
      <c r="B1175">
        <v>3122470</v>
      </c>
      <c r="C1175" t="str">
        <f>VLOOKUP(B1175,SAEB!$A:$B,2,0)</f>
        <v>Dom Bosco</v>
      </c>
      <c r="D1175">
        <v>50</v>
      </c>
      <c r="E1175">
        <v>36</v>
      </c>
      <c r="F1175">
        <v>82</v>
      </c>
      <c r="G1175">
        <v>0</v>
      </c>
      <c r="H1175" s="7">
        <f t="shared" si="73"/>
        <v>29.761904761904763</v>
      </c>
      <c r="I1175" s="7">
        <f t="shared" si="74"/>
        <v>21.428571428571427</v>
      </c>
      <c r="J1175" s="7">
        <f t="shared" si="75"/>
        <v>48.80952380952381</v>
      </c>
      <c r="K1175" s="7">
        <f t="shared" si="76"/>
        <v>0</v>
      </c>
    </row>
    <row r="1176" spans="1:11" x14ac:dyDescent="0.35">
      <c r="A1176">
        <v>2021</v>
      </c>
      <c r="B1176">
        <v>3123106</v>
      </c>
      <c r="C1176" t="str">
        <f>VLOOKUP(B1176,SAEB!$A:$B,2,0)</f>
        <v>Dores de Guanhães</v>
      </c>
      <c r="D1176">
        <v>195</v>
      </c>
      <c r="E1176">
        <v>0</v>
      </c>
      <c r="F1176">
        <v>104</v>
      </c>
      <c r="G1176">
        <v>0</v>
      </c>
      <c r="H1176" s="7">
        <f t="shared" si="73"/>
        <v>65.217391304347828</v>
      </c>
      <c r="I1176" s="7">
        <f t="shared" si="74"/>
        <v>0</v>
      </c>
      <c r="J1176" s="7">
        <f t="shared" si="75"/>
        <v>34.782608695652172</v>
      </c>
      <c r="K1176" s="7">
        <f t="shared" si="76"/>
        <v>0</v>
      </c>
    </row>
    <row r="1177" spans="1:11" x14ac:dyDescent="0.35">
      <c r="A1177">
        <v>2021</v>
      </c>
      <c r="B1177">
        <v>3123700</v>
      </c>
      <c r="C1177" t="str">
        <f>VLOOKUP(B1177,SAEB!$A:$B,2,0)</f>
        <v>Engenheiro Caldas</v>
      </c>
      <c r="D1177">
        <v>633</v>
      </c>
      <c r="E1177">
        <v>116</v>
      </c>
      <c r="F1177">
        <v>0</v>
      </c>
      <c r="G1177">
        <v>0</v>
      </c>
      <c r="H1177" s="7">
        <f t="shared" si="73"/>
        <v>84.512683578104145</v>
      </c>
      <c r="I1177" s="7">
        <f t="shared" si="74"/>
        <v>15.48731642189586</v>
      </c>
      <c r="J1177" s="7">
        <f t="shared" si="75"/>
        <v>0</v>
      </c>
      <c r="K1177" s="7">
        <f t="shared" si="76"/>
        <v>0</v>
      </c>
    </row>
    <row r="1178" spans="1:11" x14ac:dyDescent="0.35">
      <c r="A1178">
        <v>2021</v>
      </c>
      <c r="B1178">
        <v>3123809</v>
      </c>
      <c r="C1178" t="str">
        <f>VLOOKUP(B1178,SAEB!$A:$B,2,0)</f>
        <v>Engenheiro Navarro</v>
      </c>
      <c r="D1178">
        <v>384</v>
      </c>
      <c r="E1178">
        <v>0</v>
      </c>
      <c r="F1178">
        <v>41</v>
      </c>
      <c r="G1178">
        <v>0</v>
      </c>
      <c r="H1178" s="7">
        <f t="shared" si="73"/>
        <v>90.352941176470594</v>
      </c>
      <c r="I1178" s="7">
        <f t="shared" si="74"/>
        <v>0</v>
      </c>
      <c r="J1178" s="7">
        <f t="shared" si="75"/>
        <v>9.6470588235294112</v>
      </c>
      <c r="K1178" s="7">
        <f t="shared" si="76"/>
        <v>0</v>
      </c>
    </row>
    <row r="1179" spans="1:11" x14ac:dyDescent="0.35">
      <c r="A1179">
        <v>2021</v>
      </c>
      <c r="B1179">
        <v>3124302</v>
      </c>
      <c r="C1179" t="str">
        <f>VLOOKUP(B1179,SAEB!$A:$B,2,0)</f>
        <v>Espinosa</v>
      </c>
      <c r="D1179">
        <v>422</v>
      </c>
      <c r="E1179">
        <v>0</v>
      </c>
      <c r="F1179">
        <v>497</v>
      </c>
      <c r="G1179">
        <v>0</v>
      </c>
      <c r="H1179" s="7">
        <f t="shared" si="73"/>
        <v>45.919477693144721</v>
      </c>
      <c r="I1179" s="7">
        <f t="shared" si="74"/>
        <v>0</v>
      </c>
      <c r="J1179" s="7">
        <f t="shared" si="75"/>
        <v>54.080522306855272</v>
      </c>
      <c r="K1179" s="7">
        <f t="shared" si="76"/>
        <v>0</v>
      </c>
    </row>
    <row r="1180" spans="1:11" x14ac:dyDescent="0.35">
      <c r="A1180">
        <v>2021</v>
      </c>
      <c r="B1180">
        <v>3125408</v>
      </c>
      <c r="C1180" t="str">
        <f>VLOOKUP(B1180,SAEB!$A:$B,2,0)</f>
        <v>Felício dos Santos</v>
      </c>
      <c r="D1180">
        <v>0</v>
      </c>
      <c r="E1180">
        <v>0</v>
      </c>
      <c r="F1180">
        <v>372</v>
      </c>
      <c r="G1180">
        <v>0</v>
      </c>
      <c r="H1180" s="7">
        <f t="shared" si="73"/>
        <v>0</v>
      </c>
      <c r="I1180" s="7">
        <f t="shared" si="74"/>
        <v>0</v>
      </c>
      <c r="J1180" s="7">
        <f t="shared" si="75"/>
        <v>100</v>
      </c>
      <c r="K1180" s="7">
        <f t="shared" si="76"/>
        <v>0</v>
      </c>
    </row>
    <row r="1181" spans="1:11" x14ac:dyDescent="0.35">
      <c r="A1181">
        <v>2021</v>
      </c>
      <c r="B1181">
        <v>3125705</v>
      </c>
      <c r="C1181" t="str">
        <f>VLOOKUP(B1181,SAEB!$A:$B,2,0)</f>
        <v>Felixlândia</v>
      </c>
      <c r="D1181">
        <v>630</v>
      </c>
      <c r="E1181">
        <v>480</v>
      </c>
      <c r="F1181">
        <v>59</v>
      </c>
      <c r="G1181">
        <v>0</v>
      </c>
      <c r="H1181" s="7">
        <f t="shared" si="73"/>
        <v>53.892215568862277</v>
      </c>
      <c r="I1181" s="7">
        <f t="shared" si="74"/>
        <v>41.060735671514117</v>
      </c>
      <c r="J1181" s="7">
        <f t="shared" si="75"/>
        <v>5.0470487596236095</v>
      </c>
      <c r="K1181" s="7">
        <f t="shared" si="76"/>
        <v>0</v>
      </c>
    </row>
    <row r="1182" spans="1:11" x14ac:dyDescent="0.35">
      <c r="A1182">
        <v>2021</v>
      </c>
      <c r="B1182">
        <v>3126604</v>
      </c>
      <c r="C1182" t="str">
        <f>VLOOKUP(B1182,SAEB!$A:$B,2,0)</f>
        <v>Francisco Dumont</v>
      </c>
      <c r="D1182">
        <v>266</v>
      </c>
      <c r="E1182">
        <v>0</v>
      </c>
      <c r="F1182">
        <v>40</v>
      </c>
      <c r="G1182">
        <v>52</v>
      </c>
      <c r="H1182" s="7">
        <f t="shared" si="73"/>
        <v>74.30167597765363</v>
      </c>
      <c r="I1182" s="7">
        <f t="shared" si="74"/>
        <v>0</v>
      </c>
      <c r="J1182" s="7">
        <f t="shared" si="75"/>
        <v>11.173184357541899</v>
      </c>
      <c r="K1182" s="7">
        <f t="shared" si="76"/>
        <v>14.52513966480447</v>
      </c>
    </row>
    <row r="1183" spans="1:11" x14ac:dyDescent="0.35">
      <c r="A1183">
        <v>2021</v>
      </c>
      <c r="B1183">
        <v>3126703</v>
      </c>
      <c r="C1183" t="str">
        <f>VLOOKUP(B1183,SAEB!$A:$B,2,0)</f>
        <v>Francisco Sá</v>
      </c>
      <c r="D1183">
        <v>630</v>
      </c>
      <c r="E1183">
        <v>122</v>
      </c>
      <c r="F1183">
        <v>269</v>
      </c>
      <c r="G1183">
        <v>84</v>
      </c>
      <c r="H1183" s="7">
        <f t="shared" si="73"/>
        <v>57.013574660633481</v>
      </c>
      <c r="I1183" s="7">
        <f t="shared" si="74"/>
        <v>11.040723981900452</v>
      </c>
      <c r="J1183" s="7">
        <f t="shared" si="75"/>
        <v>24.343891402714931</v>
      </c>
      <c r="K1183" s="7">
        <f t="shared" si="76"/>
        <v>7.6018099547511309</v>
      </c>
    </row>
    <row r="1184" spans="1:11" x14ac:dyDescent="0.35">
      <c r="A1184">
        <v>2021</v>
      </c>
      <c r="B1184">
        <v>3126901</v>
      </c>
      <c r="C1184" t="str">
        <f>VLOOKUP(B1184,SAEB!$A:$B,2,0)</f>
        <v>Frei Inocêncio</v>
      </c>
      <c r="D1184">
        <v>312</v>
      </c>
      <c r="E1184">
        <v>0</v>
      </c>
      <c r="F1184">
        <v>57</v>
      </c>
      <c r="G1184">
        <v>0</v>
      </c>
      <c r="H1184" s="7">
        <f t="shared" si="73"/>
        <v>84.552845528455293</v>
      </c>
      <c r="I1184" s="7">
        <f t="shared" si="74"/>
        <v>0</v>
      </c>
      <c r="J1184" s="7">
        <f t="shared" si="75"/>
        <v>15.447154471544716</v>
      </c>
      <c r="K1184" s="7">
        <f t="shared" si="76"/>
        <v>0</v>
      </c>
    </row>
    <row r="1185" spans="1:11" x14ac:dyDescent="0.35">
      <c r="A1185">
        <v>2021</v>
      </c>
      <c r="B1185">
        <v>3127073</v>
      </c>
      <c r="C1185" t="str">
        <f>VLOOKUP(B1185,SAEB!$A:$B,2,0)</f>
        <v>Fruta de Leite</v>
      </c>
      <c r="D1185">
        <v>0</v>
      </c>
      <c r="E1185">
        <v>0</v>
      </c>
      <c r="F1185">
        <v>197</v>
      </c>
      <c r="G1185">
        <v>0</v>
      </c>
      <c r="H1185" s="7">
        <f t="shared" si="73"/>
        <v>0</v>
      </c>
      <c r="I1185" s="7">
        <f t="shared" si="74"/>
        <v>0</v>
      </c>
      <c r="J1185" s="7">
        <f t="shared" si="75"/>
        <v>100</v>
      </c>
      <c r="K1185" s="7">
        <f t="shared" si="76"/>
        <v>0</v>
      </c>
    </row>
    <row r="1186" spans="1:11" x14ac:dyDescent="0.35">
      <c r="A1186">
        <v>2021</v>
      </c>
      <c r="B1186">
        <v>3127354</v>
      </c>
      <c r="C1186" t="str">
        <f>VLOOKUP(B1186,SAEB!$A:$B,2,0)</f>
        <v>Glaucilândia</v>
      </c>
      <c r="D1186">
        <v>112</v>
      </c>
      <c r="E1186">
        <v>0</v>
      </c>
      <c r="F1186">
        <v>75</v>
      </c>
      <c r="G1186">
        <v>0</v>
      </c>
      <c r="H1186" s="7">
        <f t="shared" si="73"/>
        <v>59.893048128342244</v>
      </c>
      <c r="I1186" s="7">
        <f t="shared" si="74"/>
        <v>0</v>
      </c>
      <c r="J1186" s="7">
        <f t="shared" si="75"/>
        <v>40.106951871657756</v>
      </c>
      <c r="K1186" s="7">
        <f t="shared" si="76"/>
        <v>0</v>
      </c>
    </row>
    <row r="1187" spans="1:11" x14ac:dyDescent="0.35">
      <c r="A1187">
        <v>2021</v>
      </c>
      <c r="B1187">
        <v>3127503</v>
      </c>
      <c r="C1187" t="str">
        <f>VLOOKUP(B1187,SAEB!$A:$B,2,0)</f>
        <v>Gonzaga</v>
      </c>
      <c r="D1187">
        <v>269</v>
      </c>
      <c r="E1187">
        <v>0</v>
      </c>
      <c r="F1187">
        <v>109</v>
      </c>
      <c r="G1187">
        <v>0</v>
      </c>
      <c r="H1187" s="7">
        <f t="shared" si="73"/>
        <v>71.164021164021165</v>
      </c>
      <c r="I1187" s="7">
        <f t="shared" si="74"/>
        <v>0</v>
      </c>
      <c r="J1187" s="7">
        <f t="shared" si="75"/>
        <v>28.835978835978835</v>
      </c>
      <c r="K1187" s="7">
        <f t="shared" si="76"/>
        <v>0</v>
      </c>
    </row>
    <row r="1188" spans="1:11" x14ac:dyDescent="0.35">
      <c r="A1188">
        <v>2021</v>
      </c>
      <c r="B1188">
        <v>3127602</v>
      </c>
      <c r="C1188" t="str">
        <f>VLOOKUP(B1188,SAEB!$A:$B,2,0)</f>
        <v>Gouveia</v>
      </c>
      <c r="D1188">
        <v>600</v>
      </c>
      <c r="E1188">
        <v>0</v>
      </c>
      <c r="F1188">
        <v>76</v>
      </c>
      <c r="G1188">
        <v>51</v>
      </c>
      <c r="H1188" s="7">
        <f t="shared" si="73"/>
        <v>82.530949105914715</v>
      </c>
      <c r="I1188" s="7">
        <f t="shared" si="74"/>
        <v>0</v>
      </c>
      <c r="J1188" s="7">
        <f t="shared" si="75"/>
        <v>10.453920220082532</v>
      </c>
      <c r="K1188" s="7">
        <f t="shared" si="76"/>
        <v>7.0151306740027506</v>
      </c>
    </row>
    <row r="1189" spans="1:11" x14ac:dyDescent="0.35">
      <c r="A1189">
        <v>2021</v>
      </c>
      <c r="B1189">
        <v>3127701</v>
      </c>
      <c r="C1189" t="str">
        <f>VLOOKUP(B1189,SAEB!$A:$B,2,0)</f>
        <v>Governador Valadares</v>
      </c>
      <c r="D1189">
        <v>5914</v>
      </c>
      <c r="E1189">
        <v>2486</v>
      </c>
      <c r="F1189">
        <v>406</v>
      </c>
      <c r="G1189">
        <v>320</v>
      </c>
      <c r="H1189" s="7">
        <f t="shared" si="73"/>
        <v>64.803857111549419</v>
      </c>
      <c r="I1189" s="7">
        <f t="shared" si="74"/>
        <v>27.240850317773397</v>
      </c>
      <c r="J1189" s="7">
        <f t="shared" si="75"/>
        <v>4.4488275257506027</v>
      </c>
      <c r="K1189" s="7">
        <f t="shared" si="76"/>
        <v>3.5064650449265837</v>
      </c>
    </row>
    <row r="1190" spans="1:11" x14ac:dyDescent="0.35">
      <c r="A1190">
        <v>2021</v>
      </c>
      <c r="B1190">
        <v>3128006</v>
      </c>
      <c r="C1190" t="str">
        <f>VLOOKUP(B1190,SAEB!$A:$B,2,0)</f>
        <v>Guanhães</v>
      </c>
      <c r="D1190">
        <v>1478</v>
      </c>
      <c r="E1190">
        <v>0</v>
      </c>
      <c r="F1190">
        <v>32</v>
      </c>
      <c r="G1190">
        <v>0</v>
      </c>
      <c r="H1190" s="7">
        <f t="shared" si="73"/>
        <v>97.880794701986744</v>
      </c>
      <c r="I1190" s="7">
        <f t="shared" si="74"/>
        <v>0</v>
      </c>
      <c r="J1190" s="7">
        <f t="shared" si="75"/>
        <v>2.1192052980132452</v>
      </c>
      <c r="K1190" s="7">
        <f t="shared" si="76"/>
        <v>0</v>
      </c>
    </row>
    <row r="1191" spans="1:11" x14ac:dyDescent="0.35">
      <c r="A1191">
        <v>2021</v>
      </c>
      <c r="B1191">
        <v>3128253</v>
      </c>
      <c r="C1191" t="str">
        <f>VLOOKUP(B1191,SAEB!$A:$B,2,0)</f>
        <v>Guaraciama</v>
      </c>
      <c r="D1191">
        <v>317</v>
      </c>
      <c r="E1191">
        <v>0</v>
      </c>
      <c r="F1191">
        <v>0</v>
      </c>
      <c r="G1191">
        <v>0</v>
      </c>
      <c r="H1191" s="7">
        <f t="shared" si="73"/>
        <v>100</v>
      </c>
      <c r="I1191" s="7">
        <f t="shared" si="74"/>
        <v>0</v>
      </c>
      <c r="J1191" s="7">
        <f t="shared" si="75"/>
        <v>0</v>
      </c>
      <c r="K1191" s="7">
        <f t="shared" si="76"/>
        <v>0</v>
      </c>
    </row>
    <row r="1192" spans="1:11" x14ac:dyDescent="0.35">
      <c r="A1192">
        <v>2021</v>
      </c>
      <c r="B1192">
        <v>3129657</v>
      </c>
      <c r="C1192" t="str">
        <f>VLOOKUP(B1192,SAEB!$A:$B,2,0)</f>
        <v>Ibiracatu</v>
      </c>
      <c r="D1192">
        <v>108</v>
      </c>
      <c r="E1192">
        <v>125</v>
      </c>
      <c r="F1192">
        <v>95</v>
      </c>
      <c r="G1192">
        <v>36</v>
      </c>
      <c r="H1192" s="7">
        <f t="shared" si="73"/>
        <v>29.670329670329672</v>
      </c>
      <c r="I1192" s="7">
        <f t="shared" si="74"/>
        <v>34.340659340659343</v>
      </c>
      <c r="J1192" s="7">
        <f t="shared" si="75"/>
        <v>26.098901098901102</v>
      </c>
      <c r="K1192" s="7">
        <f t="shared" si="76"/>
        <v>9.8901098901098905</v>
      </c>
    </row>
    <row r="1193" spans="1:11" x14ac:dyDescent="0.35">
      <c r="A1193">
        <v>2021</v>
      </c>
      <c r="B1193">
        <v>3130051</v>
      </c>
      <c r="C1193" t="str">
        <f>VLOOKUP(B1193,SAEB!$A:$B,2,0)</f>
        <v>Icaraí de Minas</v>
      </c>
      <c r="D1193">
        <v>358</v>
      </c>
      <c r="E1193">
        <v>0</v>
      </c>
      <c r="F1193">
        <v>85</v>
      </c>
      <c r="G1193">
        <v>0</v>
      </c>
      <c r="H1193" s="7">
        <f t="shared" si="73"/>
        <v>80.812641083521441</v>
      </c>
      <c r="I1193" s="7">
        <f t="shared" si="74"/>
        <v>0</v>
      </c>
      <c r="J1193" s="7">
        <f t="shared" si="75"/>
        <v>19.187358916478555</v>
      </c>
      <c r="K1193" s="7">
        <f t="shared" si="76"/>
        <v>0</v>
      </c>
    </row>
    <row r="1194" spans="1:11" x14ac:dyDescent="0.35">
      <c r="A1194">
        <v>2021</v>
      </c>
      <c r="B1194">
        <v>3130556</v>
      </c>
      <c r="C1194" t="str">
        <f>VLOOKUP(B1194,SAEB!$A:$B,2,0)</f>
        <v>Imbé de Minas</v>
      </c>
      <c r="D1194">
        <v>251</v>
      </c>
      <c r="E1194">
        <v>0</v>
      </c>
      <c r="F1194">
        <v>151</v>
      </c>
      <c r="G1194">
        <v>0</v>
      </c>
      <c r="H1194" s="7">
        <f t="shared" si="73"/>
        <v>62.437810945273633</v>
      </c>
      <c r="I1194" s="7">
        <f t="shared" si="74"/>
        <v>0</v>
      </c>
      <c r="J1194" s="7">
        <f t="shared" si="75"/>
        <v>37.562189054726367</v>
      </c>
      <c r="K1194" s="7">
        <f t="shared" si="76"/>
        <v>0</v>
      </c>
    </row>
    <row r="1195" spans="1:11" x14ac:dyDescent="0.35">
      <c r="A1195">
        <v>2021</v>
      </c>
      <c r="B1195">
        <v>3130655</v>
      </c>
      <c r="C1195" t="str">
        <f>VLOOKUP(B1195,SAEB!$A:$B,2,0)</f>
        <v>Indaiabira</v>
      </c>
      <c r="D1195">
        <v>137</v>
      </c>
      <c r="E1195">
        <v>0</v>
      </c>
      <c r="F1195">
        <v>164</v>
      </c>
      <c r="G1195">
        <v>67</v>
      </c>
      <c r="H1195" s="7">
        <f t="shared" si="73"/>
        <v>37.228260869565219</v>
      </c>
      <c r="I1195" s="7">
        <f t="shared" si="74"/>
        <v>0</v>
      </c>
      <c r="J1195" s="7">
        <f t="shared" si="75"/>
        <v>44.565217391304344</v>
      </c>
      <c r="K1195" s="7">
        <f t="shared" si="76"/>
        <v>18.206521739130434</v>
      </c>
    </row>
    <row r="1196" spans="1:11" x14ac:dyDescent="0.35">
      <c r="A1196">
        <v>2021</v>
      </c>
      <c r="B1196">
        <v>3130903</v>
      </c>
      <c r="C1196" t="str">
        <f>VLOOKUP(B1196,SAEB!$A:$B,2,0)</f>
        <v>Inhapim</v>
      </c>
      <c r="D1196">
        <v>324</v>
      </c>
      <c r="E1196">
        <v>0</v>
      </c>
      <c r="F1196">
        <v>402</v>
      </c>
      <c r="G1196">
        <v>78</v>
      </c>
      <c r="H1196" s="7">
        <f t="shared" si="73"/>
        <v>40.298507462686565</v>
      </c>
      <c r="I1196" s="7">
        <f t="shared" si="74"/>
        <v>0</v>
      </c>
      <c r="J1196" s="7">
        <f t="shared" si="75"/>
        <v>50</v>
      </c>
      <c r="K1196" s="7">
        <f t="shared" si="76"/>
        <v>9.7014925373134329</v>
      </c>
    </row>
    <row r="1197" spans="1:11" x14ac:dyDescent="0.35">
      <c r="A1197">
        <v>2021</v>
      </c>
      <c r="B1197">
        <v>3131109</v>
      </c>
      <c r="C1197" t="str">
        <f>VLOOKUP(B1197,SAEB!$A:$B,2,0)</f>
        <v>Inimutaba</v>
      </c>
      <c r="D1197">
        <v>306</v>
      </c>
      <c r="E1197">
        <v>0</v>
      </c>
      <c r="F1197">
        <v>74</v>
      </c>
      <c r="G1197">
        <v>0</v>
      </c>
      <c r="H1197" s="7">
        <f t="shared" si="73"/>
        <v>80.526315789473685</v>
      </c>
      <c r="I1197" s="7">
        <f t="shared" si="74"/>
        <v>0</v>
      </c>
      <c r="J1197" s="7">
        <f t="shared" si="75"/>
        <v>19.473684210526315</v>
      </c>
      <c r="K1197" s="7">
        <f t="shared" si="76"/>
        <v>0</v>
      </c>
    </row>
    <row r="1198" spans="1:11" x14ac:dyDescent="0.35">
      <c r="A1198">
        <v>2021</v>
      </c>
      <c r="B1198">
        <v>3131208</v>
      </c>
      <c r="C1198" t="str">
        <f>VLOOKUP(B1198,SAEB!$A:$B,2,0)</f>
        <v>Ipanema</v>
      </c>
      <c r="D1198">
        <v>660</v>
      </c>
      <c r="E1198">
        <v>483</v>
      </c>
      <c r="F1198">
        <v>44</v>
      </c>
      <c r="G1198">
        <v>28</v>
      </c>
      <c r="H1198" s="7">
        <f t="shared" si="73"/>
        <v>54.320987654320987</v>
      </c>
      <c r="I1198" s="7">
        <f t="shared" si="74"/>
        <v>39.753086419753089</v>
      </c>
      <c r="J1198" s="7">
        <f t="shared" si="75"/>
        <v>3.6213991769547325</v>
      </c>
      <c r="K1198" s="7">
        <f t="shared" si="76"/>
        <v>2.3045267489711936</v>
      </c>
    </row>
    <row r="1199" spans="1:11" x14ac:dyDescent="0.35">
      <c r="A1199">
        <v>2021</v>
      </c>
      <c r="B1199">
        <v>3131802</v>
      </c>
      <c r="C1199" t="str">
        <f>VLOOKUP(B1199,SAEB!$A:$B,2,0)</f>
        <v>Itabirinha</v>
      </c>
      <c r="D1199">
        <v>486</v>
      </c>
      <c r="E1199">
        <v>0</v>
      </c>
      <c r="F1199">
        <v>113</v>
      </c>
      <c r="G1199">
        <v>0</v>
      </c>
      <c r="H1199" s="7">
        <f t="shared" si="73"/>
        <v>81.135225375626035</v>
      </c>
      <c r="I1199" s="7">
        <f t="shared" si="74"/>
        <v>0</v>
      </c>
      <c r="J1199" s="7">
        <f t="shared" si="75"/>
        <v>18.864774624373958</v>
      </c>
      <c r="K1199" s="7">
        <f t="shared" si="76"/>
        <v>0</v>
      </c>
    </row>
    <row r="1200" spans="1:11" x14ac:dyDescent="0.35">
      <c r="A1200">
        <v>2021</v>
      </c>
      <c r="B1200">
        <v>3132107</v>
      </c>
      <c r="C1200" t="str">
        <f>VLOOKUP(B1200,SAEB!$A:$B,2,0)</f>
        <v>Itacarambi</v>
      </c>
      <c r="D1200">
        <v>922</v>
      </c>
      <c r="E1200">
        <v>869</v>
      </c>
      <c r="F1200">
        <v>99</v>
      </c>
      <c r="G1200">
        <v>86</v>
      </c>
      <c r="H1200" s="7">
        <f t="shared" si="73"/>
        <v>46.659919028340077</v>
      </c>
      <c r="I1200" s="7">
        <f t="shared" si="74"/>
        <v>43.977732793522264</v>
      </c>
      <c r="J1200" s="7">
        <f t="shared" si="75"/>
        <v>5.0101214574898787</v>
      </c>
      <c r="K1200" s="7">
        <f t="shared" si="76"/>
        <v>4.3522267206477734</v>
      </c>
    </row>
    <row r="1201" spans="1:11" x14ac:dyDescent="0.35">
      <c r="A1201">
        <v>2021</v>
      </c>
      <c r="B1201">
        <v>3132305</v>
      </c>
      <c r="C1201" t="str">
        <f>VLOOKUP(B1201,SAEB!$A:$B,2,0)</f>
        <v>Itaipé</v>
      </c>
      <c r="D1201">
        <v>244</v>
      </c>
      <c r="E1201">
        <v>427</v>
      </c>
      <c r="F1201">
        <v>325</v>
      </c>
      <c r="G1201">
        <v>0</v>
      </c>
      <c r="H1201" s="7">
        <f t="shared" si="73"/>
        <v>24.497991967871485</v>
      </c>
      <c r="I1201" s="7">
        <f t="shared" si="74"/>
        <v>42.871485943775099</v>
      </c>
      <c r="J1201" s="7">
        <f t="shared" si="75"/>
        <v>32.630522088353416</v>
      </c>
      <c r="K1201" s="7">
        <f t="shared" si="76"/>
        <v>0</v>
      </c>
    </row>
    <row r="1202" spans="1:11" x14ac:dyDescent="0.35">
      <c r="A1202">
        <v>2021</v>
      </c>
      <c r="B1202">
        <v>3132503</v>
      </c>
      <c r="C1202" t="str">
        <f>VLOOKUP(B1202,SAEB!$A:$B,2,0)</f>
        <v>Itamarandiba</v>
      </c>
      <c r="D1202">
        <v>1291</v>
      </c>
      <c r="E1202">
        <v>258</v>
      </c>
      <c r="F1202">
        <v>243</v>
      </c>
      <c r="G1202">
        <v>66</v>
      </c>
      <c r="H1202" s="7">
        <f t="shared" si="73"/>
        <v>69.483315392895577</v>
      </c>
      <c r="I1202" s="7">
        <f t="shared" si="74"/>
        <v>13.885898815931109</v>
      </c>
      <c r="J1202" s="7">
        <f t="shared" si="75"/>
        <v>13.078579117330463</v>
      </c>
      <c r="K1202" s="7">
        <f t="shared" si="76"/>
        <v>3.5522066738428419</v>
      </c>
    </row>
    <row r="1203" spans="1:11" x14ac:dyDescent="0.35">
      <c r="A1203">
        <v>2021</v>
      </c>
      <c r="B1203">
        <v>3132701</v>
      </c>
      <c r="C1203" t="str">
        <f>VLOOKUP(B1203,SAEB!$A:$B,2,0)</f>
        <v>Itambacuri</v>
      </c>
      <c r="D1203">
        <v>199</v>
      </c>
      <c r="E1203">
        <v>52</v>
      </c>
      <c r="F1203">
        <v>344</v>
      </c>
      <c r="G1203">
        <v>315</v>
      </c>
      <c r="H1203" s="7">
        <f t="shared" si="73"/>
        <v>21.868131868131869</v>
      </c>
      <c r="I1203" s="7">
        <f t="shared" si="74"/>
        <v>5.7142857142857144</v>
      </c>
      <c r="J1203" s="7">
        <f t="shared" si="75"/>
        <v>37.802197802197803</v>
      </c>
      <c r="K1203" s="7">
        <f t="shared" si="76"/>
        <v>34.615384615384613</v>
      </c>
    </row>
    <row r="1204" spans="1:11" x14ac:dyDescent="0.35">
      <c r="A1204">
        <v>2021</v>
      </c>
      <c r="B1204">
        <v>3133204</v>
      </c>
      <c r="C1204" t="str">
        <f>VLOOKUP(B1204,SAEB!$A:$B,2,0)</f>
        <v>Itanhomi</v>
      </c>
      <c r="D1204">
        <v>689</v>
      </c>
      <c r="E1204">
        <v>0</v>
      </c>
      <c r="F1204">
        <v>17</v>
      </c>
      <c r="G1204">
        <v>0</v>
      </c>
      <c r="H1204" s="7">
        <f t="shared" si="73"/>
        <v>97.592067988668546</v>
      </c>
      <c r="I1204" s="7">
        <f t="shared" si="74"/>
        <v>0</v>
      </c>
      <c r="J1204" s="7">
        <f t="shared" si="75"/>
        <v>2.4079320113314444</v>
      </c>
      <c r="K1204" s="7">
        <f t="shared" si="76"/>
        <v>0</v>
      </c>
    </row>
    <row r="1205" spans="1:11" x14ac:dyDescent="0.35">
      <c r="A1205">
        <v>2021</v>
      </c>
      <c r="B1205">
        <v>3133303</v>
      </c>
      <c r="C1205" t="str">
        <f>VLOOKUP(B1205,SAEB!$A:$B,2,0)</f>
        <v>Itaobim</v>
      </c>
      <c r="D1205">
        <v>521</v>
      </c>
      <c r="E1205">
        <v>140</v>
      </c>
      <c r="F1205">
        <v>221</v>
      </c>
      <c r="G1205">
        <v>106</v>
      </c>
      <c r="H1205" s="7">
        <f t="shared" si="73"/>
        <v>52.732793522267208</v>
      </c>
      <c r="I1205" s="7">
        <f t="shared" si="74"/>
        <v>14.17004048582996</v>
      </c>
      <c r="J1205" s="7">
        <f t="shared" si="75"/>
        <v>22.368421052631579</v>
      </c>
      <c r="K1205" s="7">
        <f t="shared" si="76"/>
        <v>10.728744939271255</v>
      </c>
    </row>
    <row r="1206" spans="1:11" x14ac:dyDescent="0.35">
      <c r="A1206">
        <v>2021</v>
      </c>
      <c r="B1206">
        <v>3134004</v>
      </c>
      <c r="C1206" t="str">
        <f>VLOOKUP(B1206,SAEB!$A:$B,2,0)</f>
        <v>Itinga</v>
      </c>
      <c r="D1206">
        <v>241</v>
      </c>
      <c r="E1206">
        <v>0</v>
      </c>
      <c r="F1206">
        <v>267</v>
      </c>
      <c r="G1206">
        <v>214</v>
      </c>
      <c r="H1206" s="7">
        <f t="shared" si="73"/>
        <v>33.37950138504155</v>
      </c>
      <c r="I1206" s="7">
        <f t="shared" si="74"/>
        <v>0</v>
      </c>
      <c r="J1206" s="7">
        <f t="shared" si="75"/>
        <v>36.980609418282548</v>
      </c>
      <c r="K1206" s="7">
        <f t="shared" si="76"/>
        <v>29.639889196675899</v>
      </c>
    </row>
    <row r="1207" spans="1:11" x14ac:dyDescent="0.35">
      <c r="A1207">
        <v>2021</v>
      </c>
      <c r="B1207">
        <v>3134103</v>
      </c>
      <c r="C1207" t="str">
        <f>VLOOKUP(B1207,SAEB!$A:$B,2,0)</f>
        <v>Itueta</v>
      </c>
      <c r="D1207">
        <v>136</v>
      </c>
      <c r="E1207">
        <v>109</v>
      </c>
      <c r="F1207">
        <v>89</v>
      </c>
      <c r="G1207">
        <v>59</v>
      </c>
      <c r="H1207" s="7">
        <f t="shared" si="73"/>
        <v>34.605597964376585</v>
      </c>
      <c r="I1207" s="7">
        <f t="shared" si="74"/>
        <v>27.735368956743002</v>
      </c>
      <c r="J1207" s="7">
        <f t="shared" si="75"/>
        <v>22.646310432569976</v>
      </c>
      <c r="K1207" s="7">
        <f t="shared" si="76"/>
        <v>15.012722646310433</v>
      </c>
    </row>
    <row r="1208" spans="1:11" x14ac:dyDescent="0.35">
      <c r="A1208">
        <v>2021</v>
      </c>
      <c r="B1208">
        <v>3134707</v>
      </c>
      <c r="C1208" t="str">
        <f>VLOOKUP(B1208,SAEB!$A:$B,2,0)</f>
        <v>Jacinto</v>
      </c>
      <c r="D1208">
        <v>579</v>
      </c>
      <c r="E1208">
        <v>0</v>
      </c>
      <c r="F1208">
        <v>53</v>
      </c>
      <c r="G1208">
        <v>23</v>
      </c>
      <c r="H1208" s="7">
        <f t="shared" si="73"/>
        <v>88.396946564885496</v>
      </c>
      <c r="I1208" s="7">
        <f t="shared" si="74"/>
        <v>0</v>
      </c>
      <c r="J1208" s="7">
        <f t="shared" si="75"/>
        <v>8.0916030534351151</v>
      </c>
      <c r="K1208" s="7">
        <f t="shared" si="76"/>
        <v>3.5114503816793894</v>
      </c>
    </row>
    <row r="1209" spans="1:11" x14ac:dyDescent="0.35">
      <c r="A1209">
        <v>2021</v>
      </c>
      <c r="B1209">
        <v>3135050</v>
      </c>
      <c r="C1209" t="str">
        <f>VLOOKUP(B1209,SAEB!$A:$B,2,0)</f>
        <v>Jaíba</v>
      </c>
      <c r="D1209">
        <v>535</v>
      </c>
      <c r="E1209">
        <v>0</v>
      </c>
      <c r="F1209">
        <v>351</v>
      </c>
      <c r="G1209">
        <v>222</v>
      </c>
      <c r="H1209" s="7">
        <f t="shared" si="73"/>
        <v>48.285198555956676</v>
      </c>
      <c r="I1209" s="7">
        <f t="shared" si="74"/>
        <v>0</v>
      </c>
      <c r="J1209" s="7">
        <f t="shared" si="75"/>
        <v>31.678700361010829</v>
      </c>
      <c r="K1209" s="7">
        <f t="shared" si="76"/>
        <v>20.036101083032491</v>
      </c>
    </row>
    <row r="1210" spans="1:11" x14ac:dyDescent="0.35">
      <c r="A1210">
        <v>2021</v>
      </c>
      <c r="B1210">
        <v>3135100</v>
      </c>
      <c r="C1210" t="str">
        <f>VLOOKUP(B1210,SAEB!$A:$B,2,0)</f>
        <v>Janaúba</v>
      </c>
      <c r="D1210">
        <v>1477</v>
      </c>
      <c r="E1210">
        <v>522</v>
      </c>
      <c r="F1210">
        <v>158</v>
      </c>
      <c r="G1210">
        <v>0</v>
      </c>
      <c r="H1210" s="7">
        <f t="shared" si="73"/>
        <v>68.474733426054698</v>
      </c>
      <c r="I1210" s="7">
        <f t="shared" si="74"/>
        <v>24.200278164116828</v>
      </c>
      <c r="J1210" s="7">
        <f t="shared" si="75"/>
        <v>7.3249884098284657</v>
      </c>
      <c r="K1210" s="7">
        <f t="shared" si="76"/>
        <v>0</v>
      </c>
    </row>
    <row r="1211" spans="1:11" x14ac:dyDescent="0.35">
      <c r="A1211">
        <v>2021</v>
      </c>
      <c r="B1211">
        <v>3135209</v>
      </c>
      <c r="C1211" t="str">
        <f>VLOOKUP(B1211,SAEB!$A:$B,2,0)</f>
        <v>Januária</v>
      </c>
      <c r="D1211">
        <v>623</v>
      </c>
      <c r="E1211">
        <v>372</v>
      </c>
      <c r="F1211">
        <v>706</v>
      </c>
      <c r="G1211">
        <v>468</v>
      </c>
      <c r="H1211" s="7">
        <f t="shared" si="73"/>
        <v>28.722913785154446</v>
      </c>
      <c r="I1211" s="7">
        <f t="shared" si="74"/>
        <v>17.150760719225449</v>
      </c>
      <c r="J1211" s="7">
        <f t="shared" si="75"/>
        <v>32.549562010142921</v>
      </c>
      <c r="K1211" s="7">
        <f t="shared" si="76"/>
        <v>21.57676348547718</v>
      </c>
    </row>
    <row r="1212" spans="1:11" x14ac:dyDescent="0.35">
      <c r="A1212">
        <v>2021</v>
      </c>
      <c r="B1212">
        <v>3135357</v>
      </c>
      <c r="C1212" t="str">
        <f>VLOOKUP(B1212,SAEB!$A:$B,2,0)</f>
        <v>Japonvar</v>
      </c>
      <c r="D1212">
        <v>106</v>
      </c>
      <c r="E1212">
        <v>127</v>
      </c>
      <c r="F1212">
        <v>162</v>
      </c>
      <c r="G1212">
        <v>163</v>
      </c>
      <c r="H1212" s="7">
        <f t="shared" si="73"/>
        <v>18.996415770609318</v>
      </c>
      <c r="I1212" s="7">
        <f t="shared" si="74"/>
        <v>22.759856630824373</v>
      </c>
      <c r="J1212" s="7">
        <f t="shared" si="75"/>
        <v>29.032258064516132</v>
      </c>
      <c r="K1212" s="7">
        <f t="shared" si="76"/>
        <v>29.211469534050178</v>
      </c>
    </row>
    <row r="1213" spans="1:11" x14ac:dyDescent="0.35">
      <c r="A1213">
        <v>2021</v>
      </c>
      <c r="B1213">
        <v>3135605</v>
      </c>
      <c r="C1213" t="str">
        <f>VLOOKUP(B1213,SAEB!$A:$B,2,0)</f>
        <v>Jequitaí</v>
      </c>
      <c r="D1213">
        <v>384</v>
      </c>
      <c r="E1213">
        <v>0</v>
      </c>
      <c r="F1213">
        <v>18</v>
      </c>
      <c r="G1213">
        <v>0</v>
      </c>
      <c r="H1213" s="7">
        <f t="shared" si="73"/>
        <v>95.522388059701484</v>
      </c>
      <c r="I1213" s="7">
        <f t="shared" si="74"/>
        <v>0</v>
      </c>
      <c r="J1213" s="7">
        <f t="shared" si="75"/>
        <v>4.4776119402985071</v>
      </c>
      <c r="K1213" s="7">
        <f t="shared" si="76"/>
        <v>0</v>
      </c>
    </row>
    <row r="1214" spans="1:11" x14ac:dyDescent="0.35">
      <c r="A1214">
        <v>2021</v>
      </c>
      <c r="B1214">
        <v>3135803</v>
      </c>
      <c r="C1214" t="str">
        <f>VLOOKUP(B1214,SAEB!$A:$B,2,0)</f>
        <v>Jequitinhonha</v>
      </c>
      <c r="D1214">
        <v>756</v>
      </c>
      <c r="E1214">
        <v>0</v>
      </c>
      <c r="F1214">
        <v>184</v>
      </c>
      <c r="G1214">
        <v>94</v>
      </c>
      <c r="H1214" s="7">
        <f t="shared" si="73"/>
        <v>73.114119922630564</v>
      </c>
      <c r="I1214" s="7">
        <f t="shared" si="74"/>
        <v>0</v>
      </c>
      <c r="J1214" s="7">
        <f t="shared" si="75"/>
        <v>17.794970986460349</v>
      </c>
      <c r="K1214" s="7">
        <f t="shared" si="76"/>
        <v>9.0909090909090917</v>
      </c>
    </row>
    <row r="1215" spans="1:11" x14ac:dyDescent="0.35">
      <c r="A1215">
        <v>2021</v>
      </c>
      <c r="B1215">
        <v>3136009</v>
      </c>
      <c r="C1215" t="str">
        <f>VLOOKUP(B1215,SAEB!$A:$B,2,0)</f>
        <v>Joaíma</v>
      </c>
      <c r="D1215">
        <v>676</v>
      </c>
      <c r="E1215">
        <v>316</v>
      </c>
      <c r="F1215">
        <v>195</v>
      </c>
      <c r="G1215">
        <v>135</v>
      </c>
      <c r="H1215" s="7">
        <f t="shared" si="73"/>
        <v>51.134644478063542</v>
      </c>
      <c r="I1215" s="7">
        <f t="shared" si="74"/>
        <v>23.903177004538577</v>
      </c>
      <c r="J1215" s="7">
        <f t="shared" si="75"/>
        <v>14.750378214826021</v>
      </c>
      <c r="K1215" s="7">
        <f t="shared" si="76"/>
        <v>10.211800302571861</v>
      </c>
    </row>
    <row r="1216" spans="1:11" x14ac:dyDescent="0.35">
      <c r="A1216">
        <v>2021</v>
      </c>
      <c r="B1216">
        <v>3136405</v>
      </c>
      <c r="C1216" t="str">
        <f>VLOOKUP(B1216,SAEB!$A:$B,2,0)</f>
        <v>Joaquim Felício</v>
      </c>
      <c r="D1216">
        <v>223</v>
      </c>
      <c r="E1216">
        <v>266</v>
      </c>
      <c r="F1216">
        <v>0</v>
      </c>
      <c r="G1216">
        <v>0</v>
      </c>
      <c r="H1216" s="7">
        <f t="shared" si="73"/>
        <v>45.603271983640084</v>
      </c>
      <c r="I1216" s="7">
        <f t="shared" si="74"/>
        <v>54.396728016359916</v>
      </c>
      <c r="J1216" s="7">
        <f t="shared" si="75"/>
        <v>0</v>
      </c>
      <c r="K1216" s="7">
        <f t="shared" si="76"/>
        <v>0</v>
      </c>
    </row>
    <row r="1217" spans="1:11" x14ac:dyDescent="0.35">
      <c r="A1217">
        <v>2021</v>
      </c>
      <c r="B1217">
        <v>3136553</v>
      </c>
      <c r="C1217" t="str">
        <f>VLOOKUP(B1217,SAEB!$A:$B,2,0)</f>
        <v>José Raydan</v>
      </c>
      <c r="D1217">
        <v>187</v>
      </c>
      <c r="E1217">
        <v>0</v>
      </c>
      <c r="F1217">
        <v>95</v>
      </c>
      <c r="G1217">
        <v>0</v>
      </c>
      <c r="H1217" s="7">
        <f t="shared" si="73"/>
        <v>66.312056737588648</v>
      </c>
      <c r="I1217" s="7">
        <f t="shared" si="74"/>
        <v>0</v>
      </c>
      <c r="J1217" s="7">
        <f t="shared" si="75"/>
        <v>33.687943262411345</v>
      </c>
      <c r="K1217" s="7">
        <f t="shared" si="76"/>
        <v>0</v>
      </c>
    </row>
    <row r="1218" spans="1:11" x14ac:dyDescent="0.35">
      <c r="A1218">
        <v>2021</v>
      </c>
      <c r="B1218">
        <v>3136801</v>
      </c>
      <c r="C1218" t="str">
        <f>VLOOKUP(B1218,SAEB!$A:$B,2,0)</f>
        <v>Juramento</v>
      </c>
      <c r="D1218">
        <v>175</v>
      </c>
      <c r="E1218">
        <v>0</v>
      </c>
      <c r="F1218">
        <v>54</v>
      </c>
      <c r="G1218">
        <v>0</v>
      </c>
      <c r="H1218" s="7">
        <f t="shared" si="73"/>
        <v>76.419213973799131</v>
      </c>
      <c r="I1218" s="7">
        <f t="shared" si="74"/>
        <v>0</v>
      </c>
      <c r="J1218" s="7">
        <f t="shared" si="75"/>
        <v>23.580786026200872</v>
      </c>
      <c r="K1218" s="7">
        <f t="shared" si="76"/>
        <v>0</v>
      </c>
    </row>
    <row r="1219" spans="1:11" x14ac:dyDescent="0.35">
      <c r="A1219">
        <v>2021</v>
      </c>
      <c r="B1219">
        <v>3136959</v>
      </c>
      <c r="C1219" t="str">
        <f>VLOOKUP(B1219,SAEB!$A:$B,2,0)</f>
        <v>Juvenília</v>
      </c>
      <c r="D1219">
        <v>270</v>
      </c>
      <c r="E1219">
        <v>116</v>
      </c>
      <c r="F1219">
        <v>37</v>
      </c>
      <c r="G1219">
        <v>0</v>
      </c>
      <c r="H1219" s="7">
        <f t="shared" ref="H1219:H1282" si="77">D1219/SUM($D1219:$G1219)*100</f>
        <v>63.829787234042556</v>
      </c>
      <c r="I1219" s="7">
        <f t="shared" ref="I1219:I1282" si="78">E1219/SUM($D1219:$G1219)*100</f>
        <v>27.423167848699766</v>
      </c>
      <c r="J1219" s="7">
        <f t="shared" ref="J1219:J1282" si="79">F1219/SUM($D1219:$G1219)*100</f>
        <v>8.7470449172576838</v>
      </c>
      <c r="K1219" s="7">
        <f t="shared" ref="K1219:K1282" si="80">G1219/SUM($D1219:$G1219)*100</f>
        <v>0</v>
      </c>
    </row>
    <row r="1220" spans="1:11" x14ac:dyDescent="0.35">
      <c r="A1220">
        <v>2021</v>
      </c>
      <c r="B1220">
        <v>3137007</v>
      </c>
      <c r="C1220" t="str">
        <f>VLOOKUP(B1220,SAEB!$A:$B,2,0)</f>
        <v>Ladainha</v>
      </c>
      <c r="D1220">
        <v>0</v>
      </c>
      <c r="E1220">
        <v>0</v>
      </c>
      <c r="F1220">
        <v>477</v>
      </c>
      <c r="G1220">
        <v>179</v>
      </c>
      <c r="H1220" s="7">
        <f t="shared" si="77"/>
        <v>0</v>
      </c>
      <c r="I1220" s="7">
        <f t="shared" si="78"/>
        <v>0</v>
      </c>
      <c r="J1220" s="7">
        <f t="shared" si="79"/>
        <v>72.713414634146346</v>
      </c>
      <c r="K1220" s="7">
        <f t="shared" si="80"/>
        <v>27.286585365853661</v>
      </c>
    </row>
    <row r="1221" spans="1:11" x14ac:dyDescent="0.35">
      <c r="A1221">
        <v>2021</v>
      </c>
      <c r="B1221">
        <v>3137304</v>
      </c>
      <c r="C1221" t="str">
        <f>VLOOKUP(B1221,SAEB!$A:$B,2,0)</f>
        <v>Lagoa dos Patos</v>
      </c>
      <c r="D1221">
        <v>247</v>
      </c>
      <c r="E1221">
        <v>0</v>
      </c>
      <c r="F1221">
        <v>0</v>
      </c>
      <c r="G1221">
        <v>0</v>
      </c>
      <c r="H1221" s="7">
        <f t="shared" si="77"/>
        <v>100</v>
      </c>
      <c r="I1221" s="7">
        <f t="shared" si="78"/>
        <v>0</v>
      </c>
      <c r="J1221" s="7">
        <f t="shared" si="79"/>
        <v>0</v>
      </c>
      <c r="K1221" s="7">
        <f t="shared" si="80"/>
        <v>0</v>
      </c>
    </row>
    <row r="1222" spans="1:11" x14ac:dyDescent="0.35">
      <c r="A1222">
        <v>2021</v>
      </c>
      <c r="B1222">
        <v>3138104</v>
      </c>
      <c r="C1222" t="str">
        <f>VLOOKUP(B1222,SAEB!$A:$B,2,0)</f>
        <v>Lassance</v>
      </c>
      <c r="D1222">
        <v>161</v>
      </c>
      <c r="E1222">
        <v>0</v>
      </c>
      <c r="F1222">
        <v>137</v>
      </c>
      <c r="G1222">
        <v>124</v>
      </c>
      <c r="H1222" s="7">
        <f t="shared" si="77"/>
        <v>38.15165876777251</v>
      </c>
      <c r="I1222" s="7">
        <f t="shared" si="78"/>
        <v>0</v>
      </c>
      <c r="J1222" s="7">
        <f t="shared" si="79"/>
        <v>32.464454976303323</v>
      </c>
      <c r="K1222" s="7">
        <f t="shared" si="80"/>
        <v>29.383886255924168</v>
      </c>
    </row>
    <row r="1223" spans="1:11" x14ac:dyDescent="0.35">
      <c r="A1223">
        <v>2021</v>
      </c>
      <c r="B1223">
        <v>3138351</v>
      </c>
      <c r="C1223" t="str">
        <f>VLOOKUP(B1223,SAEB!$A:$B,2,0)</f>
        <v>Leme do Prado</v>
      </c>
      <c r="D1223">
        <v>46</v>
      </c>
      <c r="E1223">
        <v>0</v>
      </c>
      <c r="F1223">
        <v>151</v>
      </c>
      <c r="G1223">
        <v>71</v>
      </c>
      <c r="H1223" s="7">
        <f t="shared" si="77"/>
        <v>17.164179104477611</v>
      </c>
      <c r="I1223" s="7">
        <f t="shared" si="78"/>
        <v>0</v>
      </c>
      <c r="J1223" s="7">
        <f t="shared" si="79"/>
        <v>56.343283582089555</v>
      </c>
      <c r="K1223" s="7">
        <f t="shared" si="80"/>
        <v>26.492537313432834</v>
      </c>
    </row>
    <row r="1224" spans="1:11" x14ac:dyDescent="0.35">
      <c r="A1224">
        <v>2021</v>
      </c>
      <c r="B1224">
        <v>3138658</v>
      </c>
      <c r="C1224" t="str">
        <f>VLOOKUP(B1224,SAEB!$A:$B,2,0)</f>
        <v>Lontra</v>
      </c>
      <c r="D1224">
        <v>565</v>
      </c>
      <c r="E1224">
        <v>268</v>
      </c>
      <c r="F1224">
        <v>34</v>
      </c>
      <c r="G1224">
        <v>0</v>
      </c>
      <c r="H1224" s="7">
        <f t="shared" si="77"/>
        <v>65.167243367935413</v>
      </c>
      <c r="I1224" s="7">
        <f t="shared" si="78"/>
        <v>30.91118800461361</v>
      </c>
      <c r="J1224" s="7">
        <f t="shared" si="79"/>
        <v>3.9215686274509802</v>
      </c>
      <c r="K1224" s="7">
        <f t="shared" si="80"/>
        <v>0</v>
      </c>
    </row>
    <row r="1225" spans="1:11" x14ac:dyDescent="0.35">
      <c r="A1225">
        <v>2021</v>
      </c>
      <c r="B1225">
        <v>3138906</v>
      </c>
      <c r="C1225" t="str">
        <f>VLOOKUP(B1225,SAEB!$A:$B,2,0)</f>
        <v>Machacalis</v>
      </c>
      <c r="D1225">
        <v>315</v>
      </c>
      <c r="E1225">
        <v>0</v>
      </c>
      <c r="F1225">
        <v>50</v>
      </c>
      <c r="G1225">
        <v>0</v>
      </c>
      <c r="H1225" s="7">
        <f t="shared" si="77"/>
        <v>86.301369863013704</v>
      </c>
      <c r="I1225" s="7">
        <f t="shared" si="78"/>
        <v>0</v>
      </c>
      <c r="J1225" s="7">
        <f t="shared" si="79"/>
        <v>13.698630136986301</v>
      </c>
      <c r="K1225" s="7">
        <f t="shared" si="80"/>
        <v>0</v>
      </c>
    </row>
    <row r="1226" spans="1:11" x14ac:dyDescent="0.35">
      <c r="A1226">
        <v>2021</v>
      </c>
      <c r="B1226">
        <v>3139201</v>
      </c>
      <c r="C1226" t="str">
        <f>VLOOKUP(B1226,SAEB!$A:$B,2,0)</f>
        <v>Malacacheta</v>
      </c>
      <c r="D1226">
        <v>263</v>
      </c>
      <c r="E1226">
        <v>0</v>
      </c>
      <c r="F1226">
        <v>161</v>
      </c>
      <c r="G1226">
        <v>121</v>
      </c>
      <c r="H1226" s="7">
        <f t="shared" si="77"/>
        <v>48.256880733944953</v>
      </c>
      <c r="I1226" s="7">
        <f t="shared" si="78"/>
        <v>0</v>
      </c>
      <c r="J1226" s="7">
        <f t="shared" si="79"/>
        <v>29.541284403669728</v>
      </c>
      <c r="K1226" s="7">
        <f t="shared" si="80"/>
        <v>22.201834862385322</v>
      </c>
    </row>
    <row r="1227" spans="1:11" x14ac:dyDescent="0.35">
      <c r="A1227">
        <v>2021</v>
      </c>
      <c r="B1227">
        <v>3139250</v>
      </c>
      <c r="C1227" t="str">
        <f>VLOOKUP(B1227,SAEB!$A:$B,2,0)</f>
        <v>Mamonas</v>
      </c>
      <c r="D1227">
        <v>287</v>
      </c>
      <c r="E1227">
        <v>0</v>
      </c>
      <c r="F1227">
        <v>18</v>
      </c>
      <c r="G1227">
        <v>0</v>
      </c>
      <c r="H1227" s="7">
        <f t="shared" si="77"/>
        <v>94.098360655737707</v>
      </c>
      <c r="I1227" s="7">
        <f t="shared" si="78"/>
        <v>0</v>
      </c>
      <c r="J1227" s="7">
        <f t="shared" si="79"/>
        <v>5.9016393442622954</v>
      </c>
      <c r="K1227" s="7">
        <f t="shared" si="80"/>
        <v>0</v>
      </c>
    </row>
    <row r="1228" spans="1:11" x14ac:dyDescent="0.35">
      <c r="A1228">
        <v>2021</v>
      </c>
      <c r="B1228">
        <v>3139300</v>
      </c>
      <c r="C1228" t="str">
        <f>VLOOKUP(B1228,SAEB!$A:$B,2,0)</f>
        <v>Manga</v>
      </c>
      <c r="D1228">
        <v>600</v>
      </c>
      <c r="E1228">
        <v>278</v>
      </c>
      <c r="F1228">
        <v>274</v>
      </c>
      <c r="G1228">
        <v>153</v>
      </c>
      <c r="H1228" s="7">
        <f t="shared" si="77"/>
        <v>45.977011494252871</v>
      </c>
      <c r="I1228" s="7">
        <f t="shared" si="78"/>
        <v>21.302681992337163</v>
      </c>
      <c r="J1228" s="7">
        <f t="shared" si="79"/>
        <v>20.996168582375478</v>
      </c>
      <c r="K1228" s="7">
        <f t="shared" si="80"/>
        <v>11.724137931034482</v>
      </c>
    </row>
    <row r="1229" spans="1:11" x14ac:dyDescent="0.35">
      <c r="A1229">
        <v>2021</v>
      </c>
      <c r="B1229">
        <v>3139607</v>
      </c>
      <c r="C1229" t="str">
        <f>VLOOKUP(B1229,SAEB!$A:$B,2,0)</f>
        <v>Mantena</v>
      </c>
      <c r="D1229">
        <v>1307</v>
      </c>
      <c r="E1229">
        <v>482</v>
      </c>
      <c r="F1229">
        <v>149</v>
      </c>
      <c r="G1229">
        <v>127</v>
      </c>
      <c r="H1229" s="7">
        <f t="shared" si="77"/>
        <v>63.292978208232441</v>
      </c>
      <c r="I1229" s="7">
        <f t="shared" si="78"/>
        <v>23.341404358353511</v>
      </c>
      <c r="J1229" s="7">
        <f t="shared" si="79"/>
        <v>7.2154963680387416</v>
      </c>
      <c r="K1229" s="7">
        <f t="shared" si="80"/>
        <v>6.150121065375302</v>
      </c>
    </row>
    <row r="1230" spans="1:11" x14ac:dyDescent="0.35">
      <c r="A1230">
        <v>2021</v>
      </c>
      <c r="B1230">
        <v>3140100</v>
      </c>
      <c r="C1230" t="str">
        <f>VLOOKUP(B1230,SAEB!$A:$B,2,0)</f>
        <v>Marilac</v>
      </c>
      <c r="D1230">
        <v>309</v>
      </c>
      <c r="E1230">
        <v>0</v>
      </c>
      <c r="F1230">
        <v>0</v>
      </c>
      <c r="G1230">
        <v>0</v>
      </c>
      <c r="H1230" s="7">
        <f t="shared" si="77"/>
        <v>100</v>
      </c>
      <c r="I1230" s="7">
        <f t="shared" si="78"/>
        <v>0</v>
      </c>
      <c r="J1230" s="7">
        <f t="shared" si="79"/>
        <v>0</v>
      </c>
      <c r="K1230" s="7">
        <f t="shared" si="80"/>
        <v>0</v>
      </c>
    </row>
    <row r="1231" spans="1:11" x14ac:dyDescent="0.35">
      <c r="A1231">
        <v>2021</v>
      </c>
      <c r="B1231">
        <v>3140605</v>
      </c>
      <c r="C1231" t="str">
        <f>VLOOKUP(B1231,SAEB!$A:$B,2,0)</f>
        <v>Materlândia</v>
      </c>
      <c r="D1231">
        <v>170</v>
      </c>
      <c r="E1231">
        <v>0</v>
      </c>
      <c r="F1231">
        <v>90</v>
      </c>
      <c r="G1231">
        <v>35</v>
      </c>
      <c r="H1231" s="7">
        <f t="shared" si="77"/>
        <v>57.627118644067799</v>
      </c>
      <c r="I1231" s="7">
        <f t="shared" si="78"/>
        <v>0</v>
      </c>
      <c r="J1231" s="7">
        <f t="shared" si="79"/>
        <v>30.508474576271187</v>
      </c>
      <c r="K1231" s="7">
        <f t="shared" si="80"/>
        <v>11.864406779661017</v>
      </c>
    </row>
    <row r="1232" spans="1:11" x14ac:dyDescent="0.35">
      <c r="A1232">
        <v>2021</v>
      </c>
      <c r="B1232">
        <v>3171501</v>
      </c>
      <c r="C1232" t="str">
        <f>VLOOKUP(B1232,SAEB!$A:$B,2,0)</f>
        <v>Mathias Lobato</v>
      </c>
      <c r="D1232">
        <v>255</v>
      </c>
      <c r="E1232">
        <v>0</v>
      </c>
      <c r="F1232">
        <v>0</v>
      </c>
      <c r="G1232">
        <v>0</v>
      </c>
      <c r="H1232" s="7">
        <f t="shared" si="77"/>
        <v>100</v>
      </c>
      <c r="I1232" s="7">
        <f t="shared" si="78"/>
        <v>0</v>
      </c>
      <c r="J1232" s="7">
        <f t="shared" si="79"/>
        <v>0</v>
      </c>
      <c r="K1232" s="7">
        <f t="shared" si="80"/>
        <v>0</v>
      </c>
    </row>
    <row r="1233" spans="1:11" x14ac:dyDescent="0.35">
      <c r="A1233">
        <v>2021</v>
      </c>
      <c r="B1233">
        <v>3140852</v>
      </c>
      <c r="C1233" t="str">
        <f>VLOOKUP(B1233,SAEB!$A:$B,2,0)</f>
        <v>Matias Cardoso</v>
      </c>
      <c r="D1233">
        <v>396</v>
      </c>
      <c r="E1233">
        <v>352</v>
      </c>
      <c r="F1233">
        <v>94</v>
      </c>
      <c r="G1233">
        <v>0</v>
      </c>
      <c r="H1233" s="7">
        <f t="shared" si="77"/>
        <v>47.030878859857481</v>
      </c>
      <c r="I1233" s="7">
        <f t="shared" si="78"/>
        <v>41.805225653206648</v>
      </c>
      <c r="J1233" s="7">
        <f t="shared" si="79"/>
        <v>11.163895486935866</v>
      </c>
      <c r="K1233" s="7">
        <f t="shared" si="80"/>
        <v>0</v>
      </c>
    </row>
    <row r="1234" spans="1:11" x14ac:dyDescent="0.35">
      <c r="A1234">
        <v>2021</v>
      </c>
      <c r="B1234">
        <v>3141009</v>
      </c>
      <c r="C1234" t="str">
        <f>VLOOKUP(B1234,SAEB!$A:$B,2,0)</f>
        <v>Mato Verde</v>
      </c>
      <c r="D1234">
        <v>313</v>
      </c>
      <c r="E1234">
        <v>0</v>
      </c>
      <c r="F1234">
        <v>74</v>
      </c>
      <c r="G1234">
        <v>0</v>
      </c>
      <c r="H1234" s="7">
        <f t="shared" si="77"/>
        <v>80.878552971576227</v>
      </c>
      <c r="I1234" s="7">
        <f t="shared" si="78"/>
        <v>0</v>
      </c>
      <c r="J1234" s="7">
        <f t="shared" si="79"/>
        <v>19.12144702842377</v>
      </c>
      <c r="K1234" s="7">
        <f t="shared" si="80"/>
        <v>0</v>
      </c>
    </row>
    <row r="1235" spans="1:11" x14ac:dyDescent="0.35">
      <c r="A1235">
        <v>2021</v>
      </c>
      <c r="B1235">
        <v>3141405</v>
      </c>
      <c r="C1235" t="str">
        <f>VLOOKUP(B1235,SAEB!$A:$B,2,0)</f>
        <v>Medina</v>
      </c>
      <c r="D1235">
        <v>602</v>
      </c>
      <c r="E1235">
        <v>0</v>
      </c>
      <c r="F1235">
        <v>171</v>
      </c>
      <c r="G1235">
        <v>0</v>
      </c>
      <c r="H1235" s="7">
        <f t="shared" si="77"/>
        <v>77.878395860284613</v>
      </c>
      <c r="I1235" s="7">
        <f t="shared" si="78"/>
        <v>0</v>
      </c>
      <c r="J1235" s="7">
        <f t="shared" si="79"/>
        <v>22.121604139715394</v>
      </c>
      <c r="K1235" s="7">
        <f t="shared" si="80"/>
        <v>0</v>
      </c>
    </row>
    <row r="1236" spans="1:11" x14ac:dyDescent="0.35">
      <c r="A1236">
        <v>2021</v>
      </c>
      <c r="B1236">
        <v>3141504</v>
      </c>
      <c r="C1236" t="str">
        <f>VLOOKUP(B1236,SAEB!$A:$B,2,0)</f>
        <v>Mendes Pimentel</v>
      </c>
      <c r="D1236">
        <v>212</v>
      </c>
      <c r="E1236">
        <v>0</v>
      </c>
      <c r="F1236">
        <v>100</v>
      </c>
      <c r="G1236">
        <v>0</v>
      </c>
      <c r="H1236" s="7">
        <f t="shared" si="77"/>
        <v>67.948717948717956</v>
      </c>
      <c r="I1236" s="7">
        <f t="shared" si="78"/>
        <v>0</v>
      </c>
      <c r="J1236" s="7">
        <f t="shared" si="79"/>
        <v>32.051282051282051</v>
      </c>
      <c r="K1236" s="7">
        <f t="shared" si="80"/>
        <v>0</v>
      </c>
    </row>
    <row r="1237" spans="1:11" x14ac:dyDescent="0.35">
      <c r="A1237">
        <v>2021</v>
      </c>
      <c r="B1237">
        <v>3141801</v>
      </c>
      <c r="C1237" t="str">
        <f>VLOOKUP(B1237,SAEB!$A:$B,2,0)</f>
        <v>Minas Novas</v>
      </c>
      <c r="D1237">
        <v>192</v>
      </c>
      <c r="E1237">
        <v>231</v>
      </c>
      <c r="F1237">
        <v>358</v>
      </c>
      <c r="G1237">
        <v>138</v>
      </c>
      <c r="H1237" s="7">
        <f t="shared" si="77"/>
        <v>20.892274211099021</v>
      </c>
      <c r="I1237" s="7">
        <f t="shared" si="78"/>
        <v>25.136017410228511</v>
      </c>
      <c r="J1237" s="7">
        <f t="shared" si="79"/>
        <v>38.955386289445052</v>
      </c>
      <c r="K1237" s="7">
        <f t="shared" si="80"/>
        <v>15.016322089227421</v>
      </c>
    </row>
    <row r="1238" spans="1:11" x14ac:dyDescent="0.35">
      <c r="A1238">
        <v>2021</v>
      </c>
      <c r="B1238">
        <v>3142007</v>
      </c>
      <c r="C1238" t="str">
        <f>VLOOKUP(B1238,SAEB!$A:$B,2,0)</f>
        <v>Mirabela</v>
      </c>
      <c r="D1238">
        <v>509</v>
      </c>
      <c r="E1238">
        <v>0</v>
      </c>
      <c r="F1238">
        <v>81</v>
      </c>
      <c r="G1238">
        <v>96</v>
      </c>
      <c r="H1238" s="7">
        <f t="shared" si="77"/>
        <v>74.198250728862973</v>
      </c>
      <c r="I1238" s="7">
        <f t="shared" si="78"/>
        <v>0</v>
      </c>
      <c r="J1238" s="7">
        <f t="shared" si="79"/>
        <v>11.807580174927114</v>
      </c>
      <c r="K1238" s="7">
        <f t="shared" si="80"/>
        <v>13.994169096209912</v>
      </c>
    </row>
    <row r="1239" spans="1:11" x14ac:dyDescent="0.35">
      <c r="A1239">
        <v>2021</v>
      </c>
      <c r="B1239">
        <v>3142254</v>
      </c>
      <c r="C1239" t="str">
        <f>VLOOKUP(B1239,SAEB!$A:$B,2,0)</f>
        <v>Miravânia</v>
      </c>
      <c r="D1239">
        <v>0</v>
      </c>
      <c r="E1239">
        <v>0</v>
      </c>
      <c r="F1239">
        <v>117</v>
      </c>
      <c r="G1239">
        <v>137</v>
      </c>
      <c r="H1239" s="7">
        <f t="shared" si="77"/>
        <v>0</v>
      </c>
      <c r="I1239" s="7">
        <f t="shared" si="78"/>
        <v>0</v>
      </c>
      <c r="J1239" s="7">
        <f t="shared" si="79"/>
        <v>46.062992125984252</v>
      </c>
      <c r="K1239" s="7">
        <f t="shared" si="80"/>
        <v>53.937007874015755</v>
      </c>
    </row>
    <row r="1240" spans="1:11" x14ac:dyDescent="0.35">
      <c r="A1240">
        <v>2021</v>
      </c>
      <c r="B1240">
        <v>3142502</v>
      </c>
      <c r="C1240" t="str">
        <f>VLOOKUP(B1240,SAEB!$A:$B,2,0)</f>
        <v>Monjolos</v>
      </c>
      <c r="D1240">
        <v>76</v>
      </c>
      <c r="E1240">
        <v>0</v>
      </c>
      <c r="F1240">
        <v>0</v>
      </c>
      <c r="G1240">
        <v>0</v>
      </c>
      <c r="H1240" s="7">
        <f t="shared" si="77"/>
        <v>100</v>
      </c>
      <c r="I1240" s="7">
        <f t="shared" si="78"/>
        <v>0</v>
      </c>
      <c r="J1240" s="7">
        <f t="shared" si="79"/>
        <v>0</v>
      </c>
      <c r="K1240" s="7">
        <f t="shared" si="80"/>
        <v>0</v>
      </c>
    </row>
    <row r="1241" spans="1:11" x14ac:dyDescent="0.35">
      <c r="A1241">
        <v>2021</v>
      </c>
      <c r="B1241">
        <v>3142700</v>
      </c>
      <c r="C1241" t="str">
        <f>VLOOKUP(B1241,SAEB!$A:$B,2,0)</f>
        <v>Montalvânia</v>
      </c>
      <c r="D1241">
        <v>281</v>
      </c>
      <c r="E1241">
        <v>64</v>
      </c>
      <c r="F1241">
        <v>169</v>
      </c>
      <c r="G1241">
        <v>20</v>
      </c>
      <c r="H1241" s="7">
        <f t="shared" si="77"/>
        <v>52.621722846441941</v>
      </c>
      <c r="I1241" s="7">
        <f t="shared" si="78"/>
        <v>11.985018726591761</v>
      </c>
      <c r="J1241" s="7">
        <f t="shared" si="79"/>
        <v>31.647940074906366</v>
      </c>
      <c r="K1241" s="7">
        <f t="shared" si="80"/>
        <v>3.7453183520599254</v>
      </c>
    </row>
    <row r="1242" spans="1:11" x14ac:dyDescent="0.35">
      <c r="A1242">
        <v>2021</v>
      </c>
      <c r="B1242">
        <v>3143153</v>
      </c>
      <c r="C1242" t="str">
        <f>VLOOKUP(B1242,SAEB!$A:$B,2,0)</f>
        <v>Monte Formoso</v>
      </c>
      <c r="D1242">
        <v>176</v>
      </c>
      <c r="E1242">
        <v>0</v>
      </c>
      <c r="F1242">
        <v>119</v>
      </c>
      <c r="G1242">
        <v>0</v>
      </c>
      <c r="H1242" s="7">
        <f t="shared" si="77"/>
        <v>59.661016949152547</v>
      </c>
      <c r="I1242" s="7">
        <f t="shared" si="78"/>
        <v>0</v>
      </c>
      <c r="J1242" s="7">
        <f t="shared" si="79"/>
        <v>40.33898305084746</v>
      </c>
      <c r="K1242" s="7">
        <f t="shared" si="80"/>
        <v>0</v>
      </c>
    </row>
    <row r="1243" spans="1:11" x14ac:dyDescent="0.35">
      <c r="A1243">
        <v>2021</v>
      </c>
      <c r="B1243">
        <v>3143302</v>
      </c>
      <c r="C1243" t="str">
        <f>VLOOKUP(B1243,SAEB!$A:$B,2,0)</f>
        <v>Montes Claros</v>
      </c>
      <c r="D1243">
        <v>9937</v>
      </c>
      <c r="E1243">
        <v>6161</v>
      </c>
      <c r="F1243">
        <v>1311</v>
      </c>
      <c r="G1243">
        <v>746</v>
      </c>
      <c r="H1243" s="7">
        <f t="shared" si="77"/>
        <v>54.734232993665657</v>
      </c>
      <c r="I1243" s="7">
        <f t="shared" si="78"/>
        <v>33.935554943541725</v>
      </c>
      <c r="J1243" s="7">
        <f t="shared" si="79"/>
        <v>7.2211511980170755</v>
      </c>
      <c r="K1243" s="7">
        <f t="shared" si="80"/>
        <v>4.109060864775544</v>
      </c>
    </row>
    <row r="1244" spans="1:11" x14ac:dyDescent="0.35">
      <c r="A1244">
        <v>2021</v>
      </c>
      <c r="B1244">
        <v>3143450</v>
      </c>
      <c r="C1244" t="str">
        <f>VLOOKUP(B1244,SAEB!$A:$B,2,0)</f>
        <v>Montezuma</v>
      </c>
      <c r="D1244">
        <v>287</v>
      </c>
      <c r="E1244">
        <v>0</v>
      </c>
      <c r="F1244">
        <v>106</v>
      </c>
      <c r="G1244">
        <v>0</v>
      </c>
      <c r="H1244" s="7">
        <f t="shared" si="77"/>
        <v>73.027989821882954</v>
      </c>
      <c r="I1244" s="7">
        <f t="shared" si="78"/>
        <v>0</v>
      </c>
      <c r="J1244" s="7">
        <f t="shared" si="79"/>
        <v>26.972010178117049</v>
      </c>
      <c r="K1244" s="7">
        <f t="shared" si="80"/>
        <v>0</v>
      </c>
    </row>
    <row r="1245" spans="1:11" x14ac:dyDescent="0.35">
      <c r="A1245">
        <v>2021</v>
      </c>
      <c r="B1245">
        <v>3143609</v>
      </c>
      <c r="C1245" t="str">
        <f>VLOOKUP(B1245,SAEB!$A:$B,2,0)</f>
        <v>Morro da Garça</v>
      </c>
      <c r="D1245">
        <v>130</v>
      </c>
      <c r="E1245">
        <v>138</v>
      </c>
      <c r="F1245">
        <v>15</v>
      </c>
      <c r="G1245">
        <v>17</v>
      </c>
      <c r="H1245" s="7">
        <f t="shared" si="77"/>
        <v>43.333333333333336</v>
      </c>
      <c r="I1245" s="7">
        <f t="shared" si="78"/>
        <v>46</v>
      </c>
      <c r="J1245" s="7">
        <f t="shared" si="79"/>
        <v>5</v>
      </c>
      <c r="K1245" s="7">
        <f t="shared" si="80"/>
        <v>5.6666666666666661</v>
      </c>
    </row>
    <row r="1246" spans="1:11" x14ac:dyDescent="0.35">
      <c r="A1246">
        <v>2021</v>
      </c>
      <c r="B1246">
        <v>3144003</v>
      </c>
      <c r="C1246" t="str">
        <f>VLOOKUP(B1246,SAEB!$A:$B,2,0)</f>
        <v>Mutum</v>
      </c>
      <c r="D1246">
        <v>464</v>
      </c>
      <c r="E1246">
        <v>0</v>
      </c>
      <c r="F1246">
        <v>320</v>
      </c>
      <c r="G1246">
        <v>129</v>
      </c>
      <c r="H1246" s="7">
        <f t="shared" si="77"/>
        <v>50.821467688937574</v>
      </c>
      <c r="I1246" s="7">
        <f t="shared" si="78"/>
        <v>0</v>
      </c>
      <c r="J1246" s="7">
        <f t="shared" si="79"/>
        <v>35.049288061336256</v>
      </c>
      <c r="K1246" s="7">
        <f t="shared" si="80"/>
        <v>14.129244249726177</v>
      </c>
    </row>
    <row r="1247" spans="1:11" x14ac:dyDescent="0.35">
      <c r="A1247">
        <v>2021</v>
      </c>
      <c r="B1247">
        <v>3144201</v>
      </c>
      <c r="C1247" t="str">
        <f>VLOOKUP(B1247,SAEB!$A:$B,2,0)</f>
        <v>Nacip Raydan</v>
      </c>
      <c r="D1247">
        <v>154</v>
      </c>
      <c r="E1247">
        <v>0</v>
      </c>
      <c r="F1247">
        <v>5</v>
      </c>
      <c r="G1247">
        <v>0</v>
      </c>
      <c r="H1247" s="7">
        <f t="shared" si="77"/>
        <v>96.855345911949684</v>
      </c>
      <c r="I1247" s="7">
        <f t="shared" si="78"/>
        <v>0</v>
      </c>
      <c r="J1247" s="7">
        <f t="shared" si="79"/>
        <v>3.1446540880503147</v>
      </c>
      <c r="K1247" s="7">
        <f t="shared" si="80"/>
        <v>0</v>
      </c>
    </row>
    <row r="1248" spans="1:11" x14ac:dyDescent="0.35">
      <c r="A1248">
        <v>2021</v>
      </c>
      <c r="B1248">
        <v>3144300</v>
      </c>
      <c r="C1248" t="str">
        <f>VLOOKUP(B1248,SAEB!$A:$B,2,0)</f>
        <v>Nanuque</v>
      </c>
      <c r="D1248">
        <v>494</v>
      </c>
      <c r="E1248">
        <v>328</v>
      </c>
      <c r="F1248">
        <v>121</v>
      </c>
      <c r="G1248">
        <v>100</v>
      </c>
      <c r="H1248" s="7">
        <f t="shared" si="77"/>
        <v>47.363374880153401</v>
      </c>
      <c r="I1248" s="7">
        <f t="shared" si="78"/>
        <v>31.447746883988493</v>
      </c>
      <c r="J1248" s="7">
        <f t="shared" si="79"/>
        <v>11.601150527325025</v>
      </c>
      <c r="K1248" s="7">
        <f t="shared" si="80"/>
        <v>9.5877277085330785</v>
      </c>
    </row>
    <row r="1249" spans="1:11" x14ac:dyDescent="0.35">
      <c r="A1249">
        <v>2021</v>
      </c>
      <c r="B1249">
        <v>3144359</v>
      </c>
      <c r="C1249" t="str">
        <f>VLOOKUP(B1249,SAEB!$A:$B,2,0)</f>
        <v>Naque</v>
      </c>
      <c r="D1249">
        <v>510</v>
      </c>
      <c r="E1249">
        <v>0</v>
      </c>
      <c r="F1249">
        <v>0</v>
      </c>
      <c r="G1249">
        <v>0</v>
      </c>
      <c r="H1249" s="7">
        <f t="shared" si="77"/>
        <v>100</v>
      </c>
      <c r="I1249" s="7">
        <f t="shared" si="78"/>
        <v>0</v>
      </c>
      <c r="J1249" s="7">
        <f t="shared" si="79"/>
        <v>0</v>
      </c>
      <c r="K1249" s="7">
        <f t="shared" si="80"/>
        <v>0</v>
      </c>
    </row>
    <row r="1250" spans="1:11" x14ac:dyDescent="0.35">
      <c r="A1250">
        <v>2021</v>
      </c>
      <c r="B1250">
        <v>3144375</v>
      </c>
      <c r="C1250" t="str">
        <f>VLOOKUP(B1250,SAEB!$A:$B,2,0)</f>
        <v>Natalândia</v>
      </c>
      <c r="D1250">
        <v>281</v>
      </c>
      <c r="E1250">
        <v>0</v>
      </c>
      <c r="F1250">
        <v>0</v>
      </c>
      <c r="G1250">
        <v>0</v>
      </c>
      <c r="H1250" s="7">
        <f t="shared" si="77"/>
        <v>100</v>
      </c>
      <c r="I1250" s="7">
        <f t="shared" si="78"/>
        <v>0</v>
      </c>
      <c r="J1250" s="7">
        <f t="shared" si="79"/>
        <v>0</v>
      </c>
      <c r="K1250" s="7">
        <f t="shared" si="80"/>
        <v>0</v>
      </c>
    </row>
    <row r="1251" spans="1:11" x14ac:dyDescent="0.35">
      <c r="A1251">
        <v>2021</v>
      </c>
      <c r="B1251">
        <v>3144656</v>
      </c>
      <c r="C1251" t="str">
        <f>VLOOKUP(B1251,SAEB!$A:$B,2,0)</f>
        <v>Ninheira</v>
      </c>
      <c r="D1251">
        <v>321</v>
      </c>
      <c r="E1251">
        <v>0</v>
      </c>
      <c r="F1251">
        <v>263</v>
      </c>
      <c r="G1251">
        <v>0</v>
      </c>
      <c r="H1251" s="7">
        <f t="shared" si="77"/>
        <v>54.965753424657535</v>
      </c>
      <c r="I1251" s="7">
        <f t="shared" si="78"/>
        <v>0</v>
      </c>
      <c r="J1251" s="7">
        <f t="shared" si="79"/>
        <v>45.034246575342465</v>
      </c>
      <c r="K1251" s="7">
        <f t="shared" si="80"/>
        <v>0</v>
      </c>
    </row>
    <row r="1252" spans="1:11" x14ac:dyDescent="0.35">
      <c r="A1252">
        <v>2021</v>
      </c>
      <c r="B1252">
        <v>3144672</v>
      </c>
      <c r="C1252" t="str">
        <f>VLOOKUP(B1252,SAEB!$A:$B,2,0)</f>
        <v>Nova Belém</v>
      </c>
      <c r="D1252">
        <v>151</v>
      </c>
      <c r="E1252">
        <v>0</v>
      </c>
      <c r="F1252">
        <v>74</v>
      </c>
      <c r="G1252">
        <v>0</v>
      </c>
      <c r="H1252" s="7">
        <f t="shared" si="77"/>
        <v>67.111111111111114</v>
      </c>
      <c r="I1252" s="7">
        <f t="shared" si="78"/>
        <v>0</v>
      </c>
      <c r="J1252" s="7">
        <f t="shared" si="79"/>
        <v>32.888888888888893</v>
      </c>
      <c r="K1252" s="7">
        <f t="shared" si="80"/>
        <v>0</v>
      </c>
    </row>
    <row r="1253" spans="1:11" x14ac:dyDescent="0.35">
      <c r="A1253">
        <v>2021</v>
      </c>
      <c r="B1253">
        <v>3145059</v>
      </c>
      <c r="C1253" t="str">
        <f>VLOOKUP(B1253,SAEB!$A:$B,2,0)</f>
        <v>Nova Porteirinha</v>
      </c>
      <c r="D1253">
        <v>215</v>
      </c>
      <c r="E1253">
        <v>80</v>
      </c>
      <c r="F1253">
        <v>144</v>
      </c>
      <c r="G1253">
        <v>0</v>
      </c>
      <c r="H1253" s="7">
        <f t="shared" si="77"/>
        <v>48.974943052391801</v>
      </c>
      <c r="I1253" s="7">
        <f t="shared" si="78"/>
        <v>18.223234624145785</v>
      </c>
      <c r="J1253" s="7">
        <f t="shared" si="79"/>
        <v>32.801822323462417</v>
      </c>
      <c r="K1253" s="7">
        <f t="shared" si="80"/>
        <v>0</v>
      </c>
    </row>
    <row r="1254" spans="1:11" x14ac:dyDescent="0.35">
      <c r="A1254">
        <v>2021</v>
      </c>
      <c r="B1254">
        <v>3145356</v>
      </c>
      <c r="C1254" t="str">
        <f>VLOOKUP(B1254,SAEB!$A:$B,2,0)</f>
        <v>Novo Oriente de Minas</v>
      </c>
      <c r="D1254">
        <v>247</v>
      </c>
      <c r="E1254">
        <v>0</v>
      </c>
      <c r="F1254">
        <v>260</v>
      </c>
      <c r="G1254">
        <v>86</v>
      </c>
      <c r="H1254" s="7">
        <f t="shared" si="77"/>
        <v>41.652613827993257</v>
      </c>
      <c r="I1254" s="7">
        <f t="shared" si="78"/>
        <v>0</v>
      </c>
      <c r="J1254" s="7">
        <f t="shared" si="79"/>
        <v>43.844856661045533</v>
      </c>
      <c r="K1254" s="7">
        <f t="shared" si="80"/>
        <v>14.502529510961216</v>
      </c>
    </row>
    <row r="1255" spans="1:11" x14ac:dyDescent="0.35">
      <c r="A1255">
        <v>2021</v>
      </c>
      <c r="B1255">
        <v>3145372</v>
      </c>
      <c r="C1255" t="str">
        <f>VLOOKUP(B1255,SAEB!$A:$B,2,0)</f>
        <v>Novorizonte</v>
      </c>
      <c r="D1255">
        <v>0</v>
      </c>
      <c r="E1255">
        <v>0</v>
      </c>
      <c r="F1255">
        <v>313</v>
      </c>
      <c r="G1255">
        <v>81</v>
      </c>
      <c r="H1255" s="7">
        <f t="shared" si="77"/>
        <v>0</v>
      </c>
      <c r="I1255" s="7">
        <f t="shared" si="78"/>
        <v>0</v>
      </c>
      <c r="J1255" s="7">
        <f t="shared" si="79"/>
        <v>79.441624365482227</v>
      </c>
      <c r="K1255" s="7">
        <f t="shared" si="80"/>
        <v>20.558375634517766</v>
      </c>
    </row>
    <row r="1256" spans="1:11" x14ac:dyDescent="0.35">
      <c r="A1256">
        <v>2021</v>
      </c>
      <c r="B1256">
        <v>3145455</v>
      </c>
      <c r="C1256" t="str">
        <f>VLOOKUP(B1256,SAEB!$A:$B,2,0)</f>
        <v>Olhos-d'Água</v>
      </c>
      <c r="D1256">
        <v>341</v>
      </c>
      <c r="E1256">
        <v>0</v>
      </c>
      <c r="F1256">
        <v>69</v>
      </c>
      <c r="G1256">
        <v>0</v>
      </c>
      <c r="H1256" s="7">
        <f t="shared" si="77"/>
        <v>83.170731707317074</v>
      </c>
      <c r="I1256" s="7">
        <f t="shared" si="78"/>
        <v>0</v>
      </c>
      <c r="J1256" s="7">
        <f t="shared" si="79"/>
        <v>16.829268292682929</v>
      </c>
      <c r="K1256" s="7">
        <f t="shared" si="80"/>
        <v>0</v>
      </c>
    </row>
    <row r="1257" spans="1:11" x14ac:dyDescent="0.35">
      <c r="A1257">
        <v>2021</v>
      </c>
      <c r="B1257">
        <v>3146305</v>
      </c>
      <c r="C1257" t="str">
        <f>VLOOKUP(B1257,SAEB!$A:$B,2,0)</f>
        <v>Padre Paraíso</v>
      </c>
      <c r="D1257">
        <v>395</v>
      </c>
      <c r="E1257">
        <v>0</v>
      </c>
      <c r="F1257">
        <v>326</v>
      </c>
      <c r="G1257">
        <v>383</v>
      </c>
      <c r="H1257" s="7">
        <f t="shared" si="77"/>
        <v>35.778985507246375</v>
      </c>
      <c r="I1257" s="7">
        <f t="shared" si="78"/>
        <v>0</v>
      </c>
      <c r="J1257" s="7">
        <f t="shared" si="79"/>
        <v>29.528985507246375</v>
      </c>
      <c r="K1257" s="7">
        <f t="shared" si="80"/>
        <v>34.692028985507243</v>
      </c>
    </row>
    <row r="1258" spans="1:11" x14ac:dyDescent="0.35">
      <c r="A1258">
        <v>2021</v>
      </c>
      <c r="B1258">
        <v>3146552</v>
      </c>
      <c r="C1258" t="str">
        <f>VLOOKUP(B1258,SAEB!$A:$B,2,0)</f>
        <v>Pai Pedro</v>
      </c>
      <c r="D1258">
        <v>250</v>
      </c>
      <c r="E1258">
        <v>0</v>
      </c>
      <c r="F1258">
        <v>167</v>
      </c>
      <c r="G1258">
        <v>133</v>
      </c>
      <c r="H1258" s="7">
        <f t="shared" si="77"/>
        <v>45.454545454545453</v>
      </c>
      <c r="I1258" s="7">
        <f t="shared" si="78"/>
        <v>0</v>
      </c>
      <c r="J1258" s="7">
        <f t="shared" si="79"/>
        <v>30.363636363636363</v>
      </c>
      <c r="K1258" s="7">
        <f t="shared" si="80"/>
        <v>24.181818181818183</v>
      </c>
    </row>
    <row r="1259" spans="1:11" x14ac:dyDescent="0.35">
      <c r="A1259">
        <v>2021</v>
      </c>
      <c r="B1259">
        <v>3146750</v>
      </c>
      <c r="C1259" t="str">
        <f>VLOOKUP(B1259,SAEB!$A:$B,2,0)</f>
        <v>Palmópolis</v>
      </c>
      <c r="D1259">
        <v>291</v>
      </c>
      <c r="E1259">
        <v>34</v>
      </c>
      <c r="F1259">
        <v>8</v>
      </c>
      <c r="G1259">
        <v>0</v>
      </c>
      <c r="H1259" s="7">
        <f t="shared" si="77"/>
        <v>87.387387387387378</v>
      </c>
      <c r="I1259" s="7">
        <f t="shared" si="78"/>
        <v>10.21021021021021</v>
      </c>
      <c r="J1259" s="7">
        <f t="shared" si="79"/>
        <v>2.4024024024024024</v>
      </c>
      <c r="K1259" s="7">
        <f t="shared" si="80"/>
        <v>0</v>
      </c>
    </row>
    <row r="1260" spans="1:11" x14ac:dyDescent="0.35">
      <c r="A1260">
        <v>2021</v>
      </c>
      <c r="B1260">
        <v>3147956</v>
      </c>
      <c r="C1260" t="str">
        <f>VLOOKUP(B1260,SAEB!$A:$B,2,0)</f>
        <v>Patis</v>
      </c>
      <c r="D1260">
        <v>176</v>
      </c>
      <c r="E1260">
        <v>151</v>
      </c>
      <c r="F1260">
        <v>54</v>
      </c>
      <c r="G1260">
        <v>77</v>
      </c>
      <c r="H1260" s="7">
        <f t="shared" si="77"/>
        <v>38.427947598253276</v>
      </c>
      <c r="I1260" s="7">
        <f t="shared" si="78"/>
        <v>32.969432314410483</v>
      </c>
      <c r="J1260" s="7">
        <f t="shared" si="79"/>
        <v>11.790393013100436</v>
      </c>
      <c r="K1260" s="7">
        <f t="shared" si="80"/>
        <v>16.812227074235807</v>
      </c>
    </row>
    <row r="1261" spans="1:11" x14ac:dyDescent="0.35">
      <c r="A1261">
        <v>2021</v>
      </c>
      <c r="B1261">
        <v>3148608</v>
      </c>
      <c r="C1261" t="str">
        <f>VLOOKUP(B1261,SAEB!$A:$B,2,0)</f>
        <v>Peçanha</v>
      </c>
      <c r="D1261">
        <v>0</v>
      </c>
      <c r="E1261">
        <v>0</v>
      </c>
      <c r="F1261">
        <v>349</v>
      </c>
      <c r="G1261">
        <v>321</v>
      </c>
      <c r="H1261" s="7">
        <f t="shared" si="77"/>
        <v>0</v>
      </c>
      <c r="I1261" s="7">
        <f t="shared" si="78"/>
        <v>0</v>
      </c>
      <c r="J1261" s="7">
        <f t="shared" si="79"/>
        <v>52.089552238805972</v>
      </c>
      <c r="K1261" s="7">
        <f t="shared" si="80"/>
        <v>47.910447761194028</v>
      </c>
    </row>
    <row r="1262" spans="1:11" x14ac:dyDescent="0.35">
      <c r="A1262">
        <v>2021</v>
      </c>
      <c r="B1262">
        <v>3148707</v>
      </c>
      <c r="C1262" t="str">
        <f>VLOOKUP(B1262,SAEB!$A:$B,2,0)</f>
        <v>Pedra Azul</v>
      </c>
      <c r="D1262">
        <v>1207</v>
      </c>
      <c r="E1262">
        <v>147</v>
      </c>
      <c r="F1262">
        <v>59</v>
      </c>
      <c r="G1262">
        <v>0</v>
      </c>
      <c r="H1262" s="7">
        <f t="shared" si="77"/>
        <v>85.421089879688608</v>
      </c>
      <c r="I1262" s="7">
        <f t="shared" si="78"/>
        <v>10.40339702760085</v>
      </c>
      <c r="J1262" s="7">
        <f t="shared" si="79"/>
        <v>4.1755130927105446</v>
      </c>
      <c r="K1262" s="7">
        <f t="shared" si="80"/>
        <v>0</v>
      </c>
    </row>
    <row r="1263" spans="1:11" x14ac:dyDescent="0.35">
      <c r="A1263">
        <v>2021</v>
      </c>
      <c r="B1263">
        <v>3149952</v>
      </c>
      <c r="C1263" t="str">
        <f>VLOOKUP(B1263,SAEB!$A:$B,2,0)</f>
        <v>Periquito</v>
      </c>
      <c r="D1263">
        <v>542</v>
      </c>
      <c r="E1263">
        <v>236</v>
      </c>
      <c r="F1263">
        <v>0</v>
      </c>
      <c r="G1263">
        <v>0</v>
      </c>
      <c r="H1263" s="7">
        <f t="shared" si="77"/>
        <v>69.66580976863753</v>
      </c>
      <c r="I1263" s="7">
        <f t="shared" si="78"/>
        <v>30.334190231362467</v>
      </c>
      <c r="J1263" s="7">
        <f t="shared" si="79"/>
        <v>0</v>
      </c>
      <c r="K1263" s="7">
        <f t="shared" si="80"/>
        <v>0</v>
      </c>
    </row>
    <row r="1264" spans="1:11" x14ac:dyDescent="0.35">
      <c r="A1264">
        <v>2021</v>
      </c>
      <c r="B1264">
        <v>3150158</v>
      </c>
      <c r="C1264" t="str">
        <f>VLOOKUP(B1264,SAEB!$A:$B,2,0)</f>
        <v>Piedade de Caratinga</v>
      </c>
      <c r="D1264">
        <v>573</v>
      </c>
      <c r="E1264">
        <v>0</v>
      </c>
      <c r="F1264">
        <v>69</v>
      </c>
      <c r="G1264">
        <v>0</v>
      </c>
      <c r="H1264" s="7">
        <f t="shared" si="77"/>
        <v>89.252336448598129</v>
      </c>
      <c r="I1264" s="7">
        <f t="shared" si="78"/>
        <v>0</v>
      </c>
      <c r="J1264" s="7">
        <f t="shared" si="79"/>
        <v>10.747663551401869</v>
      </c>
      <c r="K1264" s="7">
        <f t="shared" si="80"/>
        <v>0</v>
      </c>
    </row>
    <row r="1265" spans="1:11" x14ac:dyDescent="0.35">
      <c r="A1265">
        <v>2021</v>
      </c>
      <c r="B1265">
        <v>3150570</v>
      </c>
      <c r="C1265" t="str">
        <f>VLOOKUP(B1265,SAEB!$A:$B,2,0)</f>
        <v>Pintópolis</v>
      </c>
      <c r="D1265">
        <v>338</v>
      </c>
      <c r="E1265">
        <v>0</v>
      </c>
      <c r="F1265">
        <v>87</v>
      </c>
      <c r="G1265">
        <v>0</v>
      </c>
      <c r="H1265" s="7">
        <f t="shared" si="77"/>
        <v>79.529411764705884</v>
      </c>
      <c r="I1265" s="7">
        <f t="shared" si="78"/>
        <v>0</v>
      </c>
      <c r="J1265" s="7">
        <f t="shared" si="79"/>
        <v>20.47058823529412</v>
      </c>
      <c r="K1265" s="7">
        <f t="shared" si="80"/>
        <v>0</v>
      </c>
    </row>
    <row r="1266" spans="1:11" x14ac:dyDescent="0.35">
      <c r="A1266">
        <v>2021</v>
      </c>
      <c r="B1266">
        <v>3151206</v>
      </c>
      <c r="C1266" t="str">
        <f>VLOOKUP(B1266,SAEB!$A:$B,2,0)</f>
        <v>Pirapora</v>
      </c>
      <c r="D1266">
        <v>2961</v>
      </c>
      <c r="E1266">
        <v>121</v>
      </c>
      <c r="F1266">
        <v>0</v>
      </c>
      <c r="G1266">
        <v>0</v>
      </c>
      <c r="H1266" s="7">
        <f t="shared" si="77"/>
        <v>96.07397793640493</v>
      </c>
      <c r="I1266" s="7">
        <f t="shared" si="78"/>
        <v>3.926022063595068</v>
      </c>
      <c r="J1266" s="7">
        <f t="shared" si="79"/>
        <v>0</v>
      </c>
      <c r="K1266" s="7">
        <f t="shared" si="80"/>
        <v>0</v>
      </c>
    </row>
    <row r="1267" spans="1:11" x14ac:dyDescent="0.35">
      <c r="A1267">
        <v>2021</v>
      </c>
      <c r="B1267">
        <v>3152170</v>
      </c>
      <c r="C1267" t="str">
        <f>VLOOKUP(B1267,SAEB!$A:$B,2,0)</f>
        <v>Ponto dos Volantes</v>
      </c>
      <c r="D1267">
        <v>432</v>
      </c>
      <c r="E1267">
        <v>286</v>
      </c>
      <c r="F1267">
        <v>330</v>
      </c>
      <c r="G1267">
        <v>351</v>
      </c>
      <c r="H1267" s="7">
        <f t="shared" si="77"/>
        <v>30.879199428162973</v>
      </c>
      <c r="I1267" s="7">
        <f t="shared" si="78"/>
        <v>20.443173695496782</v>
      </c>
      <c r="J1267" s="7">
        <f t="shared" si="79"/>
        <v>23.588277340957827</v>
      </c>
      <c r="K1267" s="7">
        <f t="shared" si="80"/>
        <v>25.089349535382414</v>
      </c>
    </row>
    <row r="1268" spans="1:11" x14ac:dyDescent="0.35">
      <c r="A1268">
        <v>2021</v>
      </c>
      <c r="B1268">
        <v>3152402</v>
      </c>
      <c r="C1268" t="str">
        <f>VLOOKUP(B1268,SAEB!$A:$B,2,0)</f>
        <v>Poté</v>
      </c>
      <c r="D1268">
        <v>516</v>
      </c>
      <c r="E1268">
        <v>272</v>
      </c>
      <c r="F1268">
        <v>69</v>
      </c>
      <c r="G1268">
        <v>0</v>
      </c>
      <c r="H1268" s="7">
        <f t="shared" si="77"/>
        <v>60.210035005834307</v>
      </c>
      <c r="I1268" s="7">
        <f t="shared" si="78"/>
        <v>31.738623103850642</v>
      </c>
      <c r="J1268" s="7">
        <f t="shared" si="79"/>
        <v>8.0513418903150527</v>
      </c>
      <c r="K1268" s="7">
        <f t="shared" si="80"/>
        <v>0</v>
      </c>
    </row>
    <row r="1269" spans="1:11" x14ac:dyDescent="0.35">
      <c r="A1269">
        <v>2021</v>
      </c>
      <c r="B1269">
        <v>3153301</v>
      </c>
      <c r="C1269" t="str">
        <f>VLOOKUP(B1269,SAEB!$A:$B,2,0)</f>
        <v>Presidente Kubitschek</v>
      </c>
      <c r="D1269">
        <v>252</v>
      </c>
      <c r="E1269">
        <v>0</v>
      </c>
      <c r="F1269">
        <v>0</v>
      </c>
      <c r="G1269">
        <v>0</v>
      </c>
      <c r="H1269" s="7">
        <f t="shared" si="77"/>
        <v>100</v>
      </c>
      <c r="I1269" s="7">
        <f t="shared" si="78"/>
        <v>0</v>
      </c>
      <c r="J1269" s="7">
        <f t="shared" si="79"/>
        <v>0</v>
      </c>
      <c r="K1269" s="7">
        <f t="shared" si="80"/>
        <v>0</v>
      </c>
    </row>
    <row r="1270" spans="1:11" x14ac:dyDescent="0.35">
      <c r="A1270">
        <v>2021</v>
      </c>
      <c r="B1270">
        <v>3154309</v>
      </c>
      <c r="C1270" t="str">
        <f>VLOOKUP(B1270,SAEB!$A:$B,2,0)</f>
        <v>Resplendor</v>
      </c>
      <c r="D1270">
        <v>815</v>
      </c>
      <c r="E1270">
        <v>593</v>
      </c>
      <c r="F1270">
        <v>0</v>
      </c>
      <c r="G1270">
        <v>0</v>
      </c>
      <c r="H1270" s="7">
        <f t="shared" si="77"/>
        <v>57.883522727272727</v>
      </c>
      <c r="I1270" s="7">
        <f t="shared" si="78"/>
        <v>42.116477272727273</v>
      </c>
      <c r="J1270" s="7">
        <f t="shared" si="79"/>
        <v>0</v>
      </c>
      <c r="K1270" s="7">
        <f t="shared" si="80"/>
        <v>0</v>
      </c>
    </row>
    <row r="1271" spans="1:11" x14ac:dyDescent="0.35">
      <c r="A1271">
        <v>2021</v>
      </c>
      <c r="B1271">
        <v>3155108</v>
      </c>
      <c r="C1271" t="str">
        <f>VLOOKUP(B1271,SAEB!$A:$B,2,0)</f>
        <v>Rio do Prado</v>
      </c>
      <c r="D1271">
        <v>0</v>
      </c>
      <c r="E1271">
        <v>0</v>
      </c>
      <c r="F1271">
        <v>118</v>
      </c>
      <c r="G1271">
        <v>137</v>
      </c>
      <c r="H1271" s="7">
        <f t="shared" si="77"/>
        <v>0</v>
      </c>
      <c r="I1271" s="7">
        <f t="shared" si="78"/>
        <v>0</v>
      </c>
      <c r="J1271" s="7">
        <f t="shared" si="79"/>
        <v>46.274509803921568</v>
      </c>
      <c r="K1271" s="7">
        <f t="shared" si="80"/>
        <v>53.725490196078432</v>
      </c>
    </row>
    <row r="1272" spans="1:11" x14ac:dyDescent="0.35">
      <c r="A1272">
        <v>2021</v>
      </c>
      <c r="B1272">
        <v>3155603</v>
      </c>
      <c r="C1272" t="str">
        <f>VLOOKUP(B1272,SAEB!$A:$B,2,0)</f>
        <v>Rio Pardo de Minas</v>
      </c>
      <c r="D1272">
        <v>680</v>
      </c>
      <c r="E1272">
        <v>239</v>
      </c>
      <c r="F1272">
        <v>483</v>
      </c>
      <c r="G1272">
        <v>396</v>
      </c>
      <c r="H1272" s="7">
        <f t="shared" si="77"/>
        <v>37.819799777530591</v>
      </c>
      <c r="I1272" s="7">
        <f t="shared" si="78"/>
        <v>13.292547274749722</v>
      </c>
      <c r="J1272" s="7">
        <f t="shared" si="79"/>
        <v>26.863181312569523</v>
      </c>
      <c r="K1272" s="7">
        <f t="shared" si="80"/>
        <v>22.024471635150167</v>
      </c>
    </row>
    <row r="1273" spans="1:11" x14ac:dyDescent="0.35">
      <c r="A1273">
        <v>2021</v>
      </c>
      <c r="B1273">
        <v>3156502</v>
      </c>
      <c r="C1273" t="str">
        <f>VLOOKUP(B1273,SAEB!$A:$B,2,0)</f>
        <v>Rubelita</v>
      </c>
      <c r="D1273">
        <v>205</v>
      </c>
      <c r="E1273">
        <v>0</v>
      </c>
      <c r="F1273">
        <v>114</v>
      </c>
      <c r="G1273">
        <v>0</v>
      </c>
      <c r="H1273" s="7">
        <f t="shared" si="77"/>
        <v>64.263322884012538</v>
      </c>
      <c r="I1273" s="7">
        <f t="shared" si="78"/>
        <v>0</v>
      </c>
      <c r="J1273" s="7">
        <f t="shared" si="79"/>
        <v>35.736677115987462</v>
      </c>
      <c r="K1273" s="7">
        <f t="shared" si="80"/>
        <v>0</v>
      </c>
    </row>
    <row r="1274" spans="1:11" x14ac:dyDescent="0.35">
      <c r="A1274">
        <v>2021</v>
      </c>
      <c r="B1274">
        <v>3156601</v>
      </c>
      <c r="C1274" t="str">
        <f>VLOOKUP(B1274,SAEB!$A:$B,2,0)</f>
        <v>Rubim</v>
      </c>
      <c r="D1274">
        <v>438</v>
      </c>
      <c r="E1274">
        <v>484</v>
      </c>
      <c r="F1274">
        <v>86</v>
      </c>
      <c r="G1274">
        <v>0</v>
      </c>
      <c r="H1274" s="7">
        <f t="shared" si="77"/>
        <v>43.452380952380956</v>
      </c>
      <c r="I1274" s="7">
        <f t="shared" si="78"/>
        <v>48.015873015873019</v>
      </c>
      <c r="J1274" s="7">
        <f t="shared" si="79"/>
        <v>8.5317460317460316</v>
      </c>
      <c r="K1274" s="7">
        <f t="shared" si="80"/>
        <v>0</v>
      </c>
    </row>
    <row r="1275" spans="1:11" x14ac:dyDescent="0.35">
      <c r="A1275">
        <v>2021</v>
      </c>
      <c r="B1275">
        <v>3156809</v>
      </c>
      <c r="C1275" t="str">
        <f>VLOOKUP(B1275,SAEB!$A:$B,2,0)</f>
        <v>Sabinópolis</v>
      </c>
      <c r="D1275">
        <v>233</v>
      </c>
      <c r="E1275">
        <v>0</v>
      </c>
      <c r="F1275">
        <v>123</v>
      </c>
      <c r="G1275">
        <v>0</v>
      </c>
      <c r="H1275" s="7">
        <f t="shared" si="77"/>
        <v>65.449438202247194</v>
      </c>
      <c r="I1275" s="7">
        <f t="shared" si="78"/>
        <v>0</v>
      </c>
      <c r="J1275" s="7">
        <f t="shared" si="79"/>
        <v>34.550561797752813</v>
      </c>
      <c r="K1275" s="7">
        <f t="shared" si="80"/>
        <v>0</v>
      </c>
    </row>
    <row r="1276" spans="1:11" x14ac:dyDescent="0.35">
      <c r="A1276">
        <v>2021</v>
      </c>
      <c r="B1276">
        <v>3157005</v>
      </c>
      <c r="C1276" t="str">
        <f>VLOOKUP(B1276,SAEB!$A:$B,2,0)</f>
        <v>Salinas</v>
      </c>
      <c r="D1276">
        <v>535</v>
      </c>
      <c r="E1276">
        <v>0</v>
      </c>
      <c r="F1276">
        <v>179</v>
      </c>
      <c r="G1276">
        <v>68</v>
      </c>
      <c r="H1276" s="7">
        <f t="shared" si="77"/>
        <v>68.414322250639387</v>
      </c>
      <c r="I1276" s="7">
        <f t="shared" si="78"/>
        <v>0</v>
      </c>
      <c r="J1276" s="7">
        <f t="shared" si="79"/>
        <v>22.89002557544757</v>
      </c>
      <c r="K1276" s="7">
        <f t="shared" si="80"/>
        <v>8.695652173913043</v>
      </c>
    </row>
    <row r="1277" spans="1:11" x14ac:dyDescent="0.35">
      <c r="A1277">
        <v>2021</v>
      </c>
      <c r="B1277">
        <v>3157104</v>
      </c>
      <c r="C1277" t="str">
        <f>VLOOKUP(B1277,SAEB!$A:$B,2,0)</f>
        <v>Salto da Divisa</v>
      </c>
      <c r="D1277">
        <v>444</v>
      </c>
      <c r="E1277">
        <v>0</v>
      </c>
      <c r="F1277">
        <v>18</v>
      </c>
      <c r="G1277">
        <v>0</v>
      </c>
      <c r="H1277" s="7">
        <f t="shared" si="77"/>
        <v>96.103896103896105</v>
      </c>
      <c r="I1277" s="7">
        <f t="shared" si="78"/>
        <v>0</v>
      </c>
      <c r="J1277" s="7">
        <f t="shared" si="79"/>
        <v>3.8961038961038961</v>
      </c>
      <c r="K1277" s="7">
        <f t="shared" si="80"/>
        <v>0</v>
      </c>
    </row>
    <row r="1278" spans="1:11" x14ac:dyDescent="0.35">
      <c r="A1278">
        <v>2021</v>
      </c>
      <c r="B1278">
        <v>3157252</v>
      </c>
      <c r="C1278" t="str">
        <f>VLOOKUP(B1278,SAEB!$A:$B,2,0)</f>
        <v>Santa Bárbara do Leste</v>
      </c>
      <c r="D1278">
        <v>87</v>
      </c>
      <c r="E1278">
        <v>127</v>
      </c>
      <c r="F1278">
        <v>166</v>
      </c>
      <c r="G1278">
        <v>90</v>
      </c>
      <c r="H1278" s="7">
        <f t="shared" si="77"/>
        <v>18.51063829787234</v>
      </c>
      <c r="I1278" s="7">
        <f t="shared" si="78"/>
        <v>27.021276595744681</v>
      </c>
      <c r="J1278" s="7">
        <f t="shared" si="79"/>
        <v>35.319148936170215</v>
      </c>
      <c r="K1278" s="7">
        <f t="shared" si="80"/>
        <v>19.148936170212767</v>
      </c>
    </row>
    <row r="1279" spans="1:11" x14ac:dyDescent="0.35">
      <c r="A1279">
        <v>2021</v>
      </c>
      <c r="B1279">
        <v>3157377</v>
      </c>
      <c r="C1279" t="str">
        <f>VLOOKUP(B1279,SAEB!$A:$B,2,0)</f>
        <v>Santa Cruz de Salinas</v>
      </c>
      <c r="D1279">
        <v>154</v>
      </c>
      <c r="E1279">
        <v>0</v>
      </c>
      <c r="F1279">
        <v>104</v>
      </c>
      <c r="G1279">
        <v>32</v>
      </c>
      <c r="H1279" s="7">
        <f t="shared" si="77"/>
        <v>53.103448275862064</v>
      </c>
      <c r="I1279" s="7">
        <f t="shared" si="78"/>
        <v>0</v>
      </c>
      <c r="J1279" s="7">
        <f t="shared" si="79"/>
        <v>35.862068965517238</v>
      </c>
      <c r="K1279" s="7">
        <f t="shared" si="80"/>
        <v>11.03448275862069</v>
      </c>
    </row>
    <row r="1280" spans="1:11" x14ac:dyDescent="0.35">
      <c r="A1280">
        <v>2021</v>
      </c>
      <c r="B1280">
        <v>3157500</v>
      </c>
      <c r="C1280" t="str">
        <f>VLOOKUP(B1280,SAEB!$A:$B,2,0)</f>
        <v>Santa Efigênia de Minas</v>
      </c>
      <c r="D1280">
        <v>272</v>
      </c>
      <c r="E1280">
        <v>0</v>
      </c>
      <c r="F1280">
        <v>38</v>
      </c>
      <c r="G1280">
        <v>0</v>
      </c>
      <c r="H1280" s="7">
        <f t="shared" si="77"/>
        <v>87.741935483870975</v>
      </c>
      <c r="I1280" s="7">
        <f t="shared" si="78"/>
        <v>0</v>
      </c>
      <c r="J1280" s="7">
        <f t="shared" si="79"/>
        <v>12.258064516129032</v>
      </c>
      <c r="K1280" s="7">
        <f t="shared" si="80"/>
        <v>0</v>
      </c>
    </row>
    <row r="1281" spans="1:11" x14ac:dyDescent="0.35">
      <c r="A1281">
        <v>2021</v>
      </c>
      <c r="B1281">
        <v>3157658</v>
      </c>
      <c r="C1281" t="str">
        <f>VLOOKUP(B1281,SAEB!$A:$B,2,0)</f>
        <v>Santa Helena de Minas</v>
      </c>
      <c r="D1281">
        <v>159</v>
      </c>
      <c r="E1281">
        <v>0</v>
      </c>
      <c r="F1281">
        <v>45</v>
      </c>
      <c r="G1281">
        <v>45</v>
      </c>
      <c r="H1281" s="7">
        <f t="shared" si="77"/>
        <v>63.855421686746979</v>
      </c>
      <c r="I1281" s="7">
        <f t="shared" si="78"/>
        <v>0</v>
      </c>
      <c r="J1281" s="7">
        <f t="shared" si="79"/>
        <v>18.072289156626507</v>
      </c>
      <c r="K1281" s="7">
        <f t="shared" si="80"/>
        <v>18.072289156626507</v>
      </c>
    </row>
    <row r="1282" spans="1:11" x14ac:dyDescent="0.35">
      <c r="A1282">
        <v>2021</v>
      </c>
      <c r="B1282">
        <v>3158201</v>
      </c>
      <c r="C1282" t="str">
        <f>VLOOKUP(B1282,SAEB!$A:$B,2,0)</f>
        <v>Santa Maria do Suaçuí</v>
      </c>
      <c r="D1282">
        <v>323</v>
      </c>
      <c r="E1282">
        <v>14</v>
      </c>
      <c r="F1282">
        <v>42</v>
      </c>
      <c r="G1282">
        <v>5</v>
      </c>
      <c r="H1282" s="7">
        <f t="shared" si="77"/>
        <v>84.114583333333343</v>
      </c>
      <c r="I1282" s="7">
        <f t="shared" si="78"/>
        <v>3.6458333333333335</v>
      </c>
      <c r="J1282" s="7">
        <f t="shared" si="79"/>
        <v>10.9375</v>
      </c>
      <c r="K1282" s="7">
        <f t="shared" si="80"/>
        <v>1.3020833333333335</v>
      </c>
    </row>
    <row r="1283" spans="1:11" x14ac:dyDescent="0.35">
      <c r="A1283">
        <v>2021</v>
      </c>
      <c r="B1283">
        <v>3159357</v>
      </c>
      <c r="C1283" t="str">
        <f>VLOOKUP(B1283,SAEB!$A:$B,2,0)</f>
        <v>Santa Rita de Minas</v>
      </c>
      <c r="D1283">
        <v>400</v>
      </c>
      <c r="E1283">
        <v>0</v>
      </c>
      <c r="F1283">
        <v>39</v>
      </c>
      <c r="G1283">
        <v>0</v>
      </c>
      <c r="H1283" s="7">
        <f t="shared" ref="H1283:H1346" si="81">D1283/SUM($D1283:$G1283)*100</f>
        <v>91.116173120728931</v>
      </c>
      <c r="I1283" s="7">
        <f t="shared" ref="I1283:I1346" si="82">E1283/SUM($D1283:$G1283)*100</f>
        <v>0</v>
      </c>
      <c r="J1283" s="7">
        <f t="shared" ref="J1283:J1346" si="83">F1283/SUM($D1283:$G1283)*100</f>
        <v>8.8838268792710693</v>
      </c>
      <c r="K1283" s="7">
        <f t="shared" ref="K1283:K1346" si="84">G1283/SUM($D1283:$G1283)*100</f>
        <v>0</v>
      </c>
    </row>
    <row r="1284" spans="1:11" x14ac:dyDescent="0.35">
      <c r="A1284">
        <v>2021</v>
      </c>
      <c r="B1284">
        <v>3159506</v>
      </c>
      <c r="C1284" t="str">
        <f>VLOOKUP(B1284,SAEB!$A:$B,2,0)</f>
        <v>Santa Rita do Itueto</v>
      </c>
      <c r="D1284">
        <v>140</v>
      </c>
      <c r="E1284">
        <v>0</v>
      </c>
      <c r="F1284">
        <v>150</v>
      </c>
      <c r="G1284">
        <v>104</v>
      </c>
      <c r="H1284" s="7">
        <f t="shared" si="81"/>
        <v>35.532994923857871</v>
      </c>
      <c r="I1284" s="7">
        <f t="shared" si="82"/>
        <v>0</v>
      </c>
      <c r="J1284" s="7">
        <f t="shared" si="83"/>
        <v>38.07106598984771</v>
      </c>
      <c r="K1284" s="7">
        <f t="shared" si="84"/>
        <v>26.395939086294419</v>
      </c>
    </row>
    <row r="1285" spans="1:11" x14ac:dyDescent="0.35">
      <c r="A1285">
        <v>2021</v>
      </c>
      <c r="B1285">
        <v>3160454</v>
      </c>
      <c r="C1285" t="str">
        <f>VLOOKUP(B1285,SAEB!$A:$B,2,0)</f>
        <v>Santo Antônio do Retiro</v>
      </c>
      <c r="D1285">
        <v>259</v>
      </c>
      <c r="E1285">
        <v>235</v>
      </c>
      <c r="F1285">
        <v>125</v>
      </c>
      <c r="G1285">
        <v>162</v>
      </c>
      <c r="H1285" s="7">
        <f t="shared" si="81"/>
        <v>33.162612035851474</v>
      </c>
      <c r="I1285" s="7">
        <f t="shared" si="82"/>
        <v>30.089628681177977</v>
      </c>
      <c r="J1285" s="7">
        <f t="shared" si="83"/>
        <v>16.005121638924454</v>
      </c>
      <c r="K1285" s="7">
        <f t="shared" si="84"/>
        <v>20.742637644046095</v>
      </c>
    </row>
    <row r="1286" spans="1:11" x14ac:dyDescent="0.35">
      <c r="A1286">
        <v>2021</v>
      </c>
      <c r="B1286">
        <v>3160603</v>
      </c>
      <c r="C1286" t="str">
        <f>VLOOKUP(B1286,SAEB!$A:$B,2,0)</f>
        <v>Santo Hipólito</v>
      </c>
      <c r="D1286">
        <v>162</v>
      </c>
      <c r="E1286">
        <v>0</v>
      </c>
      <c r="F1286">
        <v>6</v>
      </c>
      <c r="G1286">
        <v>0</v>
      </c>
      <c r="H1286" s="7">
        <f t="shared" si="81"/>
        <v>96.428571428571431</v>
      </c>
      <c r="I1286" s="7">
        <f t="shared" si="82"/>
        <v>0</v>
      </c>
      <c r="J1286" s="7">
        <f t="shared" si="83"/>
        <v>3.5714285714285712</v>
      </c>
      <c r="K1286" s="7">
        <f t="shared" si="84"/>
        <v>0</v>
      </c>
    </row>
    <row r="1287" spans="1:11" x14ac:dyDescent="0.35">
      <c r="A1287">
        <v>2021</v>
      </c>
      <c r="B1287">
        <v>3160959</v>
      </c>
      <c r="C1287" t="str">
        <f>VLOOKUP(B1287,SAEB!$A:$B,2,0)</f>
        <v>São Domingos das Dores</v>
      </c>
      <c r="D1287">
        <v>281</v>
      </c>
      <c r="E1287">
        <v>0</v>
      </c>
      <c r="F1287">
        <v>142</v>
      </c>
      <c r="G1287">
        <v>186</v>
      </c>
      <c r="H1287" s="7">
        <f t="shared" si="81"/>
        <v>46.141215106732346</v>
      </c>
      <c r="I1287" s="7">
        <f t="shared" si="82"/>
        <v>0</v>
      </c>
      <c r="J1287" s="7">
        <f t="shared" si="83"/>
        <v>23.316912972085387</v>
      </c>
      <c r="K1287" s="7">
        <f t="shared" si="84"/>
        <v>30.541871921182267</v>
      </c>
    </row>
    <row r="1288" spans="1:11" x14ac:dyDescent="0.35">
      <c r="A1288">
        <v>2021</v>
      </c>
      <c r="B1288">
        <v>3161601</v>
      </c>
      <c r="C1288" t="str">
        <f>VLOOKUP(B1288,SAEB!$A:$B,2,0)</f>
        <v>São Geraldo da Piedade</v>
      </c>
      <c r="D1288">
        <v>83</v>
      </c>
      <c r="E1288">
        <v>0</v>
      </c>
      <c r="F1288">
        <v>128</v>
      </c>
      <c r="G1288">
        <v>67</v>
      </c>
      <c r="H1288" s="7">
        <f t="shared" si="81"/>
        <v>29.856115107913666</v>
      </c>
      <c r="I1288" s="7">
        <f t="shared" si="82"/>
        <v>0</v>
      </c>
      <c r="J1288" s="7">
        <f t="shared" si="83"/>
        <v>46.043165467625904</v>
      </c>
      <c r="K1288" s="7">
        <f t="shared" si="84"/>
        <v>24.100719424460433</v>
      </c>
    </row>
    <row r="1289" spans="1:11" x14ac:dyDescent="0.35">
      <c r="A1289">
        <v>2021</v>
      </c>
      <c r="B1289">
        <v>3125507</v>
      </c>
      <c r="C1289" t="str">
        <f>VLOOKUP(B1289,SAEB!$A:$B,2,0)</f>
        <v>São Gonçalo do Rio Preto</v>
      </c>
      <c r="D1289">
        <v>170</v>
      </c>
      <c r="E1289">
        <v>0</v>
      </c>
      <c r="F1289">
        <v>0</v>
      </c>
      <c r="G1289">
        <v>0</v>
      </c>
      <c r="H1289" s="7">
        <f t="shared" si="81"/>
        <v>100</v>
      </c>
      <c r="I1289" s="7">
        <f t="shared" si="82"/>
        <v>0</v>
      </c>
      <c r="J1289" s="7">
        <f t="shared" si="83"/>
        <v>0</v>
      </c>
      <c r="K1289" s="7">
        <f t="shared" si="84"/>
        <v>0</v>
      </c>
    </row>
    <row r="1290" spans="1:11" x14ac:dyDescent="0.35">
      <c r="A1290">
        <v>2021</v>
      </c>
      <c r="B1290">
        <v>3162252</v>
      </c>
      <c r="C1290" t="str">
        <f>VLOOKUP(B1290,SAEB!$A:$B,2,0)</f>
        <v>São João da Lagoa</v>
      </c>
      <c r="D1290">
        <v>254</v>
      </c>
      <c r="E1290">
        <v>0</v>
      </c>
      <c r="F1290">
        <v>54</v>
      </c>
      <c r="G1290">
        <v>72</v>
      </c>
      <c r="H1290" s="7">
        <f t="shared" si="81"/>
        <v>66.84210526315789</v>
      </c>
      <c r="I1290" s="7">
        <f t="shared" si="82"/>
        <v>0</v>
      </c>
      <c r="J1290" s="7">
        <f t="shared" si="83"/>
        <v>14.210526315789473</v>
      </c>
      <c r="K1290" s="7">
        <f t="shared" si="84"/>
        <v>18.947368421052634</v>
      </c>
    </row>
    <row r="1291" spans="1:11" x14ac:dyDescent="0.35">
      <c r="A1291">
        <v>2021</v>
      </c>
      <c r="B1291">
        <v>3162401</v>
      </c>
      <c r="C1291" t="str">
        <f>VLOOKUP(B1291,SAEB!$A:$B,2,0)</f>
        <v>São João da Ponte</v>
      </c>
      <c r="D1291">
        <v>300</v>
      </c>
      <c r="E1291">
        <v>290</v>
      </c>
      <c r="F1291">
        <v>788</v>
      </c>
      <c r="G1291">
        <v>598</v>
      </c>
      <c r="H1291" s="7">
        <f t="shared" si="81"/>
        <v>15.182186234817813</v>
      </c>
      <c r="I1291" s="7">
        <f t="shared" si="82"/>
        <v>14.676113360323887</v>
      </c>
      <c r="J1291" s="7">
        <f t="shared" si="83"/>
        <v>39.878542510121456</v>
      </c>
      <c r="K1291" s="7">
        <f t="shared" si="84"/>
        <v>30.263157894736842</v>
      </c>
    </row>
    <row r="1292" spans="1:11" x14ac:dyDescent="0.35">
      <c r="A1292">
        <v>2021</v>
      </c>
      <c r="B1292">
        <v>3162575</v>
      </c>
      <c r="C1292" t="str">
        <f>VLOOKUP(B1292,SAEB!$A:$B,2,0)</f>
        <v>São João do Manteninha</v>
      </c>
      <c r="D1292">
        <v>223</v>
      </c>
      <c r="E1292">
        <v>0</v>
      </c>
      <c r="F1292">
        <v>120</v>
      </c>
      <c r="G1292">
        <v>0</v>
      </c>
      <c r="H1292" s="7">
        <f t="shared" si="81"/>
        <v>65.014577259475217</v>
      </c>
      <c r="I1292" s="7">
        <f t="shared" si="82"/>
        <v>0</v>
      </c>
      <c r="J1292" s="7">
        <f t="shared" si="83"/>
        <v>34.985422740524783</v>
      </c>
      <c r="K1292" s="7">
        <f t="shared" si="84"/>
        <v>0</v>
      </c>
    </row>
    <row r="1293" spans="1:11" x14ac:dyDescent="0.35">
      <c r="A1293">
        <v>2021</v>
      </c>
      <c r="B1293">
        <v>3162807</v>
      </c>
      <c r="C1293" t="str">
        <f>VLOOKUP(B1293,SAEB!$A:$B,2,0)</f>
        <v>São João Evangelista</v>
      </c>
      <c r="D1293">
        <v>814</v>
      </c>
      <c r="E1293">
        <v>0</v>
      </c>
      <c r="F1293">
        <v>111</v>
      </c>
      <c r="G1293">
        <v>70</v>
      </c>
      <c r="H1293" s="7">
        <f t="shared" si="81"/>
        <v>81.80904522613065</v>
      </c>
      <c r="I1293" s="7">
        <f t="shared" si="82"/>
        <v>0</v>
      </c>
      <c r="J1293" s="7">
        <f t="shared" si="83"/>
        <v>11.155778894472363</v>
      </c>
      <c r="K1293" s="7">
        <f t="shared" si="84"/>
        <v>7.0351758793969852</v>
      </c>
    </row>
    <row r="1294" spans="1:11" x14ac:dyDescent="0.35">
      <c r="A1294">
        <v>2021</v>
      </c>
      <c r="B1294">
        <v>3163508</v>
      </c>
      <c r="C1294" t="str">
        <f>VLOOKUP(B1294,SAEB!$A:$B,2,0)</f>
        <v>São José do Jacuri</v>
      </c>
      <c r="D1294">
        <v>0</v>
      </c>
      <c r="E1294">
        <v>0</v>
      </c>
      <c r="F1294">
        <v>165</v>
      </c>
      <c r="G1294">
        <v>150</v>
      </c>
      <c r="H1294" s="7">
        <f t="shared" si="81"/>
        <v>0</v>
      </c>
      <c r="I1294" s="7">
        <f t="shared" si="82"/>
        <v>0</v>
      </c>
      <c r="J1294" s="7">
        <f t="shared" si="83"/>
        <v>52.380952380952387</v>
      </c>
      <c r="K1294" s="7">
        <f t="shared" si="84"/>
        <v>47.619047619047613</v>
      </c>
    </row>
    <row r="1295" spans="1:11" x14ac:dyDescent="0.35">
      <c r="A1295">
        <v>2021</v>
      </c>
      <c r="B1295">
        <v>3164100</v>
      </c>
      <c r="C1295" t="str">
        <f>VLOOKUP(B1295,SAEB!$A:$B,2,0)</f>
        <v>São Pedro do Suaçuí</v>
      </c>
      <c r="D1295">
        <v>223</v>
      </c>
      <c r="E1295">
        <v>0</v>
      </c>
      <c r="F1295">
        <v>46</v>
      </c>
      <c r="G1295">
        <v>0</v>
      </c>
      <c r="H1295" s="7">
        <f t="shared" si="81"/>
        <v>82.899628252788105</v>
      </c>
      <c r="I1295" s="7">
        <f t="shared" si="82"/>
        <v>0</v>
      </c>
      <c r="J1295" s="7">
        <f t="shared" si="83"/>
        <v>17.100371747211895</v>
      </c>
      <c r="K1295" s="7">
        <f t="shared" si="84"/>
        <v>0</v>
      </c>
    </row>
    <row r="1296" spans="1:11" x14ac:dyDescent="0.35">
      <c r="A1296">
        <v>2021</v>
      </c>
      <c r="B1296">
        <v>3164472</v>
      </c>
      <c r="C1296" t="str">
        <f>VLOOKUP(B1296,SAEB!$A:$B,2,0)</f>
        <v>São Sebastião do Anta</v>
      </c>
      <c r="D1296">
        <v>458</v>
      </c>
      <c r="E1296">
        <v>235</v>
      </c>
      <c r="F1296">
        <v>4</v>
      </c>
      <c r="G1296">
        <v>0</v>
      </c>
      <c r="H1296" s="7">
        <f t="shared" si="81"/>
        <v>65.710186513629836</v>
      </c>
      <c r="I1296" s="7">
        <f t="shared" si="82"/>
        <v>33.715925394548066</v>
      </c>
      <c r="J1296" s="7">
        <f t="shared" si="83"/>
        <v>0.57388809182209477</v>
      </c>
      <c r="K1296" s="7">
        <f t="shared" si="84"/>
        <v>0</v>
      </c>
    </row>
    <row r="1297" spans="1:11" x14ac:dyDescent="0.35">
      <c r="A1297">
        <v>2021</v>
      </c>
      <c r="B1297">
        <v>3165503</v>
      </c>
      <c r="C1297" t="str">
        <f>VLOOKUP(B1297,SAEB!$A:$B,2,0)</f>
        <v>Sardoá</v>
      </c>
      <c r="D1297">
        <v>196</v>
      </c>
      <c r="E1297">
        <v>0</v>
      </c>
      <c r="F1297">
        <v>117</v>
      </c>
      <c r="G1297">
        <v>123</v>
      </c>
      <c r="H1297" s="7">
        <f t="shared" si="81"/>
        <v>44.954128440366972</v>
      </c>
      <c r="I1297" s="7">
        <f t="shared" si="82"/>
        <v>0</v>
      </c>
      <c r="J1297" s="7">
        <f t="shared" si="83"/>
        <v>26.834862385321102</v>
      </c>
      <c r="K1297" s="7">
        <f t="shared" si="84"/>
        <v>28.211009174311926</v>
      </c>
    </row>
    <row r="1298" spans="1:11" x14ac:dyDescent="0.35">
      <c r="A1298">
        <v>2021</v>
      </c>
      <c r="B1298">
        <v>3165909</v>
      </c>
      <c r="C1298" t="str">
        <f>VLOOKUP(B1298,SAEB!$A:$B,2,0)</f>
        <v>Senador Modestino Gonçalves</v>
      </c>
      <c r="D1298">
        <v>179</v>
      </c>
      <c r="E1298">
        <v>0</v>
      </c>
      <c r="F1298">
        <v>61</v>
      </c>
      <c r="G1298">
        <v>0</v>
      </c>
      <c r="H1298" s="7">
        <f t="shared" si="81"/>
        <v>74.583333333333329</v>
      </c>
      <c r="I1298" s="7">
        <f t="shared" si="82"/>
        <v>0</v>
      </c>
      <c r="J1298" s="7">
        <f t="shared" si="83"/>
        <v>25.416666666666664</v>
      </c>
      <c r="K1298" s="7">
        <f t="shared" si="84"/>
        <v>0</v>
      </c>
    </row>
    <row r="1299" spans="1:11" x14ac:dyDescent="0.35">
      <c r="A1299">
        <v>2021</v>
      </c>
      <c r="B1299">
        <v>3166105</v>
      </c>
      <c r="C1299" t="str">
        <f>VLOOKUP(B1299,SAEB!$A:$B,2,0)</f>
        <v>Senhora do Porto</v>
      </c>
      <c r="D1299">
        <v>195</v>
      </c>
      <c r="E1299">
        <v>0</v>
      </c>
      <c r="F1299">
        <v>16</v>
      </c>
      <c r="G1299">
        <v>0</v>
      </c>
      <c r="H1299" s="7">
        <f t="shared" si="81"/>
        <v>92.417061611374407</v>
      </c>
      <c r="I1299" s="7">
        <f t="shared" si="82"/>
        <v>0</v>
      </c>
      <c r="J1299" s="7">
        <f t="shared" si="83"/>
        <v>7.5829383886255926</v>
      </c>
      <c r="K1299" s="7">
        <f t="shared" si="84"/>
        <v>0</v>
      </c>
    </row>
    <row r="1300" spans="1:11" x14ac:dyDescent="0.35">
      <c r="A1300">
        <v>2021</v>
      </c>
      <c r="B1300">
        <v>3166709</v>
      </c>
      <c r="C1300" t="str">
        <f>VLOOKUP(B1300,SAEB!$A:$B,2,0)</f>
        <v>Serra dos Aimorés</v>
      </c>
      <c r="D1300">
        <v>223</v>
      </c>
      <c r="E1300">
        <v>0</v>
      </c>
      <c r="F1300">
        <v>104</v>
      </c>
      <c r="G1300">
        <v>0</v>
      </c>
      <c r="H1300" s="7">
        <f t="shared" si="81"/>
        <v>68.195718654434245</v>
      </c>
      <c r="I1300" s="7">
        <f t="shared" si="82"/>
        <v>0</v>
      </c>
      <c r="J1300" s="7">
        <f t="shared" si="83"/>
        <v>31.804281345565748</v>
      </c>
      <c r="K1300" s="7">
        <f t="shared" si="84"/>
        <v>0</v>
      </c>
    </row>
    <row r="1301" spans="1:11" x14ac:dyDescent="0.35">
      <c r="A1301">
        <v>2021</v>
      </c>
      <c r="B1301">
        <v>3166956</v>
      </c>
      <c r="C1301" t="str">
        <f>VLOOKUP(B1301,SAEB!$A:$B,2,0)</f>
        <v>Serranópolis de Minas</v>
      </c>
      <c r="D1301">
        <v>119</v>
      </c>
      <c r="E1301">
        <v>0</v>
      </c>
      <c r="F1301">
        <v>155</v>
      </c>
      <c r="G1301">
        <v>114</v>
      </c>
      <c r="H1301" s="7">
        <f t="shared" si="81"/>
        <v>30.670103092783506</v>
      </c>
      <c r="I1301" s="7">
        <f t="shared" si="82"/>
        <v>0</v>
      </c>
      <c r="J1301" s="7">
        <f t="shared" si="83"/>
        <v>39.948453608247426</v>
      </c>
      <c r="K1301" s="7">
        <f t="shared" si="84"/>
        <v>29.381443298969074</v>
      </c>
    </row>
    <row r="1302" spans="1:11" x14ac:dyDescent="0.35">
      <c r="A1302">
        <v>2021</v>
      </c>
      <c r="B1302">
        <v>3168002</v>
      </c>
      <c r="C1302" t="str">
        <f>VLOOKUP(B1302,SAEB!$A:$B,2,0)</f>
        <v>Taiobeiras</v>
      </c>
      <c r="D1302">
        <v>865</v>
      </c>
      <c r="E1302">
        <v>174</v>
      </c>
      <c r="F1302">
        <v>102</v>
      </c>
      <c r="G1302">
        <v>96</v>
      </c>
      <c r="H1302" s="7">
        <f t="shared" si="81"/>
        <v>69.927243330638646</v>
      </c>
      <c r="I1302" s="7">
        <f t="shared" si="82"/>
        <v>14.06628940986257</v>
      </c>
      <c r="J1302" s="7">
        <f t="shared" si="83"/>
        <v>8.2457558609539205</v>
      </c>
      <c r="K1302" s="7">
        <f t="shared" si="84"/>
        <v>7.760711398544867</v>
      </c>
    </row>
    <row r="1303" spans="1:11" x14ac:dyDescent="0.35">
      <c r="A1303">
        <v>2021</v>
      </c>
      <c r="B1303">
        <v>3168051</v>
      </c>
      <c r="C1303" t="str">
        <f>VLOOKUP(B1303,SAEB!$A:$B,2,0)</f>
        <v>Taparuba</v>
      </c>
      <c r="D1303">
        <v>200</v>
      </c>
      <c r="E1303">
        <v>33</v>
      </c>
      <c r="F1303">
        <v>37</v>
      </c>
      <c r="G1303">
        <v>0</v>
      </c>
      <c r="H1303" s="7">
        <f t="shared" si="81"/>
        <v>74.074074074074076</v>
      </c>
      <c r="I1303" s="7">
        <f t="shared" si="82"/>
        <v>12.222222222222221</v>
      </c>
      <c r="J1303" s="7">
        <f t="shared" si="83"/>
        <v>13.703703703703704</v>
      </c>
      <c r="K1303" s="7">
        <f t="shared" si="84"/>
        <v>0</v>
      </c>
    </row>
    <row r="1304" spans="1:11" x14ac:dyDescent="0.35">
      <c r="A1304">
        <v>2021</v>
      </c>
      <c r="B1304">
        <v>3168408</v>
      </c>
      <c r="C1304" t="str">
        <f>VLOOKUP(B1304,SAEB!$A:$B,2,0)</f>
        <v>Tarumirim</v>
      </c>
      <c r="D1304">
        <v>192</v>
      </c>
      <c r="E1304">
        <v>86</v>
      </c>
      <c r="F1304">
        <v>18</v>
      </c>
      <c r="G1304">
        <v>10</v>
      </c>
      <c r="H1304" s="7">
        <f t="shared" si="81"/>
        <v>62.745098039215684</v>
      </c>
      <c r="I1304" s="7">
        <f t="shared" si="82"/>
        <v>28.104575163398692</v>
      </c>
      <c r="J1304" s="7">
        <f t="shared" si="83"/>
        <v>5.8823529411764701</v>
      </c>
      <c r="K1304" s="7">
        <f t="shared" si="84"/>
        <v>3.2679738562091507</v>
      </c>
    </row>
    <row r="1305" spans="1:11" x14ac:dyDescent="0.35">
      <c r="A1305">
        <v>2021</v>
      </c>
      <c r="B1305">
        <v>3168606</v>
      </c>
      <c r="C1305" t="str">
        <f>VLOOKUP(B1305,SAEB!$A:$B,2,0)</f>
        <v>Teófilo Otoni</v>
      </c>
      <c r="D1305">
        <v>3161</v>
      </c>
      <c r="E1305">
        <v>1803</v>
      </c>
      <c r="F1305">
        <v>702</v>
      </c>
      <c r="G1305">
        <v>216</v>
      </c>
      <c r="H1305" s="7">
        <f t="shared" si="81"/>
        <v>53.740224413464809</v>
      </c>
      <c r="I1305" s="7">
        <f t="shared" si="82"/>
        <v>30.652839170350219</v>
      </c>
      <c r="J1305" s="7">
        <f t="shared" si="83"/>
        <v>11.934716082964977</v>
      </c>
      <c r="K1305" s="7">
        <f t="shared" si="84"/>
        <v>3.6722203332199927</v>
      </c>
    </row>
    <row r="1306" spans="1:11" x14ac:dyDescent="0.35">
      <c r="A1306">
        <v>2021</v>
      </c>
      <c r="B1306">
        <v>3169505</v>
      </c>
      <c r="C1306" t="str">
        <f>VLOOKUP(B1306,SAEB!$A:$B,2,0)</f>
        <v>Tumiritinga</v>
      </c>
      <c r="D1306">
        <v>370</v>
      </c>
      <c r="E1306">
        <v>0</v>
      </c>
      <c r="F1306">
        <v>11</v>
      </c>
      <c r="G1306">
        <v>0</v>
      </c>
      <c r="H1306" s="7">
        <f t="shared" si="81"/>
        <v>97.112860892388454</v>
      </c>
      <c r="I1306" s="7">
        <f t="shared" si="82"/>
        <v>0</v>
      </c>
      <c r="J1306" s="7">
        <f t="shared" si="83"/>
        <v>2.8871391076115485</v>
      </c>
      <c r="K1306" s="7">
        <f t="shared" si="84"/>
        <v>0</v>
      </c>
    </row>
    <row r="1307" spans="1:11" x14ac:dyDescent="0.35">
      <c r="A1307">
        <v>2021</v>
      </c>
      <c r="B1307">
        <v>3169703</v>
      </c>
      <c r="C1307" t="str">
        <f>VLOOKUP(B1307,SAEB!$A:$B,2,0)</f>
        <v>Turmalina</v>
      </c>
      <c r="D1307">
        <v>375</v>
      </c>
      <c r="E1307">
        <v>0</v>
      </c>
      <c r="F1307">
        <v>178</v>
      </c>
      <c r="G1307">
        <v>147</v>
      </c>
      <c r="H1307" s="7">
        <f t="shared" si="81"/>
        <v>53.571428571428569</v>
      </c>
      <c r="I1307" s="7">
        <f t="shared" si="82"/>
        <v>0</v>
      </c>
      <c r="J1307" s="7">
        <f t="shared" si="83"/>
        <v>25.428571428571427</v>
      </c>
      <c r="K1307" s="7">
        <f t="shared" si="84"/>
        <v>21</v>
      </c>
    </row>
    <row r="1308" spans="1:11" x14ac:dyDescent="0.35">
      <c r="A1308">
        <v>2021</v>
      </c>
      <c r="B1308">
        <v>3170057</v>
      </c>
      <c r="C1308" t="str">
        <f>VLOOKUP(B1308,SAEB!$A:$B,2,0)</f>
        <v>Ubaporanga</v>
      </c>
      <c r="D1308">
        <v>393</v>
      </c>
      <c r="E1308">
        <v>0</v>
      </c>
      <c r="F1308">
        <v>72</v>
      </c>
      <c r="G1308">
        <v>0</v>
      </c>
      <c r="H1308" s="7">
        <f t="shared" si="81"/>
        <v>84.516129032258064</v>
      </c>
      <c r="I1308" s="7">
        <f t="shared" si="82"/>
        <v>0</v>
      </c>
      <c r="J1308" s="7">
        <f t="shared" si="83"/>
        <v>15.483870967741936</v>
      </c>
      <c r="K1308" s="7">
        <f t="shared" si="84"/>
        <v>0</v>
      </c>
    </row>
    <row r="1309" spans="1:11" x14ac:dyDescent="0.35">
      <c r="A1309">
        <v>2021</v>
      </c>
      <c r="B1309">
        <v>3170305</v>
      </c>
      <c r="C1309" t="str">
        <f>VLOOKUP(B1309,SAEB!$A:$B,2,0)</f>
        <v>Umburatiba</v>
      </c>
      <c r="D1309">
        <v>130</v>
      </c>
      <c r="E1309">
        <v>0</v>
      </c>
      <c r="F1309">
        <v>61</v>
      </c>
      <c r="G1309">
        <v>88</v>
      </c>
      <c r="H1309" s="7">
        <f t="shared" si="81"/>
        <v>46.59498207885305</v>
      </c>
      <c r="I1309" s="7">
        <f t="shared" si="82"/>
        <v>0</v>
      </c>
      <c r="J1309" s="7">
        <f t="shared" si="83"/>
        <v>21.863799283154123</v>
      </c>
      <c r="K1309" s="7">
        <f t="shared" si="84"/>
        <v>31.541218637992831</v>
      </c>
    </row>
    <row r="1310" spans="1:11" x14ac:dyDescent="0.35">
      <c r="A1310">
        <v>2021</v>
      </c>
      <c r="B1310">
        <v>3170479</v>
      </c>
      <c r="C1310" t="str">
        <f>VLOOKUP(B1310,SAEB!$A:$B,2,0)</f>
        <v>Uruana de Minas</v>
      </c>
      <c r="D1310">
        <v>249</v>
      </c>
      <c r="E1310">
        <v>240</v>
      </c>
      <c r="F1310">
        <v>0</v>
      </c>
      <c r="G1310">
        <v>0</v>
      </c>
      <c r="H1310" s="7">
        <f t="shared" si="81"/>
        <v>50.920245398772998</v>
      </c>
      <c r="I1310" s="7">
        <f t="shared" si="82"/>
        <v>49.079754601226995</v>
      </c>
      <c r="J1310" s="7">
        <f t="shared" si="83"/>
        <v>0</v>
      </c>
      <c r="K1310" s="7">
        <f t="shared" si="84"/>
        <v>0</v>
      </c>
    </row>
    <row r="1311" spans="1:11" x14ac:dyDescent="0.35">
      <c r="A1311">
        <v>2021</v>
      </c>
      <c r="B1311">
        <v>3170529</v>
      </c>
      <c r="C1311" t="str">
        <f>VLOOKUP(B1311,SAEB!$A:$B,2,0)</f>
        <v>Urucuia</v>
      </c>
      <c r="D1311">
        <v>474</v>
      </c>
      <c r="E1311">
        <v>478</v>
      </c>
      <c r="F1311">
        <v>178</v>
      </c>
      <c r="G1311">
        <v>223</v>
      </c>
      <c r="H1311" s="7">
        <f t="shared" si="81"/>
        <v>35.033259423503324</v>
      </c>
      <c r="I1311" s="7">
        <f t="shared" si="82"/>
        <v>35.328898743532889</v>
      </c>
      <c r="J1311" s="7">
        <f t="shared" si="83"/>
        <v>13.155949741315595</v>
      </c>
      <c r="K1311" s="7">
        <f t="shared" si="84"/>
        <v>16.481892091648191</v>
      </c>
    </row>
    <row r="1312" spans="1:11" x14ac:dyDescent="0.35">
      <c r="A1312">
        <v>2021</v>
      </c>
      <c r="B1312">
        <v>3170651</v>
      </c>
      <c r="C1312" t="str">
        <f>VLOOKUP(B1312,SAEB!$A:$B,2,0)</f>
        <v>Vargem Grande do Rio Pardo</v>
      </c>
      <c r="D1312">
        <v>207</v>
      </c>
      <c r="E1312">
        <v>0</v>
      </c>
      <c r="F1312">
        <v>56</v>
      </c>
      <c r="G1312">
        <v>0</v>
      </c>
      <c r="H1312" s="7">
        <f t="shared" si="81"/>
        <v>78.707224334600753</v>
      </c>
      <c r="I1312" s="7">
        <f t="shared" si="82"/>
        <v>0</v>
      </c>
      <c r="J1312" s="7">
        <f t="shared" si="83"/>
        <v>21.292775665399237</v>
      </c>
      <c r="K1312" s="7">
        <f t="shared" si="84"/>
        <v>0</v>
      </c>
    </row>
    <row r="1313" spans="1:11" x14ac:dyDescent="0.35">
      <c r="A1313">
        <v>2021</v>
      </c>
      <c r="B1313">
        <v>3170800</v>
      </c>
      <c r="C1313" t="str">
        <f>VLOOKUP(B1313,SAEB!$A:$B,2,0)</f>
        <v>Várzea da Palma</v>
      </c>
      <c r="D1313">
        <v>1515</v>
      </c>
      <c r="E1313">
        <v>0</v>
      </c>
      <c r="F1313">
        <v>136</v>
      </c>
      <c r="G1313">
        <v>112</v>
      </c>
      <c r="H1313" s="7">
        <f t="shared" si="81"/>
        <v>85.933068633011914</v>
      </c>
      <c r="I1313" s="7">
        <f t="shared" si="82"/>
        <v>0</v>
      </c>
      <c r="J1313" s="7">
        <f t="shared" si="83"/>
        <v>7.7141236528644352</v>
      </c>
      <c r="K1313" s="7">
        <f t="shared" si="84"/>
        <v>6.3528077141236521</v>
      </c>
    </row>
    <row r="1314" spans="1:11" x14ac:dyDescent="0.35">
      <c r="A1314">
        <v>2021</v>
      </c>
      <c r="B1314">
        <v>3171071</v>
      </c>
      <c r="C1314" t="str">
        <f>VLOOKUP(B1314,SAEB!$A:$B,2,0)</f>
        <v>Veredinha</v>
      </c>
      <c r="D1314">
        <v>301</v>
      </c>
      <c r="E1314">
        <v>0</v>
      </c>
      <c r="F1314">
        <v>6</v>
      </c>
      <c r="G1314">
        <v>0</v>
      </c>
      <c r="H1314" s="7">
        <f t="shared" si="81"/>
        <v>98.045602605863195</v>
      </c>
      <c r="I1314" s="7">
        <f t="shared" si="82"/>
        <v>0</v>
      </c>
      <c r="J1314" s="7">
        <f t="shared" si="83"/>
        <v>1.9543973941368076</v>
      </c>
      <c r="K1314" s="7">
        <f t="shared" si="84"/>
        <v>0</v>
      </c>
    </row>
    <row r="1315" spans="1:11" x14ac:dyDescent="0.35">
      <c r="A1315">
        <v>2021</v>
      </c>
      <c r="B1315">
        <v>3171600</v>
      </c>
      <c r="C1315" t="str">
        <f>VLOOKUP(B1315,SAEB!$A:$B,2,0)</f>
        <v>Virgem da Lapa</v>
      </c>
      <c r="D1315">
        <v>335</v>
      </c>
      <c r="E1315">
        <v>0</v>
      </c>
      <c r="F1315">
        <v>84</v>
      </c>
      <c r="G1315">
        <v>0</v>
      </c>
      <c r="H1315" s="7">
        <f t="shared" si="81"/>
        <v>79.952267303102616</v>
      </c>
      <c r="I1315" s="7">
        <f t="shared" si="82"/>
        <v>0</v>
      </c>
      <c r="J1315" s="7">
        <f t="shared" si="83"/>
        <v>20.047732696897373</v>
      </c>
      <c r="K1315" s="7">
        <f t="shared" si="84"/>
        <v>0</v>
      </c>
    </row>
    <row r="1316" spans="1:11" x14ac:dyDescent="0.35">
      <c r="A1316">
        <v>2021</v>
      </c>
      <c r="B1316">
        <v>3171808</v>
      </c>
      <c r="C1316" t="str">
        <f>VLOOKUP(B1316,SAEB!$A:$B,2,0)</f>
        <v>Virginópolis</v>
      </c>
      <c r="D1316">
        <v>566</v>
      </c>
      <c r="E1316">
        <v>0</v>
      </c>
      <c r="F1316">
        <v>135</v>
      </c>
      <c r="G1316">
        <v>0</v>
      </c>
      <c r="H1316" s="7">
        <f t="shared" si="81"/>
        <v>80.741797432239665</v>
      </c>
      <c r="I1316" s="7">
        <f t="shared" si="82"/>
        <v>0</v>
      </c>
      <c r="J1316" s="7">
        <f t="shared" si="83"/>
        <v>19.258202567760343</v>
      </c>
      <c r="K1316" s="7">
        <f t="shared" si="84"/>
        <v>0</v>
      </c>
    </row>
    <row r="1317" spans="1:11" x14ac:dyDescent="0.35">
      <c r="A1317">
        <v>2021</v>
      </c>
      <c r="B1317">
        <v>3171907</v>
      </c>
      <c r="C1317" t="str">
        <f>VLOOKUP(B1317,SAEB!$A:$B,2,0)</f>
        <v>Virgolândia</v>
      </c>
      <c r="D1317">
        <v>279</v>
      </c>
      <c r="E1317">
        <v>0</v>
      </c>
      <c r="F1317">
        <v>0</v>
      </c>
      <c r="G1317">
        <v>0</v>
      </c>
      <c r="H1317" s="7">
        <f t="shared" si="81"/>
        <v>100</v>
      </c>
      <c r="I1317" s="7">
        <f t="shared" si="82"/>
        <v>0</v>
      </c>
      <c r="J1317" s="7">
        <f t="shared" si="83"/>
        <v>0</v>
      </c>
      <c r="K1317" s="7">
        <f t="shared" si="84"/>
        <v>0</v>
      </c>
    </row>
    <row r="1318" spans="1:11" x14ac:dyDescent="0.35">
      <c r="A1318">
        <v>2022</v>
      </c>
      <c r="B1318">
        <v>3101003</v>
      </c>
      <c r="C1318" t="str">
        <f>VLOOKUP(B1318,SAEB!$A:$B,2,0)</f>
        <v>Águas Vermelhas</v>
      </c>
      <c r="D1318">
        <v>698</v>
      </c>
      <c r="E1318">
        <v>0</v>
      </c>
      <c r="F1318">
        <v>113</v>
      </c>
      <c r="G1318">
        <v>0</v>
      </c>
      <c r="H1318" s="7">
        <f t="shared" si="81"/>
        <v>86.066584463625148</v>
      </c>
      <c r="I1318" s="7">
        <f t="shared" si="82"/>
        <v>0</v>
      </c>
      <c r="J1318" s="7">
        <f t="shared" si="83"/>
        <v>13.933415536374847</v>
      </c>
      <c r="K1318" s="7">
        <f t="shared" si="84"/>
        <v>0</v>
      </c>
    </row>
    <row r="1319" spans="1:11" x14ac:dyDescent="0.35">
      <c r="A1319">
        <v>2022</v>
      </c>
      <c r="B1319">
        <v>3101102</v>
      </c>
      <c r="C1319" t="str">
        <f>VLOOKUP(B1319,SAEB!$A:$B,2,0)</f>
        <v>Aimorés</v>
      </c>
      <c r="D1319">
        <v>661</v>
      </c>
      <c r="E1319">
        <v>429</v>
      </c>
      <c r="F1319">
        <v>44</v>
      </c>
      <c r="G1319">
        <v>0</v>
      </c>
      <c r="H1319" s="7">
        <f t="shared" si="81"/>
        <v>58.289241622574963</v>
      </c>
      <c r="I1319" s="7">
        <f t="shared" si="82"/>
        <v>37.830687830687829</v>
      </c>
      <c r="J1319" s="7">
        <f t="shared" si="83"/>
        <v>3.8800705467372132</v>
      </c>
      <c r="K1319" s="7">
        <f t="shared" si="84"/>
        <v>0</v>
      </c>
    </row>
    <row r="1320" spans="1:11" x14ac:dyDescent="0.35">
      <c r="A1320">
        <v>2022</v>
      </c>
      <c r="B1320">
        <v>3101706</v>
      </c>
      <c r="C1320" t="str">
        <f>VLOOKUP(B1320,SAEB!$A:$B,2,0)</f>
        <v>Almenara</v>
      </c>
      <c r="D1320">
        <v>2170</v>
      </c>
      <c r="E1320">
        <v>513</v>
      </c>
      <c r="F1320">
        <v>341</v>
      </c>
      <c r="G1320">
        <v>181</v>
      </c>
      <c r="H1320" s="7">
        <f t="shared" si="81"/>
        <v>67.706708268330729</v>
      </c>
      <c r="I1320" s="7">
        <f t="shared" si="82"/>
        <v>16.006240249609984</v>
      </c>
      <c r="J1320" s="7">
        <f t="shared" si="83"/>
        <v>10.639625585023401</v>
      </c>
      <c r="K1320" s="7">
        <f t="shared" si="84"/>
        <v>5.6474258970358813</v>
      </c>
    </row>
    <row r="1321" spans="1:11" x14ac:dyDescent="0.35">
      <c r="A1321">
        <v>2022</v>
      </c>
      <c r="B1321">
        <v>3101805</v>
      </c>
      <c r="C1321" t="str">
        <f>VLOOKUP(B1321,SAEB!$A:$B,2,0)</f>
        <v>Alpercata</v>
      </c>
      <c r="D1321">
        <v>369</v>
      </c>
      <c r="E1321">
        <v>177</v>
      </c>
      <c r="F1321">
        <v>54</v>
      </c>
      <c r="G1321">
        <v>0</v>
      </c>
      <c r="H1321" s="7">
        <f t="shared" si="81"/>
        <v>61.5</v>
      </c>
      <c r="I1321" s="7">
        <f t="shared" si="82"/>
        <v>29.5</v>
      </c>
      <c r="J1321" s="7">
        <f t="shared" si="83"/>
        <v>9</v>
      </c>
      <c r="K1321" s="7">
        <f t="shared" si="84"/>
        <v>0</v>
      </c>
    </row>
    <row r="1322" spans="1:11" x14ac:dyDescent="0.35">
      <c r="A1322">
        <v>2022</v>
      </c>
      <c r="B1322">
        <v>3102852</v>
      </c>
      <c r="C1322" t="str">
        <f>VLOOKUP(B1322,SAEB!$A:$B,2,0)</f>
        <v>Angelândia</v>
      </c>
      <c r="D1322">
        <v>473</v>
      </c>
      <c r="E1322">
        <v>0</v>
      </c>
      <c r="F1322">
        <v>31</v>
      </c>
      <c r="G1322">
        <v>0</v>
      </c>
      <c r="H1322" s="7">
        <f t="shared" si="81"/>
        <v>93.849206349206355</v>
      </c>
      <c r="I1322" s="7">
        <f t="shared" si="82"/>
        <v>0</v>
      </c>
      <c r="J1322" s="7">
        <f t="shared" si="83"/>
        <v>6.1507936507936503</v>
      </c>
      <c r="K1322" s="7">
        <f t="shared" si="84"/>
        <v>0</v>
      </c>
    </row>
    <row r="1323" spans="1:11" x14ac:dyDescent="0.35">
      <c r="A1323">
        <v>2022</v>
      </c>
      <c r="B1323">
        <v>3103405</v>
      </c>
      <c r="C1323" t="str">
        <f>VLOOKUP(B1323,SAEB!$A:$B,2,0)</f>
        <v>Araçuaí</v>
      </c>
      <c r="D1323">
        <v>374</v>
      </c>
      <c r="E1323">
        <v>0</v>
      </c>
      <c r="F1323">
        <v>288</v>
      </c>
      <c r="G1323">
        <v>250</v>
      </c>
      <c r="H1323" s="7">
        <f t="shared" si="81"/>
        <v>41.008771929824562</v>
      </c>
      <c r="I1323" s="7">
        <f t="shared" si="82"/>
        <v>0</v>
      </c>
      <c r="J1323" s="7">
        <f t="shared" si="83"/>
        <v>31.578947368421051</v>
      </c>
      <c r="K1323" s="7">
        <f t="shared" si="84"/>
        <v>27.412280701754387</v>
      </c>
    </row>
    <row r="1324" spans="1:11" x14ac:dyDescent="0.35">
      <c r="A1324">
        <v>2022</v>
      </c>
      <c r="B1324">
        <v>3104452</v>
      </c>
      <c r="C1324" t="str">
        <f>VLOOKUP(B1324,SAEB!$A:$B,2,0)</f>
        <v>Aricanduva</v>
      </c>
      <c r="D1324">
        <v>196</v>
      </c>
      <c r="E1324">
        <v>0</v>
      </c>
      <c r="F1324">
        <v>27</v>
      </c>
      <c r="G1324">
        <v>0</v>
      </c>
      <c r="H1324" s="7">
        <f t="shared" si="81"/>
        <v>87.892376681614351</v>
      </c>
      <c r="I1324" s="7">
        <f t="shared" si="82"/>
        <v>0</v>
      </c>
      <c r="J1324" s="7">
        <f t="shared" si="83"/>
        <v>12.107623318385651</v>
      </c>
      <c r="K1324" s="7">
        <f t="shared" si="84"/>
        <v>0</v>
      </c>
    </row>
    <row r="1325" spans="1:11" x14ac:dyDescent="0.35">
      <c r="A1325">
        <v>2022</v>
      </c>
      <c r="B1325">
        <v>3104502</v>
      </c>
      <c r="C1325" t="str">
        <f>VLOOKUP(B1325,SAEB!$A:$B,2,0)</f>
        <v>Arinos</v>
      </c>
      <c r="D1325">
        <v>372</v>
      </c>
      <c r="E1325">
        <v>103</v>
      </c>
      <c r="F1325">
        <v>269</v>
      </c>
      <c r="G1325">
        <v>182</v>
      </c>
      <c r="H1325" s="7">
        <f t="shared" si="81"/>
        <v>40.172786177105827</v>
      </c>
      <c r="I1325" s="7">
        <f t="shared" si="82"/>
        <v>11.123110151187905</v>
      </c>
      <c r="J1325" s="7">
        <f t="shared" si="83"/>
        <v>29.049676025917925</v>
      </c>
      <c r="K1325" s="7">
        <f t="shared" si="84"/>
        <v>19.654427645788335</v>
      </c>
    </row>
    <row r="1326" spans="1:11" x14ac:dyDescent="0.35">
      <c r="A1326">
        <v>2022</v>
      </c>
      <c r="B1326">
        <v>3104700</v>
      </c>
      <c r="C1326" t="str">
        <f>VLOOKUP(B1326,SAEB!$A:$B,2,0)</f>
        <v>Ataléia</v>
      </c>
      <c r="D1326">
        <v>167</v>
      </c>
      <c r="E1326">
        <v>54</v>
      </c>
      <c r="F1326">
        <v>325</v>
      </c>
      <c r="G1326">
        <v>0</v>
      </c>
      <c r="H1326" s="7">
        <f t="shared" si="81"/>
        <v>30.586080586080588</v>
      </c>
      <c r="I1326" s="7">
        <f t="shared" si="82"/>
        <v>9.8901098901098905</v>
      </c>
      <c r="J1326" s="7">
        <f t="shared" si="83"/>
        <v>59.523809523809526</v>
      </c>
      <c r="K1326" s="7">
        <f t="shared" si="84"/>
        <v>0</v>
      </c>
    </row>
    <row r="1327" spans="1:11" x14ac:dyDescent="0.35">
      <c r="A1327">
        <v>2022</v>
      </c>
      <c r="B1327">
        <v>3105202</v>
      </c>
      <c r="C1327" t="str">
        <f>VLOOKUP(B1327,SAEB!$A:$B,2,0)</f>
        <v>Bandeira</v>
      </c>
      <c r="D1327">
        <v>133</v>
      </c>
      <c r="E1327">
        <v>0</v>
      </c>
      <c r="F1327">
        <v>45</v>
      </c>
      <c r="G1327">
        <v>49</v>
      </c>
      <c r="H1327" s="7">
        <f t="shared" si="81"/>
        <v>58.590308370044056</v>
      </c>
      <c r="I1327" s="7">
        <f t="shared" si="82"/>
        <v>0</v>
      </c>
      <c r="J1327" s="7">
        <f t="shared" si="83"/>
        <v>19.823788546255507</v>
      </c>
      <c r="K1327" s="7">
        <f t="shared" si="84"/>
        <v>21.58590308370044</v>
      </c>
    </row>
    <row r="1328" spans="1:11" x14ac:dyDescent="0.35">
      <c r="A1328">
        <v>2022</v>
      </c>
      <c r="B1328">
        <v>3106655</v>
      </c>
      <c r="C1328" t="str">
        <f>VLOOKUP(B1328,SAEB!$A:$B,2,0)</f>
        <v>Berizal</v>
      </c>
      <c r="D1328">
        <v>211</v>
      </c>
      <c r="E1328">
        <v>0</v>
      </c>
      <c r="F1328">
        <v>73</v>
      </c>
      <c r="G1328">
        <v>0</v>
      </c>
      <c r="H1328" s="7">
        <f t="shared" si="81"/>
        <v>74.295774647887328</v>
      </c>
      <c r="I1328" s="7">
        <f t="shared" si="82"/>
        <v>0</v>
      </c>
      <c r="J1328" s="7">
        <f t="shared" si="83"/>
        <v>25.704225352112676</v>
      </c>
      <c r="K1328" s="7">
        <f t="shared" si="84"/>
        <v>0</v>
      </c>
    </row>
    <row r="1329" spans="1:11" x14ac:dyDescent="0.35">
      <c r="A1329">
        <v>2022</v>
      </c>
      <c r="B1329">
        <v>3107307</v>
      </c>
      <c r="C1329" t="str">
        <f>VLOOKUP(B1329,SAEB!$A:$B,2,0)</f>
        <v>Bocaiúva</v>
      </c>
      <c r="D1329">
        <v>397</v>
      </c>
      <c r="E1329">
        <v>280</v>
      </c>
      <c r="F1329">
        <v>259</v>
      </c>
      <c r="G1329">
        <v>190</v>
      </c>
      <c r="H1329" s="7">
        <f t="shared" si="81"/>
        <v>35.257548845470694</v>
      </c>
      <c r="I1329" s="7">
        <f t="shared" si="82"/>
        <v>24.866785079928952</v>
      </c>
      <c r="J1329" s="7">
        <f t="shared" si="83"/>
        <v>23.00177619893428</v>
      </c>
      <c r="K1329" s="7">
        <f t="shared" si="84"/>
        <v>16.873889875666073</v>
      </c>
    </row>
    <row r="1330" spans="1:11" x14ac:dyDescent="0.35">
      <c r="A1330">
        <v>2022</v>
      </c>
      <c r="B1330">
        <v>3108206</v>
      </c>
      <c r="C1330" t="str">
        <f>VLOOKUP(B1330,SAEB!$A:$B,2,0)</f>
        <v>Bonfinópolis de Minas</v>
      </c>
      <c r="D1330">
        <v>218</v>
      </c>
      <c r="E1330">
        <v>197</v>
      </c>
      <c r="F1330">
        <v>26</v>
      </c>
      <c r="G1330">
        <v>0</v>
      </c>
      <c r="H1330" s="7">
        <f t="shared" si="81"/>
        <v>49.43310657596372</v>
      </c>
      <c r="I1330" s="7">
        <f t="shared" si="82"/>
        <v>44.671201814058961</v>
      </c>
      <c r="J1330" s="7">
        <f t="shared" si="83"/>
        <v>5.895691609977324</v>
      </c>
      <c r="K1330" s="7">
        <f t="shared" si="84"/>
        <v>0</v>
      </c>
    </row>
    <row r="1331" spans="1:11" x14ac:dyDescent="0.35">
      <c r="A1331">
        <v>2022</v>
      </c>
      <c r="B1331">
        <v>3108602</v>
      </c>
      <c r="C1331" t="str">
        <f>VLOOKUP(B1331,SAEB!$A:$B,2,0)</f>
        <v>Brasília de Minas</v>
      </c>
      <c r="D1331">
        <v>0</v>
      </c>
      <c r="E1331">
        <v>126</v>
      </c>
      <c r="F1331">
        <v>409</v>
      </c>
      <c r="G1331">
        <v>104</v>
      </c>
      <c r="H1331" s="7">
        <f t="shared" si="81"/>
        <v>0</v>
      </c>
      <c r="I1331" s="7">
        <f t="shared" si="82"/>
        <v>19.718309859154928</v>
      </c>
      <c r="J1331" s="7">
        <f t="shared" si="83"/>
        <v>64.006259780907669</v>
      </c>
      <c r="K1331" s="7">
        <f t="shared" si="84"/>
        <v>16.275430359937403</v>
      </c>
    </row>
    <row r="1332" spans="1:11" x14ac:dyDescent="0.35">
      <c r="A1332">
        <v>2022</v>
      </c>
      <c r="B1332">
        <v>3109204</v>
      </c>
      <c r="C1332" t="str">
        <f>VLOOKUP(B1332,SAEB!$A:$B,2,0)</f>
        <v>Buenópolis</v>
      </c>
      <c r="D1332">
        <v>577</v>
      </c>
      <c r="E1332">
        <v>0</v>
      </c>
      <c r="F1332">
        <v>39</v>
      </c>
      <c r="G1332">
        <v>0</v>
      </c>
      <c r="H1332" s="7">
        <f t="shared" si="81"/>
        <v>93.668831168831161</v>
      </c>
      <c r="I1332" s="7">
        <f t="shared" si="82"/>
        <v>0</v>
      </c>
      <c r="J1332" s="7">
        <f t="shared" si="83"/>
        <v>6.3311688311688306</v>
      </c>
      <c r="K1332" s="7">
        <f t="shared" si="84"/>
        <v>0</v>
      </c>
    </row>
    <row r="1333" spans="1:11" x14ac:dyDescent="0.35">
      <c r="A1333">
        <v>2022</v>
      </c>
      <c r="B1333">
        <v>3109402</v>
      </c>
      <c r="C1333" t="str">
        <f>VLOOKUP(B1333,SAEB!$A:$B,2,0)</f>
        <v>Buritizeiro</v>
      </c>
      <c r="D1333">
        <v>954</v>
      </c>
      <c r="E1333">
        <v>0</v>
      </c>
      <c r="F1333">
        <v>106</v>
      </c>
      <c r="G1333">
        <v>0</v>
      </c>
      <c r="H1333" s="7">
        <f t="shared" si="81"/>
        <v>90</v>
      </c>
      <c r="I1333" s="7">
        <f t="shared" si="82"/>
        <v>0</v>
      </c>
      <c r="J1333" s="7">
        <f t="shared" si="83"/>
        <v>10</v>
      </c>
      <c r="K1333" s="7">
        <f t="shared" si="84"/>
        <v>0</v>
      </c>
    </row>
    <row r="1334" spans="1:11" x14ac:dyDescent="0.35">
      <c r="A1334">
        <v>2022</v>
      </c>
      <c r="B1334">
        <v>3102704</v>
      </c>
      <c r="C1334" t="str">
        <f>VLOOKUP(B1334,SAEB!$A:$B,2,0)</f>
        <v>Cachoeira de Pajeú</v>
      </c>
      <c r="D1334">
        <v>185</v>
      </c>
      <c r="E1334">
        <v>0</v>
      </c>
      <c r="F1334">
        <v>287</v>
      </c>
      <c r="G1334">
        <v>69</v>
      </c>
      <c r="H1334" s="7">
        <f t="shared" si="81"/>
        <v>34.195933456561924</v>
      </c>
      <c r="I1334" s="7">
        <f t="shared" si="82"/>
        <v>0</v>
      </c>
      <c r="J1334" s="7">
        <f t="shared" si="83"/>
        <v>53.049907578558233</v>
      </c>
      <c r="K1334" s="7">
        <f t="shared" si="84"/>
        <v>12.754158964879853</v>
      </c>
    </row>
    <row r="1335" spans="1:11" x14ac:dyDescent="0.35">
      <c r="A1335">
        <v>2022</v>
      </c>
      <c r="B1335">
        <v>3110806</v>
      </c>
      <c r="C1335" t="str">
        <f>VLOOKUP(B1335,SAEB!$A:$B,2,0)</f>
        <v>Campanário</v>
      </c>
      <c r="D1335">
        <v>215</v>
      </c>
      <c r="E1335">
        <v>0</v>
      </c>
      <c r="F1335">
        <v>0</v>
      </c>
      <c r="G1335">
        <v>0</v>
      </c>
      <c r="H1335" s="7">
        <f t="shared" si="81"/>
        <v>100</v>
      </c>
      <c r="I1335" s="7">
        <f t="shared" si="82"/>
        <v>0</v>
      </c>
      <c r="J1335" s="7">
        <f t="shared" si="83"/>
        <v>0</v>
      </c>
      <c r="K1335" s="7">
        <f t="shared" si="84"/>
        <v>0</v>
      </c>
    </row>
    <row r="1336" spans="1:11" x14ac:dyDescent="0.35">
      <c r="A1336">
        <v>2022</v>
      </c>
      <c r="B1336">
        <v>3111150</v>
      </c>
      <c r="C1336" t="str">
        <f>VLOOKUP(B1336,SAEB!$A:$B,2,0)</f>
        <v>Campo Azul</v>
      </c>
      <c r="D1336">
        <v>134</v>
      </c>
      <c r="E1336">
        <v>0</v>
      </c>
      <c r="F1336">
        <v>100</v>
      </c>
      <c r="G1336">
        <v>57</v>
      </c>
      <c r="H1336" s="7">
        <f t="shared" si="81"/>
        <v>46.048109965635739</v>
      </c>
      <c r="I1336" s="7">
        <f t="shared" si="82"/>
        <v>0</v>
      </c>
      <c r="J1336" s="7">
        <f t="shared" si="83"/>
        <v>34.364261168384878</v>
      </c>
      <c r="K1336" s="7">
        <f t="shared" si="84"/>
        <v>19.587628865979383</v>
      </c>
    </row>
    <row r="1337" spans="1:11" x14ac:dyDescent="0.35">
      <c r="A1337">
        <v>2022</v>
      </c>
      <c r="B1337">
        <v>3112059</v>
      </c>
      <c r="C1337" t="str">
        <f>VLOOKUP(B1337,SAEB!$A:$B,2,0)</f>
        <v>Cantagalo</v>
      </c>
      <c r="D1337">
        <v>219</v>
      </c>
      <c r="E1337">
        <v>0</v>
      </c>
      <c r="F1337">
        <v>66</v>
      </c>
      <c r="G1337">
        <v>0</v>
      </c>
      <c r="H1337" s="7">
        <f t="shared" si="81"/>
        <v>76.84210526315789</v>
      </c>
      <c r="I1337" s="7">
        <f t="shared" si="82"/>
        <v>0</v>
      </c>
      <c r="J1337" s="7">
        <f t="shared" si="83"/>
        <v>23.157894736842106</v>
      </c>
      <c r="K1337" s="7">
        <f t="shared" si="84"/>
        <v>0</v>
      </c>
    </row>
    <row r="1338" spans="1:11" x14ac:dyDescent="0.35">
      <c r="A1338">
        <v>2022</v>
      </c>
      <c r="B1338">
        <v>3112307</v>
      </c>
      <c r="C1338" t="str">
        <f>VLOOKUP(B1338,SAEB!$A:$B,2,0)</f>
        <v>Capelinha</v>
      </c>
      <c r="D1338">
        <v>686</v>
      </c>
      <c r="E1338">
        <v>0</v>
      </c>
      <c r="F1338">
        <v>287</v>
      </c>
      <c r="G1338">
        <v>0</v>
      </c>
      <c r="H1338" s="7">
        <f t="shared" si="81"/>
        <v>70.503597122302153</v>
      </c>
      <c r="I1338" s="7">
        <f t="shared" si="82"/>
        <v>0</v>
      </c>
      <c r="J1338" s="7">
        <f t="shared" si="83"/>
        <v>29.496402877697843</v>
      </c>
      <c r="K1338" s="7">
        <f t="shared" si="84"/>
        <v>0</v>
      </c>
    </row>
    <row r="1339" spans="1:11" x14ac:dyDescent="0.35">
      <c r="A1339">
        <v>2022</v>
      </c>
      <c r="B1339">
        <v>3112703</v>
      </c>
      <c r="C1339" t="str">
        <f>VLOOKUP(B1339,SAEB!$A:$B,2,0)</f>
        <v>Capitão Enéas</v>
      </c>
      <c r="D1339">
        <v>391</v>
      </c>
      <c r="E1339">
        <v>209</v>
      </c>
      <c r="F1339">
        <v>54</v>
      </c>
      <c r="G1339">
        <v>34</v>
      </c>
      <c r="H1339" s="7">
        <f t="shared" si="81"/>
        <v>56.831395348837212</v>
      </c>
      <c r="I1339" s="7">
        <f t="shared" si="82"/>
        <v>30.377906976744185</v>
      </c>
      <c r="J1339" s="7">
        <f t="shared" si="83"/>
        <v>7.8488372093023253</v>
      </c>
      <c r="K1339" s="7">
        <f t="shared" si="84"/>
        <v>4.941860465116279</v>
      </c>
    </row>
    <row r="1340" spans="1:11" x14ac:dyDescent="0.35">
      <c r="A1340">
        <v>2022</v>
      </c>
      <c r="B1340">
        <v>3113008</v>
      </c>
      <c r="C1340" t="str">
        <f>VLOOKUP(B1340,SAEB!$A:$B,2,0)</f>
        <v>Caraí</v>
      </c>
      <c r="D1340">
        <v>57</v>
      </c>
      <c r="E1340">
        <v>153</v>
      </c>
      <c r="F1340">
        <v>546</v>
      </c>
      <c r="G1340">
        <v>329</v>
      </c>
      <c r="H1340" s="7">
        <f t="shared" si="81"/>
        <v>5.2534562211981566</v>
      </c>
      <c r="I1340" s="7">
        <f t="shared" si="82"/>
        <v>14.101382488479263</v>
      </c>
      <c r="J1340" s="7">
        <f t="shared" si="83"/>
        <v>50.322580645161288</v>
      </c>
      <c r="K1340" s="7">
        <f t="shared" si="84"/>
        <v>30.322580645161288</v>
      </c>
    </row>
    <row r="1341" spans="1:11" x14ac:dyDescent="0.35">
      <c r="A1341">
        <v>2022</v>
      </c>
      <c r="B1341">
        <v>3113503</v>
      </c>
      <c r="C1341" t="str">
        <f>VLOOKUP(B1341,SAEB!$A:$B,2,0)</f>
        <v>Carbonita</v>
      </c>
      <c r="D1341">
        <v>484</v>
      </c>
      <c r="E1341">
        <v>0</v>
      </c>
      <c r="F1341">
        <v>49</v>
      </c>
      <c r="G1341">
        <v>27</v>
      </c>
      <c r="H1341" s="7">
        <f t="shared" si="81"/>
        <v>86.428571428571431</v>
      </c>
      <c r="I1341" s="7">
        <f t="shared" si="82"/>
        <v>0</v>
      </c>
      <c r="J1341" s="7">
        <f t="shared" si="83"/>
        <v>8.75</v>
      </c>
      <c r="K1341" s="7">
        <f t="shared" si="84"/>
        <v>4.8214285714285721</v>
      </c>
    </row>
    <row r="1342" spans="1:11" x14ac:dyDescent="0.35">
      <c r="A1342">
        <v>2022</v>
      </c>
      <c r="B1342">
        <v>3113701</v>
      </c>
      <c r="C1342" t="str">
        <f>VLOOKUP(B1342,SAEB!$A:$B,2,0)</f>
        <v>Carlos Chagas</v>
      </c>
      <c r="D1342">
        <v>830</v>
      </c>
      <c r="E1342">
        <v>253</v>
      </c>
      <c r="F1342">
        <v>240</v>
      </c>
      <c r="G1342">
        <v>110</v>
      </c>
      <c r="H1342" s="7">
        <f t="shared" si="81"/>
        <v>57.920446615491969</v>
      </c>
      <c r="I1342" s="7">
        <f t="shared" si="82"/>
        <v>17.655268667131889</v>
      </c>
      <c r="J1342" s="7">
        <f t="shared" si="83"/>
        <v>16.748080949057918</v>
      </c>
      <c r="K1342" s="7">
        <f t="shared" si="84"/>
        <v>7.6762037683182145</v>
      </c>
    </row>
    <row r="1343" spans="1:11" x14ac:dyDescent="0.35">
      <c r="A1343">
        <v>2022</v>
      </c>
      <c r="B1343">
        <v>3113800</v>
      </c>
      <c r="C1343" t="str">
        <f>VLOOKUP(B1343,SAEB!$A:$B,2,0)</f>
        <v>Carmésia</v>
      </c>
      <c r="D1343">
        <v>147</v>
      </c>
      <c r="E1343">
        <v>150</v>
      </c>
      <c r="F1343">
        <v>0</v>
      </c>
      <c r="G1343">
        <v>0</v>
      </c>
      <c r="H1343" s="7">
        <f t="shared" si="81"/>
        <v>49.494949494949495</v>
      </c>
      <c r="I1343" s="7">
        <f t="shared" si="82"/>
        <v>50.505050505050505</v>
      </c>
      <c r="J1343" s="7">
        <f t="shared" si="83"/>
        <v>0</v>
      </c>
      <c r="K1343" s="7">
        <f t="shared" si="84"/>
        <v>0</v>
      </c>
    </row>
    <row r="1344" spans="1:11" x14ac:dyDescent="0.35">
      <c r="A1344">
        <v>2022</v>
      </c>
      <c r="B1344">
        <v>3115458</v>
      </c>
      <c r="C1344" t="str">
        <f>VLOOKUP(B1344,SAEB!$A:$B,2,0)</f>
        <v>Catuji</v>
      </c>
      <c r="D1344">
        <v>228</v>
      </c>
      <c r="E1344">
        <v>0</v>
      </c>
      <c r="F1344">
        <v>245</v>
      </c>
      <c r="G1344">
        <v>0</v>
      </c>
      <c r="H1344" s="7">
        <f t="shared" si="81"/>
        <v>48.20295983086681</v>
      </c>
      <c r="I1344" s="7">
        <f t="shared" si="82"/>
        <v>0</v>
      </c>
      <c r="J1344" s="7">
        <f t="shared" si="83"/>
        <v>51.79704016913319</v>
      </c>
      <c r="K1344" s="7">
        <f t="shared" si="84"/>
        <v>0</v>
      </c>
    </row>
    <row r="1345" spans="1:11" x14ac:dyDescent="0.35">
      <c r="A1345">
        <v>2022</v>
      </c>
      <c r="B1345">
        <v>3115474</v>
      </c>
      <c r="C1345" t="str">
        <f>VLOOKUP(B1345,SAEB!$A:$B,2,0)</f>
        <v>Catuti</v>
      </c>
      <c r="D1345">
        <v>228</v>
      </c>
      <c r="E1345">
        <v>0</v>
      </c>
      <c r="F1345">
        <v>77</v>
      </c>
      <c r="G1345">
        <v>51</v>
      </c>
      <c r="H1345" s="7">
        <f t="shared" si="81"/>
        <v>64.044943820224717</v>
      </c>
      <c r="I1345" s="7">
        <f t="shared" si="82"/>
        <v>0</v>
      </c>
      <c r="J1345" s="7">
        <f t="shared" si="83"/>
        <v>21.629213483146067</v>
      </c>
      <c r="K1345" s="7">
        <f t="shared" si="84"/>
        <v>14.325842696629213</v>
      </c>
    </row>
    <row r="1346" spans="1:11" x14ac:dyDescent="0.35">
      <c r="A1346">
        <v>2022</v>
      </c>
      <c r="B1346">
        <v>3116100</v>
      </c>
      <c r="C1346" t="str">
        <f>VLOOKUP(B1346,SAEB!$A:$B,2,0)</f>
        <v>Chapada do Norte</v>
      </c>
      <c r="D1346">
        <v>152</v>
      </c>
      <c r="E1346">
        <v>0</v>
      </c>
      <c r="F1346">
        <v>199</v>
      </c>
      <c r="G1346">
        <v>0</v>
      </c>
      <c r="H1346" s="7">
        <f t="shared" si="81"/>
        <v>43.304843304843303</v>
      </c>
      <c r="I1346" s="7">
        <f t="shared" si="82"/>
        <v>0</v>
      </c>
      <c r="J1346" s="7">
        <f t="shared" si="83"/>
        <v>56.69515669515669</v>
      </c>
      <c r="K1346" s="7">
        <f t="shared" si="84"/>
        <v>0</v>
      </c>
    </row>
    <row r="1347" spans="1:11" x14ac:dyDescent="0.35">
      <c r="A1347">
        <v>2022</v>
      </c>
      <c r="B1347">
        <v>3116159</v>
      </c>
      <c r="C1347" t="str">
        <f>VLOOKUP(B1347,SAEB!$A:$B,2,0)</f>
        <v>Chapada Gaúcha</v>
      </c>
      <c r="D1347">
        <v>535</v>
      </c>
      <c r="E1347">
        <v>125</v>
      </c>
      <c r="F1347">
        <v>255</v>
      </c>
      <c r="G1347">
        <v>229</v>
      </c>
      <c r="H1347" s="7">
        <f t="shared" ref="H1347:H1410" si="85">D1347/SUM($D1347:$G1347)*100</f>
        <v>46.765734265734267</v>
      </c>
      <c r="I1347" s="7">
        <f t="shared" ref="I1347:I1410" si="86">E1347/SUM($D1347:$G1347)*100</f>
        <v>10.926573426573427</v>
      </c>
      <c r="J1347" s="7">
        <f t="shared" ref="J1347:J1410" si="87">F1347/SUM($D1347:$G1347)*100</f>
        <v>22.29020979020979</v>
      </c>
      <c r="K1347" s="7">
        <f t="shared" ref="K1347:K1410" si="88">G1347/SUM($D1347:$G1347)*100</f>
        <v>20.017482517482517</v>
      </c>
    </row>
    <row r="1348" spans="1:11" x14ac:dyDescent="0.35">
      <c r="A1348">
        <v>2022</v>
      </c>
      <c r="B1348">
        <v>3116506</v>
      </c>
      <c r="C1348" t="str">
        <f>VLOOKUP(B1348,SAEB!$A:$B,2,0)</f>
        <v>Claro dos Poções</v>
      </c>
      <c r="D1348">
        <v>401</v>
      </c>
      <c r="E1348">
        <v>0</v>
      </c>
      <c r="F1348">
        <v>17</v>
      </c>
      <c r="G1348">
        <v>15</v>
      </c>
      <c r="H1348" s="7">
        <f t="shared" si="85"/>
        <v>92.609699769053123</v>
      </c>
      <c r="I1348" s="7">
        <f t="shared" si="86"/>
        <v>0</v>
      </c>
      <c r="J1348" s="7">
        <f t="shared" si="87"/>
        <v>3.9260969976905313</v>
      </c>
      <c r="K1348" s="7">
        <f t="shared" si="88"/>
        <v>3.4642032332563506</v>
      </c>
    </row>
    <row r="1349" spans="1:11" x14ac:dyDescent="0.35">
      <c r="A1349">
        <v>2022</v>
      </c>
      <c r="B1349">
        <v>3116803</v>
      </c>
      <c r="C1349" t="str">
        <f>VLOOKUP(B1349,SAEB!$A:$B,2,0)</f>
        <v>Coluna</v>
      </c>
      <c r="D1349">
        <v>137</v>
      </c>
      <c r="E1349">
        <v>0</v>
      </c>
      <c r="F1349">
        <v>182</v>
      </c>
      <c r="G1349">
        <v>0</v>
      </c>
      <c r="H1349" s="7">
        <f t="shared" si="85"/>
        <v>42.946708463949847</v>
      </c>
      <c r="I1349" s="7">
        <f t="shared" si="86"/>
        <v>0</v>
      </c>
      <c r="J1349" s="7">
        <f t="shared" si="87"/>
        <v>57.053291536050153</v>
      </c>
      <c r="K1349" s="7">
        <f t="shared" si="88"/>
        <v>0</v>
      </c>
    </row>
    <row r="1350" spans="1:11" x14ac:dyDescent="0.35">
      <c r="A1350">
        <v>2022</v>
      </c>
      <c r="B1350">
        <v>3117009</v>
      </c>
      <c r="C1350" t="str">
        <f>VLOOKUP(B1350,SAEB!$A:$B,2,0)</f>
        <v>Comercinho</v>
      </c>
      <c r="D1350">
        <v>205</v>
      </c>
      <c r="E1350">
        <v>0</v>
      </c>
      <c r="F1350">
        <v>165</v>
      </c>
      <c r="G1350">
        <v>82</v>
      </c>
      <c r="H1350" s="7">
        <f t="shared" si="85"/>
        <v>45.353982300884951</v>
      </c>
      <c r="I1350" s="7">
        <f t="shared" si="86"/>
        <v>0</v>
      </c>
      <c r="J1350" s="7">
        <f t="shared" si="87"/>
        <v>36.504424778761063</v>
      </c>
      <c r="K1350" s="7">
        <f t="shared" si="88"/>
        <v>18.141592920353983</v>
      </c>
    </row>
    <row r="1351" spans="1:11" x14ac:dyDescent="0.35">
      <c r="A1351">
        <v>2022</v>
      </c>
      <c r="B1351">
        <v>3118403</v>
      </c>
      <c r="C1351" t="str">
        <f>VLOOKUP(B1351,SAEB!$A:$B,2,0)</f>
        <v>Conselheiro Pena</v>
      </c>
      <c r="D1351">
        <v>793</v>
      </c>
      <c r="E1351">
        <v>86</v>
      </c>
      <c r="F1351">
        <v>81</v>
      </c>
      <c r="G1351">
        <v>56</v>
      </c>
      <c r="H1351" s="7">
        <f t="shared" si="85"/>
        <v>78.051181102362193</v>
      </c>
      <c r="I1351" s="7">
        <f t="shared" si="86"/>
        <v>8.4645669291338592</v>
      </c>
      <c r="J1351" s="7">
        <f t="shared" si="87"/>
        <v>7.9724409448818898</v>
      </c>
      <c r="K1351" s="7">
        <f t="shared" si="88"/>
        <v>5.5118110236220472</v>
      </c>
    </row>
    <row r="1352" spans="1:11" x14ac:dyDescent="0.35">
      <c r="A1352">
        <v>2022</v>
      </c>
      <c r="B1352">
        <v>3119104</v>
      </c>
      <c r="C1352" t="str">
        <f>VLOOKUP(B1352,SAEB!$A:$B,2,0)</f>
        <v>Corinto</v>
      </c>
      <c r="D1352">
        <v>1225</v>
      </c>
      <c r="E1352">
        <v>397</v>
      </c>
      <c r="F1352">
        <v>18</v>
      </c>
      <c r="G1352">
        <v>0</v>
      </c>
      <c r="H1352" s="7">
        <f t="shared" si="85"/>
        <v>74.695121951219505</v>
      </c>
      <c r="I1352" s="7">
        <f t="shared" si="86"/>
        <v>24.207317073170731</v>
      </c>
      <c r="J1352" s="7">
        <f t="shared" si="87"/>
        <v>1.097560975609756</v>
      </c>
      <c r="K1352" s="7">
        <f t="shared" si="88"/>
        <v>0</v>
      </c>
    </row>
    <row r="1353" spans="1:11" x14ac:dyDescent="0.35">
      <c r="A1353">
        <v>2022</v>
      </c>
      <c r="B1353">
        <v>3119203</v>
      </c>
      <c r="C1353" t="str">
        <f>VLOOKUP(B1353,SAEB!$A:$B,2,0)</f>
        <v>Coroaci</v>
      </c>
      <c r="D1353">
        <v>326</v>
      </c>
      <c r="E1353">
        <v>54</v>
      </c>
      <c r="F1353">
        <v>151</v>
      </c>
      <c r="G1353">
        <v>107</v>
      </c>
      <c r="H1353" s="7">
        <f t="shared" si="85"/>
        <v>51.097178683385579</v>
      </c>
      <c r="I1353" s="7">
        <f t="shared" si="86"/>
        <v>8.4639498432601883</v>
      </c>
      <c r="J1353" s="7">
        <f t="shared" si="87"/>
        <v>23.667711598746084</v>
      </c>
      <c r="K1353" s="7">
        <f t="shared" si="88"/>
        <v>16.771159874608148</v>
      </c>
    </row>
    <row r="1354" spans="1:11" x14ac:dyDescent="0.35">
      <c r="A1354">
        <v>2022</v>
      </c>
      <c r="B1354">
        <v>3119500</v>
      </c>
      <c r="C1354" t="str">
        <f>VLOOKUP(B1354,SAEB!$A:$B,2,0)</f>
        <v>Coronel Murta</v>
      </c>
      <c r="D1354">
        <v>457</v>
      </c>
      <c r="E1354">
        <v>330</v>
      </c>
      <c r="F1354">
        <v>30</v>
      </c>
      <c r="G1354">
        <v>0</v>
      </c>
      <c r="H1354" s="7">
        <f t="shared" si="85"/>
        <v>55.936352509179933</v>
      </c>
      <c r="I1354" s="7">
        <f t="shared" si="86"/>
        <v>40.391676866585073</v>
      </c>
      <c r="J1354" s="7">
        <f t="shared" si="87"/>
        <v>3.6719706242350063</v>
      </c>
      <c r="K1354" s="7">
        <f t="shared" si="88"/>
        <v>0</v>
      </c>
    </row>
    <row r="1355" spans="1:11" x14ac:dyDescent="0.35">
      <c r="A1355">
        <v>2022</v>
      </c>
      <c r="B1355">
        <v>3120151</v>
      </c>
      <c r="C1355" t="str">
        <f>VLOOKUP(B1355,SAEB!$A:$B,2,0)</f>
        <v>Crisólita</v>
      </c>
      <c r="D1355">
        <v>329</v>
      </c>
      <c r="E1355">
        <v>122</v>
      </c>
      <c r="F1355">
        <v>0</v>
      </c>
      <c r="G1355">
        <v>0</v>
      </c>
      <c r="H1355" s="7">
        <f t="shared" si="85"/>
        <v>72.949002217294904</v>
      </c>
      <c r="I1355" s="7">
        <f t="shared" si="86"/>
        <v>27.0509977827051</v>
      </c>
      <c r="J1355" s="7">
        <f t="shared" si="87"/>
        <v>0</v>
      </c>
      <c r="K1355" s="7">
        <f t="shared" si="88"/>
        <v>0</v>
      </c>
    </row>
    <row r="1356" spans="1:11" x14ac:dyDescent="0.35">
      <c r="A1356">
        <v>2022</v>
      </c>
      <c r="B1356">
        <v>3120870</v>
      </c>
      <c r="C1356" t="str">
        <f>VLOOKUP(B1356,SAEB!$A:$B,2,0)</f>
        <v>Curral de Dentro</v>
      </c>
      <c r="D1356">
        <v>403</v>
      </c>
      <c r="E1356">
        <v>0</v>
      </c>
      <c r="F1356">
        <v>164</v>
      </c>
      <c r="G1356">
        <v>0</v>
      </c>
      <c r="H1356" s="7">
        <f t="shared" si="85"/>
        <v>71.075837742504405</v>
      </c>
      <c r="I1356" s="7">
        <f t="shared" si="86"/>
        <v>0</v>
      </c>
      <c r="J1356" s="7">
        <f t="shared" si="87"/>
        <v>28.924162257495588</v>
      </c>
      <c r="K1356" s="7">
        <f t="shared" si="88"/>
        <v>0</v>
      </c>
    </row>
    <row r="1357" spans="1:11" x14ac:dyDescent="0.35">
      <c r="A1357">
        <v>2022</v>
      </c>
      <c r="B1357">
        <v>3120904</v>
      </c>
      <c r="C1357" t="str">
        <f>VLOOKUP(B1357,SAEB!$A:$B,2,0)</f>
        <v>Curvelo</v>
      </c>
      <c r="D1357">
        <v>3880</v>
      </c>
      <c r="E1357">
        <v>0</v>
      </c>
      <c r="F1357">
        <v>426</v>
      </c>
      <c r="G1357">
        <v>0</v>
      </c>
      <c r="H1357" s="7">
        <f t="shared" si="85"/>
        <v>90.106827682303759</v>
      </c>
      <c r="I1357" s="7">
        <f t="shared" si="86"/>
        <v>0</v>
      </c>
      <c r="J1357" s="7">
        <f t="shared" si="87"/>
        <v>9.8931723176962372</v>
      </c>
      <c r="K1357" s="7">
        <f t="shared" si="88"/>
        <v>0</v>
      </c>
    </row>
    <row r="1358" spans="1:11" x14ac:dyDescent="0.35">
      <c r="A1358">
        <v>2022</v>
      </c>
      <c r="B1358">
        <v>3121001</v>
      </c>
      <c r="C1358" t="str">
        <f>VLOOKUP(B1358,SAEB!$A:$B,2,0)</f>
        <v>Datas</v>
      </c>
      <c r="D1358">
        <v>271</v>
      </c>
      <c r="E1358">
        <v>0</v>
      </c>
      <c r="F1358">
        <v>141</v>
      </c>
      <c r="G1358">
        <v>0</v>
      </c>
      <c r="H1358" s="7">
        <f t="shared" si="85"/>
        <v>65.77669902912622</v>
      </c>
      <c r="I1358" s="7">
        <f t="shared" si="86"/>
        <v>0</v>
      </c>
      <c r="J1358" s="7">
        <f t="shared" si="87"/>
        <v>34.223300970873787</v>
      </c>
      <c r="K1358" s="7">
        <f t="shared" si="88"/>
        <v>0</v>
      </c>
    </row>
    <row r="1359" spans="1:11" x14ac:dyDescent="0.35">
      <c r="A1359">
        <v>2022</v>
      </c>
      <c r="B1359">
        <v>3121605</v>
      </c>
      <c r="C1359" t="str">
        <f>VLOOKUP(B1359,SAEB!$A:$B,2,0)</f>
        <v>Diamantina</v>
      </c>
      <c r="D1359">
        <v>733</v>
      </c>
      <c r="E1359">
        <v>64</v>
      </c>
      <c r="F1359">
        <v>326</v>
      </c>
      <c r="G1359">
        <v>64</v>
      </c>
      <c r="H1359" s="7">
        <f t="shared" si="85"/>
        <v>61.752316764953662</v>
      </c>
      <c r="I1359" s="7">
        <f t="shared" si="86"/>
        <v>5.3917438921651222</v>
      </c>
      <c r="J1359" s="7">
        <f t="shared" si="87"/>
        <v>27.46419545071609</v>
      </c>
      <c r="K1359" s="7">
        <f t="shared" si="88"/>
        <v>5.3917438921651222</v>
      </c>
    </row>
    <row r="1360" spans="1:11" x14ac:dyDescent="0.35">
      <c r="A1360">
        <v>2022</v>
      </c>
      <c r="B1360">
        <v>3122108</v>
      </c>
      <c r="C1360" t="str">
        <f>VLOOKUP(B1360,SAEB!$A:$B,2,0)</f>
        <v>Divino das Laranjeiras</v>
      </c>
      <c r="D1360">
        <v>135</v>
      </c>
      <c r="E1360">
        <v>0</v>
      </c>
      <c r="F1360">
        <v>0</v>
      </c>
      <c r="G1360">
        <v>0</v>
      </c>
      <c r="H1360" s="7">
        <f t="shared" si="85"/>
        <v>100</v>
      </c>
      <c r="I1360" s="7">
        <f t="shared" si="86"/>
        <v>0</v>
      </c>
      <c r="J1360" s="7">
        <f t="shared" si="87"/>
        <v>0</v>
      </c>
      <c r="K1360" s="7">
        <f t="shared" si="88"/>
        <v>0</v>
      </c>
    </row>
    <row r="1361" spans="1:11" x14ac:dyDescent="0.35">
      <c r="A1361">
        <v>2022</v>
      </c>
      <c r="B1361">
        <v>3122207</v>
      </c>
      <c r="C1361" t="str">
        <f>VLOOKUP(B1361,SAEB!$A:$B,2,0)</f>
        <v>Divinolândia de Minas</v>
      </c>
      <c r="D1361">
        <v>340</v>
      </c>
      <c r="E1361">
        <v>0</v>
      </c>
      <c r="F1361">
        <v>142</v>
      </c>
      <c r="G1361">
        <v>0</v>
      </c>
      <c r="H1361" s="7">
        <f t="shared" si="85"/>
        <v>70.539419087136935</v>
      </c>
      <c r="I1361" s="7">
        <f t="shared" si="86"/>
        <v>0</v>
      </c>
      <c r="J1361" s="7">
        <f t="shared" si="87"/>
        <v>29.460580912863072</v>
      </c>
      <c r="K1361" s="7">
        <f t="shared" si="88"/>
        <v>0</v>
      </c>
    </row>
    <row r="1362" spans="1:11" x14ac:dyDescent="0.35">
      <c r="A1362">
        <v>2022</v>
      </c>
      <c r="B1362">
        <v>3122454</v>
      </c>
      <c r="C1362" t="str">
        <f>VLOOKUP(B1362,SAEB!$A:$B,2,0)</f>
        <v>Divisópolis</v>
      </c>
      <c r="D1362">
        <v>475</v>
      </c>
      <c r="E1362">
        <v>0</v>
      </c>
      <c r="F1362">
        <v>63</v>
      </c>
      <c r="G1362">
        <v>0</v>
      </c>
      <c r="H1362" s="7">
        <f t="shared" si="85"/>
        <v>88.289962825278806</v>
      </c>
      <c r="I1362" s="7">
        <f t="shared" si="86"/>
        <v>0</v>
      </c>
      <c r="J1362" s="7">
        <f t="shared" si="87"/>
        <v>11.71003717472119</v>
      </c>
      <c r="K1362" s="7">
        <f t="shared" si="88"/>
        <v>0</v>
      </c>
    </row>
    <row r="1363" spans="1:11" x14ac:dyDescent="0.35">
      <c r="A1363">
        <v>2022</v>
      </c>
      <c r="B1363">
        <v>3122470</v>
      </c>
      <c r="C1363" t="str">
        <f>VLOOKUP(B1363,SAEB!$A:$B,2,0)</f>
        <v>Dom Bosco</v>
      </c>
      <c r="D1363">
        <v>49</v>
      </c>
      <c r="E1363">
        <v>34</v>
      </c>
      <c r="F1363">
        <v>81</v>
      </c>
      <c r="G1363">
        <v>0</v>
      </c>
      <c r="H1363" s="7">
        <f t="shared" si="85"/>
        <v>29.878048780487802</v>
      </c>
      <c r="I1363" s="7">
        <f t="shared" si="86"/>
        <v>20.73170731707317</v>
      </c>
      <c r="J1363" s="7">
        <f t="shared" si="87"/>
        <v>49.390243902439025</v>
      </c>
      <c r="K1363" s="7">
        <f t="shared" si="88"/>
        <v>0</v>
      </c>
    </row>
    <row r="1364" spans="1:11" x14ac:dyDescent="0.35">
      <c r="A1364">
        <v>2022</v>
      </c>
      <c r="B1364">
        <v>3123106</v>
      </c>
      <c r="C1364" t="str">
        <f>VLOOKUP(B1364,SAEB!$A:$B,2,0)</f>
        <v>Dores de Guanhães</v>
      </c>
      <c r="D1364">
        <v>255</v>
      </c>
      <c r="E1364">
        <v>0</v>
      </c>
      <c r="F1364">
        <v>91</v>
      </c>
      <c r="G1364">
        <v>0</v>
      </c>
      <c r="H1364" s="7">
        <f t="shared" si="85"/>
        <v>73.699421965317924</v>
      </c>
      <c r="I1364" s="7">
        <f t="shared" si="86"/>
        <v>0</v>
      </c>
      <c r="J1364" s="7">
        <f t="shared" si="87"/>
        <v>26.300578034682083</v>
      </c>
      <c r="K1364" s="7">
        <f t="shared" si="88"/>
        <v>0</v>
      </c>
    </row>
    <row r="1365" spans="1:11" x14ac:dyDescent="0.35">
      <c r="A1365">
        <v>2022</v>
      </c>
      <c r="B1365">
        <v>3123700</v>
      </c>
      <c r="C1365" t="str">
        <f>VLOOKUP(B1365,SAEB!$A:$B,2,0)</f>
        <v>Engenheiro Caldas</v>
      </c>
      <c r="D1365">
        <v>606</v>
      </c>
      <c r="E1365">
        <v>110</v>
      </c>
      <c r="F1365">
        <v>0</v>
      </c>
      <c r="G1365">
        <v>0</v>
      </c>
      <c r="H1365" s="7">
        <f t="shared" si="85"/>
        <v>84.636871508379883</v>
      </c>
      <c r="I1365" s="7">
        <f t="shared" si="86"/>
        <v>15.363128491620111</v>
      </c>
      <c r="J1365" s="7">
        <f t="shared" si="87"/>
        <v>0</v>
      </c>
      <c r="K1365" s="7">
        <f t="shared" si="88"/>
        <v>0</v>
      </c>
    </row>
    <row r="1366" spans="1:11" x14ac:dyDescent="0.35">
      <c r="A1366">
        <v>2022</v>
      </c>
      <c r="B1366">
        <v>3123809</v>
      </c>
      <c r="C1366" t="str">
        <f>VLOOKUP(B1366,SAEB!$A:$B,2,0)</f>
        <v>Engenheiro Navarro</v>
      </c>
      <c r="D1366">
        <v>346</v>
      </c>
      <c r="E1366">
        <v>0</v>
      </c>
      <c r="F1366">
        <v>35</v>
      </c>
      <c r="G1366">
        <v>0</v>
      </c>
      <c r="H1366" s="7">
        <f t="shared" si="85"/>
        <v>90.813648293963254</v>
      </c>
      <c r="I1366" s="7">
        <f t="shared" si="86"/>
        <v>0</v>
      </c>
      <c r="J1366" s="7">
        <f t="shared" si="87"/>
        <v>9.1863517060367457</v>
      </c>
      <c r="K1366" s="7">
        <f t="shared" si="88"/>
        <v>0</v>
      </c>
    </row>
    <row r="1367" spans="1:11" x14ac:dyDescent="0.35">
      <c r="A1367">
        <v>2022</v>
      </c>
      <c r="B1367">
        <v>3124302</v>
      </c>
      <c r="C1367" t="str">
        <f>VLOOKUP(B1367,SAEB!$A:$B,2,0)</f>
        <v>Espinosa</v>
      </c>
      <c r="D1367">
        <v>394</v>
      </c>
      <c r="E1367">
        <v>0</v>
      </c>
      <c r="F1367">
        <v>473</v>
      </c>
      <c r="G1367">
        <v>0</v>
      </c>
      <c r="H1367" s="7">
        <f t="shared" si="85"/>
        <v>45.444059976931953</v>
      </c>
      <c r="I1367" s="7">
        <f t="shared" si="86"/>
        <v>0</v>
      </c>
      <c r="J1367" s="7">
        <f t="shared" si="87"/>
        <v>54.555940023068047</v>
      </c>
      <c r="K1367" s="7">
        <f t="shared" si="88"/>
        <v>0</v>
      </c>
    </row>
    <row r="1368" spans="1:11" x14ac:dyDescent="0.35">
      <c r="A1368">
        <v>2022</v>
      </c>
      <c r="B1368">
        <v>3125408</v>
      </c>
      <c r="C1368" t="str">
        <f>VLOOKUP(B1368,SAEB!$A:$B,2,0)</f>
        <v>Felício dos Santos</v>
      </c>
      <c r="D1368">
        <v>0</v>
      </c>
      <c r="E1368">
        <v>0</v>
      </c>
      <c r="F1368">
        <v>338</v>
      </c>
      <c r="G1368">
        <v>0</v>
      </c>
      <c r="H1368" s="7">
        <f t="shared" si="85"/>
        <v>0</v>
      </c>
      <c r="I1368" s="7">
        <f t="shared" si="86"/>
        <v>0</v>
      </c>
      <c r="J1368" s="7">
        <f t="shared" si="87"/>
        <v>100</v>
      </c>
      <c r="K1368" s="7">
        <f t="shared" si="88"/>
        <v>0</v>
      </c>
    </row>
    <row r="1369" spans="1:11" x14ac:dyDescent="0.35">
      <c r="A1369">
        <v>2022</v>
      </c>
      <c r="B1369">
        <v>3125705</v>
      </c>
      <c r="C1369" t="str">
        <f>VLOOKUP(B1369,SAEB!$A:$B,2,0)</f>
        <v>Felixlândia</v>
      </c>
      <c r="D1369">
        <v>614</v>
      </c>
      <c r="E1369">
        <v>459</v>
      </c>
      <c r="F1369">
        <v>49</v>
      </c>
      <c r="G1369">
        <v>0</v>
      </c>
      <c r="H1369" s="7">
        <f t="shared" si="85"/>
        <v>54.723707664884138</v>
      </c>
      <c r="I1369" s="7">
        <f t="shared" si="86"/>
        <v>40.909090909090914</v>
      </c>
      <c r="J1369" s="7">
        <f t="shared" si="87"/>
        <v>4.3672014260249554</v>
      </c>
      <c r="K1369" s="7">
        <f t="shared" si="88"/>
        <v>0</v>
      </c>
    </row>
    <row r="1370" spans="1:11" x14ac:dyDescent="0.35">
      <c r="A1370">
        <v>2022</v>
      </c>
      <c r="B1370">
        <v>3126604</v>
      </c>
      <c r="C1370" t="str">
        <f>VLOOKUP(B1370,SAEB!$A:$B,2,0)</f>
        <v>Francisco Dumont</v>
      </c>
      <c r="D1370">
        <v>267</v>
      </c>
      <c r="E1370">
        <v>0</v>
      </c>
      <c r="F1370">
        <v>37</v>
      </c>
      <c r="G1370">
        <v>40</v>
      </c>
      <c r="H1370" s="7">
        <f t="shared" si="85"/>
        <v>77.616279069767444</v>
      </c>
      <c r="I1370" s="7">
        <f t="shared" si="86"/>
        <v>0</v>
      </c>
      <c r="J1370" s="7">
        <f t="shared" si="87"/>
        <v>10.755813953488373</v>
      </c>
      <c r="K1370" s="7">
        <f t="shared" si="88"/>
        <v>11.627906976744185</v>
      </c>
    </row>
    <row r="1371" spans="1:11" x14ac:dyDescent="0.35">
      <c r="A1371">
        <v>2022</v>
      </c>
      <c r="B1371">
        <v>3126703</v>
      </c>
      <c r="C1371" t="str">
        <f>VLOOKUP(B1371,SAEB!$A:$B,2,0)</f>
        <v>Francisco Sá</v>
      </c>
      <c r="D1371">
        <v>658</v>
      </c>
      <c r="E1371">
        <v>124</v>
      </c>
      <c r="F1371">
        <v>264</v>
      </c>
      <c r="G1371">
        <v>89</v>
      </c>
      <c r="H1371" s="7">
        <f t="shared" si="85"/>
        <v>57.973568281938327</v>
      </c>
      <c r="I1371" s="7">
        <f t="shared" si="86"/>
        <v>10.92511013215859</v>
      </c>
      <c r="J1371" s="7">
        <f t="shared" si="87"/>
        <v>23.259911894273127</v>
      </c>
      <c r="K1371" s="7">
        <f t="shared" si="88"/>
        <v>7.8414096916299556</v>
      </c>
    </row>
    <row r="1372" spans="1:11" x14ac:dyDescent="0.35">
      <c r="A1372">
        <v>2022</v>
      </c>
      <c r="B1372">
        <v>3126901</v>
      </c>
      <c r="C1372" t="str">
        <f>VLOOKUP(B1372,SAEB!$A:$B,2,0)</f>
        <v>Frei Inocêncio</v>
      </c>
      <c r="D1372">
        <v>462</v>
      </c>
      <c r="E1372">
        <v>0</v>
      </c>
      <c r="F1372">
        <v>47</v>
      </c>
      <c r="G1372">
        <v>0</v>
      </c>
      <c r="H1372" s="7">
        <f t="shared" si="85"/>
        <v>90.766208251473472</v>
      </c>
      <c r="I1372" s="7">
        <f t="shared" si="86"/>
        <v>0</v>
      </c>
      <c r="J1372" s="7">
        <f t="shared" si="87"/>
        <v>9.2337917485265226</v>
      </c>
      <c r="K1372" s="7">
        <f t="shared" si="88"/>
        <v>0</v>
      </c>
    </row>
    <row r="1373" spans="1:11" x14ac:dyDescent="0.35">
      <c r="A1373">
        <v>2022</v>
      </c>
      <c r="B1373">
        <v>3127073</v>
      </c>
      <c r="C1373" t="str">
        <f>VLOOKUP(B1373,SAEB!$A:$B,2,0)</f>
        <v>Fruta de Leite</v>
      </c>
      <c r="D1373">
        <v>0</v>
      </c>
      <c r="E1373">
        <v>0</v>
      </c>
      <c r="F1373">
        <v>221</v>
      </c>
      <c r="G1373">
        <v>0</v>
      </c>
      <c r="H1373" s="7">
        <f t="shared" si="85"/>
        <v>0</v>
      </c>
      <c r="I1373" s="7">
        <f t="shared" si="86"/>
        <v>0</v>
      </c>
      <c r="J1373" s="7">
        <f t="shared" si="87"/>
        <v>100</v>
      </c>
      <c r="K1373" s="7">
        <f t="shared" si="88"/>
        <v>0</v>
      </c>
    </row>
    <row r="1374" spans="1:11" x14ac:dyDescent="0.35">
      <c r="A1374">
        <v>2022</v>
      </c>
      <c r="B1374">
        <v>3127354</v>
      </c>
      <c r="C1374" t="str">
        <f>VLOOKUP(B1374,SAEB!$A:$B,2,0)</f>
        <v>Glaucilândia</v>
      </c>
      <c r="D1374">
        <v>103</v>
      </c>
      <c r="E1374">
        <v>0</v>
      </c>
      <c r="F1374">
        <v>68</v>
      </c>
      <c r="G1374">
        <v>0</v>
      </c>
      <c r="H1374" s="7">
        <f t="shared" si="85"/>
        <v>60.23391812865497</v>
      </c>
      <c r="I1374" s="7">
        <f t="shared" si="86"/>
        <v>0</v>
      </c>
      <c r="J1374" s="7">
        <f t="shared" si="87"/>
        <v>39.76608187134503</v>
      </c>
      <c r="K1374" s="7">
        <f t="shared" si="88"/>
        <v>0</v>
      </c>
    </row>
    <row r="1375" spans="1:11" x14ac:dyDescent="0.35">
      <c r="A1375">
        <v>2022</v>
      </c>
      <c r="B1375">
        <v>3127503</v>
      </c>
      <c r="C1375" t="str">
        <f>VLOOKUP(B1375,SAEB!$A:$B,2,0)</f>
        <v>Gonzaga</v>
      </c>
      <c r="D1375">
        <v>262</v>
      </c>
      <c r="E1375">
        <v>0</v>
      </c>
      <c r="F1375">
        <v>100</v>
      </c>
      <c r="G1375">
        <v>0</v>
      </c>
      <c r="H1375" s="7">
        <f t="shared" si="85"/>
        <v>72.375690607734811</v>
      </c>
      <c r="I1375" s="7">
        <f t="shared" si="86"/>
        <v>0</v>
      </c>
      <c r="J1375" s="7">
        <f t="shared" si="87"/>
        <v>27.624309392265197</v>
      </c>
      <c r="K1375" s="7">
        <f t="shared" si="88"/>
        <v>0</v>
      </c>
    </row>
    <row r="1376" spans="1:11" x14ac:dyDescent="0.35">
      <c r="A1376">
        <v>2022</v>
      </c>
      <c r="B1376">
        <v>3127602</v>
      </c>
      <c r="C1376" t="str">
        <f>VLOOKUP(B1376,SAEB!$A:$B,2,0)</f>
        <v>Gouveia</v>
      </c>
      <c r="D1376">
        <v>630</v>
      </c>
      <c r="E1376">
        <v>0</v>
      </c>
      <c r="F1376">
        <v>76</v>
      </c>
      <c r="G1376">
        <v>50</v>
      </c>
      <c r="H1376" s="7">
        <f t="shared" si="85"/>
        <v>83.333333333333343</v>
      </c>
      <c r="I1376" s="7">
        <f t="shared" si="86"/>
        <v>0</v>
      </c>
      <c r="J1376" s="7">
        <f t="shared" si="87"/>
        <v>10.052910052910052</v>
      </c>
      <c r="K1376" s="7">
        <f t="shared" si="88"/>
        <v>6.6137566137566131</v>
      </c>
    </row>
    <row r="1377" spans="1:11" x14ac:dyDescent="0.35">
      <c r="A1377">
        <v>2022</v>
      </c>
      <c r="B1377">
        <v>3127701</v>
      </c>
      <c r="C1377" t="str">
        <f>VLOOKUP(B1377,SAEB!$A:$B,2,0)</f>
        <v>Governador Valadares</v>
      </c>
      <c r="D1377">
        <v>6132</v>
      </c>
      <c r="E1377">
        <v>2237</v>
      </c>
      <c r="F1377">
        <v>381</v>
      </c>
      <c r="G1377">
        <v>272</v>
      </c>
      <c r="H1377" s="7">
        <f t="shared" si="85"/>
        <v>67.967191310130787</v>
      </c>
      <c r="I1377" s="7">
        <f t="shared" si="86"/>
        <v>24.794945688317448</v>
      </c>
      <c r="J1377" s="7">
        <f t="shared" si="87"/>
        <v>4.2230104189758366</v>
      </c>
      <c r="K1377" s="7">
        <f t="shared" si="88"/>
        <v>3.0148525825759256</v>
      </c>
    </row>
    <row r="1378" spans="1:11" x14ac:dyDescent="0.35">
      <c r="A1378">
        <v>2022</v>
      </c>
      <c r="B1378">
        <v>3128006</v>
      </c>
      <c r="C1378" t="str">
        <f>VLOOKUP(B1378,SAEB!$A:$B,2,0)</f>
        <v>Guanhães</v>
      </c>
      <c r="D1378">
        <v>1288</v>
      </c>
      <c r="E1378">
        <v>0</v>
      </c>
      <c r="F1378">
        <v>32</v>
      </c>
      <c r="G1378">
        <v>0</v>
      </c>
      <c r="H1378" s="7">
        <f t="shared" si="85"/>
        <v>97.575757575757578</v>
      </c>
      <c r="I1378" s="7">
        <f t="shared" si="86"/>
        <v>0</v>
      </c>
      <c r="J1378" s="7">
        <f t="shared" si="87"/>
        <v>2.4242424242424243</v>
      </c>
      <c r="K1378" s="7">
        <f t="shared" si="88"/>
        <v>0</v>
      </c>
    </row>
    <row r="1379" spans="1:11" x14ac:dyDescent="0.35">
      <c r="A1379">
        <v>2022</v>
      </c>
      <c r="B1379">
        <v>3128253</v>
      </c>
      <c r="C1379" t="str">
        <f>VLOOKUP(B1379,SAEB!$A:$B,2,0)</f>
        <v>Guaraciama</v>
      </c>
      <c r="D1379">
        <v>336</v>
      </c>
      <c r="E1379">
        <v>0</v>
      </c>
      <c r="F1379">
        <v>0</v>
      </c>
      <c r="G1379">
        <v>0</v>
      </c>
      <c r="H1379" s="7">
        <f t="shared" si="85"/>
        <v>100</v>
      </c>
      <c r="I1379" s="7">
        <f t="shared" si="86"/>
        <v>0</v>
      </c>
      <c r="J1379" s="7">
        <f t="shared" si="87"/>
        <v>0</v>
      </c>
      <c r="K1379" s="7">
        <f t="shared" si="88"/>
        <v>0</v>
      </c>
    </row>
    <row r="1380" spans="1:11" x14ac:dyDescent="0.35">
      <c r="A1380">
        <v>2022</v>
      </c>
      <c r="B1380">
        <v>3129657</v>
      </c>
      <c r="C1380" t="str">
        <f>VLOOKUP(B1380,SAEB!$A:$B,2,0)</f>
        <v>Ibiracatu</v>
      </c>
      <c r="D1380">
        <v>95</v>
      </c>
      <c r="E1380">
        <v>99</v>
      </c>
      <c r="F1380">
        <v>101</v>
      </c>
      <c r="G1380">
        <v>46</v>
      </c>
      <c r="H1380" s="7">
        <f t="shared" si="85"/>
        <v>27.859237536656888</v>
      </c>
      <c r="I1380" s="7">
        <f t="shared" si="86"/>
        <v>29.032258064516132</v>
      </c>
      <c r="J1380" s="7">
        <f t="shared" si="87"/>
        <v>29.61876832844575</v>
      </c>
      <c r="K1380" s="7">
        <f t="shared" si="88"/>
        <v>13.48973607038123</v>
      </c>
    </row>
    <row r="1381" spans="1:11" x14ac:dyDescent="0.35">
      <c r="A1381">
        <v>2022</v>
      </c>
      <c r="B1381">
        <v>3130051</v>
      </c>
      <c r="C1381" t="str">
        <f>VLOOKUP(B1381,SAEB!$A:$B,2,0)</f>
        <v>Icaraí de Minas</v>
      </c>
      <c r="D1381">
        <v>335</v>
      </c>
      <c r="E1381">
        <v>0</v>
      </c>
      <c r="F1381">
        <v>84</v>
      </c>
      <c r="G1381">
        <v>0</v>
      </c>
      <c r="H1381" s="7">
        <f t="shared" si="85"/>
        <v>79.952267303102616</v>
      </c>
      <c r="I1381" s="7">
        <f t="shared" si="86"/>
        <v>0</v>
      </c>
      <c r="J1381" s="7">
        <f t="shared" si="87"/>
        <v>20.047732696897373</v>
      </c>
      <c r="K1381" s="7">
        <f t="shared" si="88"/>
        <v>0</v>
      </c>
    </row>
    <row r="1382" spans="1:11" x14ac:dyDescent="0.35">
      <c r="A1382">
        <v>2022</v>
      </c>
      <c r="B1382">
        <v>3130556</v>
      </c>
      <c r="C1382" t="str">
        <f>VLOOKUP(B1382,SAEB!$A:$B,2,0)</f>
        <v>Imbé de Minas</v>
      </c>
      <c r="D1382">
        <v>252</v>
      </c>
      <c r="E1382">
        <v>0</v>
      </c>
      <c r="F1382">
        <v>150</v>
      </c>
      <c r="G1382">
        <v>0</v>
      </c>
      <c r="H1382" s="7">
        <f t="shared" si="85"/>
        <v>62.68656716417911</v>
      </c>
      <c r="I1382" s="7">
        <f t="shared" si="86"/>
        <v>0</v>
      </c>
      <c r="J1382" s="7">
        <f t="shared" si="87"/>
        <v>37.313432835820898</v>
      </c>
      <c r="K1382" s="7">
        <f t="shared" si="88"/>
        <v>0</v>
      </c>
    </row>
    <row r="1383" spans="1:11" x14ac:dyDescent="0.35">
      <c r="A1383">
        <v>2022</v>
      </c>
      <c r="B1383">
        <v>3130655</v>
      </c>
      <c r="C1383" t="str">
        <f>VLOOKUP(B1383,SAEB!$A:$B,2,0)</f>
        <v>Indaiabira</v>
      </c>
      <c r="D1383">
        <v>255</v>
      </c>
      <c r="E1383">
        <v>0</v>
      </c>
      <c r="F1383">
        <v>148</v>
      </c>
      <c r="G1383">
        <v>50</v>
      </c>
      <c r="H1383" s="7">
        <f t="shared" si="85"/>
        <v>56.29139072847682</v>
      </c>
      <c r="I1383" s="7">
        <f t="shared" si="86"/>
        <v>0</v>
      </c>
      <c r="J1383" s="7">
        <f t="shared" si="87"/>
        <v>32.671081677704194</v>
      </c>
      <c r="K1383" s="7">
        <f t="shared" si="88"/>
        <v>11.037527593818984</v>
      </c>
    </row>
    <row r="1384" spans="1:11" x14ac:dyDescent="0.35">
      <c r="A1384">
        <v>2022</v>
      </c>
      <c r="B1384">
        <v>3130903</v>
      </c>
      <c r="C1384" t="str">
        <f>VLOOKUP(B1384,SAEB!$A:$B,2,0)</f>
        <v>Inhapim</v>
      </c>
      <c r="D1384">
        <v>744</v>
      </c>
      <c r="E1384">
        <v>0</v>
      </c>
      <c r="F1384">
        <v>391</v>
      </c>
      <c r="G1384">
        <v>69</v>
      </c>
      <c r="H1384" s="7">
        <f t="shared" si="85"/>
        <v>61.794019933554821</v>
      </c>
      <c r="I1384" s="7">
        <f t="shared" si="86"/>
        <v>0</v>
      </c>
      <c r="J1384" s="7">
        <f t="shared" si="87"/>
        <v>32.475083056478404</v>
      </c>
      <c r="K1384" s="7">
        <f t="shared" si="88"/>
        <v>5.7308970099667773</v>
      </c>
    </row>
    <row r="1385" spans="1:11" x14ac:dyDescent="0.35">
      <c r="A1385">
        <v>2022</v>
      </c>
      <c r="B1385">
        <v>3131109</v>
      </c>
      <c r="C1385" t="str">
        <f>VLOOKUP(B1385,SAEB!$A:$B,2,0)</f>
        <v>Inimutaba</v>
      </c>
      <c r="D1385">
        <v>293</v>
      </c>
      <c r="E1385">
        <v>0</v>
      </c>
      <c r="F1385">
        <v>84</v>
      </c>
      <c r="G1385">
        <v>0</v>
      </c>
      <c r="H1385" s="7">
        <f t="shared" si="85"/>
        <v>77.718832891246677</v>
      </c>
      <c r="I1385" s="7">
        <f t="shared" si="86"/>
        <v>0</v>
      </c>
      <c r="J1385" s="7">
        <f t="shared" si="87"/>
        <v>22.281167108753316</v>
      </c>
      <c r="K1385" s="7">
        <f t="shared" si="88"/>
        <v>0</v>
      </c>
    </row>
    <row r="1386" spans="1:11" x14ac:dyDescent="0.35">
      <c r="A1386">
        <v>2022</v>
      </c>
      <c r="B1386">
        <v>3131208</v>
      </c>
      <c r="C1386" t="str">
        <f>VLOOKUP(B1386,SAEB!$A:$B,2,0)</f>
        <v>Ipanema</v>
      </c>
      <c r="D1386">
        <v>1030</v>
      </c>
      <c r="E1386">
        <v>486</v>
      </c>
      <c r="F1386">
        <v>45</v>
      </c>
      <c r="G1386">
        <v>15</v>
      </c>
      <c r="H1386" s="7">
        <f t="shared" si="85"/>
        <v>65.35532994923858</v>
      </c>
      <c r="I1386" s="7">
        <f t="shared" si="86"/>
        <v>30.837563451776649</v>
      </c>
      <c r="J1386" s="7">
        <f t="shared" si="87"/>
        <v>2.8553299492385786</v>
      </c>
      <c r="K1386" s="7">
        <f t="shared" si="88"/>
        <v>0.95177664974619303</v>
      </c>
    </row>
    <row r="1387" spans="1:11" x14ac:dyDescent="0.35">
      <c r="A1387">
        <v>2022</v>
      </c>
      <c r="B1387">
        <v>3131802</v>
      </c>
      <c r="C1387" t="str">
        <f>VLOOKUP(B1387,SAEB!$A:$B,2,0)</f>
        <v>Itabirinha</v>
      </c>
      <c r="D1387">
        <v>475</v>
      </c>
      <c r="E1387">
        <v>0</v>
      </c>
      <c r="F1387">
        <v>107</v>
      </c>
      <c r="G1387">
        <v>0</v>
      </c>
      <c r="H1387" s="7">
        <f t="shared" si="85"/>
        <v>81.615120274914091</v>
      </c>
      <c r="I1387" s="7">
        <f t="shared" si="86"/>
        <v>0</v>
      </c>
      <c r="J1387" s="7">
        <f t="shared" si="87"/>
        <v>18.384879725085913</v>
      </c>
      <c r="K1387" s="7">
        <f t="shared" si="88"/>
        <v>0</v>
      </c>
    </row>
    <row r="1388" spans="1:11" x14ac:dyDescent="0.35">
      <c r="A1388">
        <v>2022</v>
      </c>
      <c r="B1388">
        <v>3132107</v>
      </c>
      <c r="C1388" t="str">
        <f>VLOOKUP(B1388,SAEB!$A:$B,2,0)</f>
        <v>Itacarambi</v>
      </c>
      <c r="D1388">
        <v>858</v>
      </c>
      <c r="E1388">
        <v>815</v>
      </c>
      <c r="F1388">
        <v>94</v>
      </c>
      <c r="G1388">
        <v>80</v>
      </c>
      <c r="H1388" s="7">
        <f t="shared" si="85"/>
        <v>46.453708716838115</v>
      </c>
      <c r="I1388" s="7">
        <f t="shared" si="86"/>
        <v>44.125609095831074</v>
      </c>
      <c r="J1388" s="7">
        <f t="shared" si="87"/>
        <v>5.0893340552246888</v>
      </c>
      <c r="K1388" s="7">
        <f t="shared" si="88"/>
        <v>4.3313481321061182</v>
      </c>
    </row>
    <row r="1389" spans="1:11" x14ac:dyDescent="0.35">
      <c r="A1389">
        <v>2022</v>
      </c>
      <c r="B1389">
        <v>3132305</v>
      </c>
      <c r="C1389" t="str">
        <f>VLOOKUP(B1389,SAEB!$A:$B,2,0)</f>
        <v>Itaipé</v>
      </c>
      <c r="D1389">
        <v>207</v>
      </c>
      <c r="E1389">
        <v>408</v>
      </c>
      <c r="F1389">
        <v>329</v>
      </c>
      <c r="G1389">
        <v>0</v>
      </c>
      <c r="H1389" s="7">
        <f t="shared" si="85"/>
        <v>21.927966101694913</v>
      </c>
      <c r="I1389" s="7">
        <f t="shared" si="86"/>
        <v>43.220338983050851</v>
      </c>
      <c r="J1389" s="7">
        <f t="shared" si="87"/>
        <v>34.851694915254242</v>
      </c>
      <c r="K1389" s="7">
        <f t="shared" si="88"/>
        <v>0</v>
      </c>
    </row>
    <row r="1390" spans="1:11" x14ac:dyDescent="0.35">
      <c r="A1390">
        <v>2022</v>
      </c>
      <c r="B1390">
        <v>3132503</v>
      </c>
      <c r="C1390" t="str">
        <f>VLOOKUP(B1390,SAEB!$A:$B,2,0)</f>
        <v>Itamarandiba</v>
      </c>
      <c r="D1390">
        <v>1336</v>
      </c>
      <c r="E1390">
        <v>246</v>
      </c>
      <c r="F1390">
        <v>239</v>
      </c>
      <c r="G1390">
        <v>45</v>
      </c>
      <c r="H1390" s="7">
        <f t="shared" si="85"/>
        <v>71.59699892818864</v>
      </c>
      <c r="I1390" s="7">
        <f t="shared" si="86"/>
        <v>13.183279742765272</v>
      </c>
      <c r="J1390" s="7">
        <f t="shared" si="87"/>
        <v>12.808145766345122</v>
      </c>
      <c r="K1390" s="7">
        <f t="shared" si="88"/>
        <v>2.4115755627009645</v>
      </c>
    </row>
    <row r="1391" spans="1:11" x14ac:dyDescent="0.35">
      <c r="A1391">
        <v>2022</v>
      </c>
      <c r="B1391">
        <v>3132701</v>
      </c>
      <c r="C1391" t="str">
        <f>VLOOKUP(B1391,SAEB!$A:$B,2,0)</f>
        <v>Itambacuri</v>
      </c>
      <c r="D1391">
        <v>241</v>
      </c>
      <c r="E1391">
        <v>65</v>
      </c>
      <c r="F1391">
        <v>332</v>
      </c>
      <c r="G1391">
        <v>274</v>
      </c>
      <c r="H1391" s="7">
        <f t="shared" si="85"/>
        <v>26.42543859649123</v>
      </c>
      <c r="I1391" s="7">
        <f t="shared" si="86"/>
        <v>7.1271929824561404</v>
      </c>
      <c r="J1391" s="7">
        <f t="shared" si="87"/>
        <v>36.403508771929829</v>
      </c>
      <c r="K1391" s="7">
        <f t="shared" si="88"/>
        <v>30.043859649122805</v>
      </c>
    </row>
    <row r="1392" spans="1:11" x14ac:dyDescent="0.35">
      <c r="A1392">
        <v>2022</v>
      </c>
      <c r="B1392">
        <v>3133204</v>
      </c>
      <c r="C1392" t="str">
        <f>VLOOKUP(B1392,SAEB!$A:$B,2,0)</f>
        <v>Itanhomi</v>
      </c>
      <c r="D1392">
        <v>617</v>
      </c>
      <c r="E1392">
        <v>0</v>
      </c>
      <c r="F1392">
        <v>21</v>
      </c>
      <c r="G1392">
        <v>0</v>
      </c>
      <c r="H1392" s="7">
        <f t="shared" si="85"/>
        <v>96.708463949843264</v>
      </c>
      <c r="I1392" s="7">
        <f t="shared" si="86"/>
        <v>0</v>
      </c>
      <c r="J1392" s="7">
        <f t="shared" si="87"/>
        <v>3.2915360501567394</v>
      </c>
      <c r="K1392" s="7">
        <f t="shared" si="88"/>
        <v>0</v>
      </c>
    </row>
    <row r="1393" spans="1:11" x14ac:dyDescent="0.35">
      <c r="A1393">
        <v>2022</v>
      </c>
      <c r="B1393">
        <v>3133303</v>
      </c>
      <c r="C1393" t="str">
        <f>VLOOKUP(B1393,SAEB!$A:$B,2,0)</f>
        <v>Itaobim</v>
      </c>
      <c r="D1393">
        <v>772</v>
      </c>
      <c r="E1393">
        <v>116</v>
      </c>
      <c r="F1393">
        <v>122</v>
      </c>
      <c r="G1393">
        <v>100</v>
      </c>
      <c r="H1393" s="7">
        <f t="shared" si="85"/>
        <v>69.549549549549553</v>
      </c>
      <c r="I1393" s="7">
        <f t="shared" si="86"/>
        <v>10.45045045045045</v>
      </c>
      <c r="J1393" s="7">
        <f t="shared" si="87"/>
        <v>10.990990990990991</v>
      </c>
      <c r="K1393" s="7">
        <f t="shared" si="88"/>
        <v>9.0090090090090094</v>
      </c>
    </row>
    <row r="1394" spans="1:11" x14ac:dyDescent="0.35">
      <c r="A1394">
        <v>2022</v>
      </c>
      <c r="B1394">
        <v>3134004</v>
      </c>
      <c r="C1394" t="str">
        <f>VLOOKUP(B1394,SAEB!$A:$B,2,0)</f>
        <v>Itinga</v>
      </c>
      <c r="D1394">
        <v>265</v>
      </c>
      <c r="E1394">
        <v>0</v>
      </c>
      <c r="F1394">
        <v>253</v>
      </c>
      <c r="G1394">
        <v>240</v>
      </c>
      <c r="H1394" s="7">
        <f t="shared" si="85"/>
        <v>34.96042216358839</v>
      </c>
      <c r="I1394" s="7">
        <f t="shared" si="86"/>
        <v>0</v>
      </c>
      <c r="J1394" s="7">
        <f t="shared" si="87"/>
        <v>33.377308707124008</v>
      </c>
      <c r="K1394" s="7">
        <f t="shared" si="88"/>
        <v>31.662269129287601</v>
      </c>
    </row>
    <row r="1395" spans="1:11" x14ac:dyDescent="0.35">
      <c r="A1395">
        <v>2022</v>
      </c>
      <c r="B1395">
        <v>3134103</v>
      </c>
      <c r="C1395" t="str">
        <f>VLOOKUP(B1395,SAEB!$A:$B,2,0)</f>
        <v>Itueta</v>
      </c>
      <c r="D1395">
        <v>131</v>
      </c>
      <c r="E1395">
        <v>103</v>
      </c>
      <c r="F1395">
        <v>90</v>
      </c>
      <c r="G1395">
        <v>67</v>
      </c>
      <c r="H1395" s="7">
        <f t="shared" si="85"/>
        <v>33.503836317135551</v>
      </c>
      <c r="I1395" s="7">
        <f t="shared" si="86"/>
        <v>26.342710997442452</v>
      </c>
      <c r="J1395" s="7">
        <f t="shared" si="87"/>
        <v>23.017902813299234</v>
      </c>
      <c r="K1395" s="7">
        <f t="shared" si="88"/>
        <v>17.135549872122763</v>
      </c>
    </row>
    <row r="1396" spans="1:11" x14ac:dyDescent="0.35">
      <c r="A1396">
        <v>2022</v>
      </c>
      <c r="B1396">
        <v>3134707</v>
      </c>
      <c r="C1396" t="str">
        <f>VLOOKUP(B1396,SAEB!$A:$B,2,0)</f>
        <v>Jacinto</v>
      </c>
      <c r="D1396">
        <v>538</v>
      </c>
      <c r="E1396">
        <v>0</v>
      </c>
      <c r="F1396">
        <v>47</v>
      </c>
      <c r="G1396">
        <v>27</v>
      </c>
      <c r="H1396" s="7">
        <f t="shared" si="85"/>
        <v>87.908496732026137</v>
      </c>
      <c r="I1396" s="7">
        <f t="shared" si="86"/>
        <v>0</v>
      </c>
      <c r="J1396" s="7">
        <f t="shared" si="87"/>
        <v>7.6797385620915035</v>
      </c>
      <c r="K1396" s="7">
        <f t="shared" si="88"/>
        <v>4.4117647058823533</v>
      </c>
    </row>
    <row r="1397" spans="1:11" x14ac:dyDescent="0.35">
      <c r="A1397">
        <v>2022</v>
      </c>
      <c r="B1397">
        <v>3135050</v>
      </c>
      <c r="C1397" t="str">
        <f>VLOOKUP(B1397,SAEB!$A:$B,2,0)</f>
        <v>Jaíba</v>
      </c>
      <c r="D1397">
        <v>615</v>
      </c>
      <c r="E1397">
        <v>0</v>
      </c>
      <c r="F1397">
        <v>321</v>
      </c>
      <c r="G1397">
        <v>223</v>
      </c>
      <c r="H1397" s="7">
        <f t="shared" si="85"/>
        <v>53.062985332182919</v>
      </c>
      <c r="I1397" s="7">
        <f t="shared" si="86"/>
        <v>0</v>
      </c>
      <c r="J1397" s="7">
        <f t="shared" si="87"/>
        <v>27.696289905090595</v>
      </c>
      <c r="K1397" s="7">
        <f t="shared" si="88"/>
        <v>19.240724762726487</v>
      </c>
    </row>
    <row r="1398" spans="1:11" x14ac:dyDescent="0.35">
      <c r="A1398">
        <v>2022</v>
      </c>
      <c r="B1398">
        <v>3135100</v>
      </c>
      <c r="C1398" t="str">
        <f>VLOOKUP(B1398,SAEB!$A:$B,2,0)</f>
        <v>Janaúba</v>
      </c>
      <c r="D1398">
        <v>1506</v>
      </c>
      <c r="E1398">
        <v>483</v>
      </c>
      <c r="F1398">
        <v>149</v>
      </c>
      <c r="G1398">
        <v>0</v>
      </c>
      <c r="H1398" s="7">
        <f t="shared" si="85"/>
        <v>70.439663236669787</v>
      </c>
      <c r="I1398" s="7">
        <f t="shared" si="86"/>
        <v>22.591206735266603</v>
      </c>
      <c r="J1398" s="7">
        <f t="shared" si="87"/>
        <v>6.9691300280636108</v>
      </c>
      <c r="K1398" s="7">
        <f t="shared" si="88"/>
        <v>0</v>
      </c>
    </row>
    <row r="1399" spans="1:11" x14ac:dyDescent="0.35">
      <c r="A1399">
        <v>2022</v>
      </c>
      <c r="B1399">
        <v>3135209</v>
      </c>
      <c r="C1399" t="str">
        <f>VLOOKUP(B1399,SAEB!$A:$B,2,0)</f>
        <v>Januária</v>
      </c>
      <c r="D1399">
        <v>578</v>
      </c>
      <c r="E1399">
        <v>358</v>
      </c>
      <c r="F1399">
        <v>691</v>
      </c>
      <c r="G1399">
        <v>435</v>
      </c>
      <c r="H1399" s="7">
        <f t="shared" si="85"/>
        <v>28.031037827352083</v>
      </c>
      <c r="I1399" s="7">
        <f t="shared" si="86"/>
        <v>17.361784675072744</v>
      </c>
      <c r="J1399" s="7">
        <f t="shared" si="87"/>
        <v>33.511154219204656</v>
      </c>
      <c r="K1399" s="7">
        <f t="shared" si="88"/>
        <v>21.096023278370517</v>
      </c>
    </row>
    <row r="1400" spans="1:11" x14ac:dyDescent="0.35">
      <c r="A1400">
        <v>2022</v>
      </c>
      <c r="B1400">
        <v>3135357</v>
      </c>
      <c r="C1400" t="str">
        <f>VLOOKUP(B1400,SAEB!$A:$B,2,0)</f>
        <v>Japonvar</v>
      </c>
      <c r="D1400">
        <v>116</v>
      </c>
      <c r="E1400">
        <v>128</v>
      </c>
      <c r="F1400">
        <v>151</v>
      </c>
      <c r="G1400">
        <v>160</v>
      </c>
      <c r="H1400" s="7">
        <f t="shared" si="85"/>
        <v>20.900900900900901</v>
      </c>
      <c r="I1400" s="7">
        <f t="shared" si="86"/>
        <v>23.063063063063062</v>
      </c>
      <c r="J1400" s="7">
        <f t="shared" si="87"/>
        <v>27.207207207207208</v>
      </c>
      <c r="K1400" s="7">
        <f t="shared" si="88"/>
        <v>28.828828828828829</v>
      </c>
    </row>
    <row r="1401" spans="1:11" x14ac:dyDescent="0.35">
      <c r="A1401">
        <v>2022</v>
      </c>
      <c r="B1401">
        <v>3135605</v>
      </c>
      <c r="C1401" t="str">
        <f>VLOOKUP(B1401,SAEB!$A:$B,2,0)</f>
        <v>Jequitaí</v>
      </c>
      <c r="D1401">
        <v>426</v>
      </c>
      <c r="E1401">
        <v>0</v>
      </c>
      <c r="F1401">
        <v>16</v>
      </c>
      <c r="G1401">
        <v>0</v>
      </c>
      <c r="H1401" s="7">
        <f t="shared" si="85"/>
        <v>96.380090497737555</v>
      </c>
      <c r="I1401" s="7">
        <f t="shared" si="86"/>
        <v>0</v>
      </c>
      <c r="J1401" s="7">
        <f t="shared" si="87"/>
        <v>3.6199095022624439</v>
      </c>
      <c r="K1401" s="7">
        <f t="shared" si="88"/>
        <v>0</v>
      </c>
    </row>
    <row r="1402" spans="1:11" x14ac:dyDescent="0.35">
      <c r="A1402">
        <v>2022</v>
      </c>
      <c r="B1402">
        <v>3135803</v>
      </c>
      <c r="C1402" t="str">
        <f>VLOOKUP(B1402,SAEB!$A:$B,2,0)</f>
        <v>Jequitinhonha</v>
      </c>
      <c r="D1402">
        <v>741</v>
      </c>
      <c r="E1402">
        <v>0</v>
      </c>
      <c r="F1402">
        <v>177</v>
      </c>
      <c r="G1402">
        <v>96</v>
      </c>
      <c r="H1402" s="7">
        <f t="shared" si="85"/>
        <v>73.076923076923066</v>
      </c>
      <c r="I1402" s="7">
        <f t="shared" si="86"/>
        <v>0</v>
      </c>
      <c r="J1402" s="7">
        <f t="shared" si="87"/>
        <v>17.45562130177515</v>
      </c>
      <c r="K1402" s="7">
        <f t="shared" si="88"/>
        <v>9.4674556213017755</v>
      </c>
    </row>
    <row r="1403" spans="1:11" x14ac:dyDescent="0.35">
      <c r="A1403">
        <v>2022</v>
      </c>
      <c r="B1403">
        <v>3136009</v>
      </c>
      <c r="C1403" t="str">
        <f>VLOOKUP(B1403,SAEB!$A:$B,2,0)</f>
        <v>Joaíma</v>
      </c>
      <c r="D1403">
        <v>642</v>
      </c>
      <c r="E1403">
        <v>289</v>
      </c>
      <c r="F1403">
        <v>188</v>
      </c>
      <c r="G1403">
        <v>130</v>
      </c>
      <c r="H1403" s="7">
        <f t="shared" si="85"/>
        <v>51.40112089671738</v>
      </c>
      <c r="I1403" s="7">
        <f t="shared" si="86"/>
        <v>23.138510808646917</v>
      </c>
      <c r="J1403" s="7">
        <f t="shared" si="87"/>
        <v>15.052041633306645</v>
      </c>
      <c r="K1403" s="7">
        <f t="shared" si="88"/>
        <v>10.408326661329063</v>
      </c>
    </row>
    <row r="1404" spans="1:11" x14ac:dyDescent="0.35">
      <c r="A1404">
        <v>2022</v>
      </c>
      <c r="B1404">
        <v>3136405</v>
      </c>
      <c r="C1404" t="str">
        <f>VLOOKUP(B1404,SAEB!$A:$B,2,0)</f>
        <v>Joaquim Felício</v>
      </c>
      <c r="D1404">
        <v>227</v>
      </c>
      <c r="E1404">
        <v>240</v>
      </c>
      <c r="F1404">
        <v>0</v>
      </c>
      <c r="G1404">
        <v>0</v>
      </c>
      <c r="H1404" s="7">
        <f t="shared" si="85"/>
        <v>48.608137044967883</v>
      </c>
      <c r="I1404" s="7">
        <f t="shared" si="86"/>
        <v>51.391862955032117</v>
      </c>
      <c r="J1404" s="7">
        <f t="shared" si="87"/>
        <v>0</v>
      </c>
      <c r="K1404" s="7">
        <f t="shared" si="88"/>
        <v>0</v>
      </c>
    </row>
    <row r="1405" spans="1:11" x14ac:dyDescent="0.35">
      <c r="A1405">
        <v>2022</v>
      </c>
      <c r="B1405">
        <v>3136553</v>
      </c>
      <c r="C1405" t="str">
        <f>VLOOKUP(B1405,SAEB!$A:$B,2,0)</f>
        <v>José Raydan</v>
      </c>
      <c r="D1405">
        <v>201</v>
      </c>
      <c r="E1405">
        <v>0</v>
      </c>
      <c r="F1405">
        <v>92</v>
      </c>
      <c r="G1405">
        <v>0</v>
      </c>
      <c r="H1405" s="7">
        <f t="shared" si="85"/>
        <v>68.600682593856661</v>
      </c>
      <c r="I1405" s="7">
        <f t="shared" si="86"/>
        <v>0</v>
      </c>
      <c r="J1405" s="7">
        <f t="shared" si="87"/>
        <v>31.399317406143346</v>
      </c>
      <c r="K1405" s="7">
        <f t="shared" si="88"/>
        <v>0</v>
      </c>
    </row>
    <row r="1406" spans="1:11" x14ac:dyDescent="0.35">
      <c r="A1406">
        <v>2022</v>
      </c>
      <c r="B1406">
        <v>3136801</v>
      </c>
      <c r="C1406" t="str">
        <f>VLOOKUP(B1406,SAEB!$A:$B,2,0)</f>
        <v>Juramento</v>
      </c>
      <c r="D1406">
        <v>170</v>
      </c>
      <c r="E1406">
        <v>0</v>
      </c>
      <c r="F1406">
        <v>63</v>
      </c>
      <c r="G1406">
        <v>0</v>
      </c>
      <c r="H1406" s="7">
        <f t="shared" si="85"/>
        <v>72.961373390557938</v>
      </c>
      <c r="I1406" s="7">
        <f t="shared" si="86"/>
        <v>0</v>
      </c>
      <c r="J1406" s="7">
        <f t="shared" si="87"/>
        <v>27.038626609442062</v>
      </c>
      <c r="K1406" s="7">
        <f t="shared" si="88"/>
        <v>0</v>
      </c>
    </row>
    <row r="1407" spans="1:11" x14ac:dyDescent="0.35">
      <c r="A1407">
        <v>2022</v>
      </c>
      <c r="B1407">
        <v>3136959</v>
      </c>
      <c r="C1407" t="str">
        <f>VLOOKUP(B1407,SAEB!$A:$B,2,0)</f>
        <v>Juvenília</v>
      </c>
      <c r="D1407">
        <v>220</v>
      </c>
      <c r="E1407">
        <v>126</v>
      </c>
      <c r="F1407">
        <v>48</v>
      </c>
      <c r="G1407">
        <v>0</v>
      </c>
      <c r="H1407" s="7">
        <f t="shared" si="85"/>
        <v>55.837563451776653</v>
      </c>
      <c r="I1407" s="7">
        <f t="shared" si="86"/>
        <v>31.979695431472084</v>
      </c>
      <c r="J1407" s="7">
        <f t="shared" si="87"/>
        <v>12.18274111675127</v>
      </c>
      <c r="K1407" s="7">
        <f t="shared" si="88"/>
        <v>0</v>
      </c>
    </row>
    <row r="1408" spans="1:11" x14ac:dyDescent="0.35">
      <c r="A1408">
        <v>2022</v>
      </c>
      <c r="B1408">
        <v>3137007</v>
      </c>
      <c r="C1408" t="str">
        <f>VLOOKUP(B1408,SAEB!$A:$B,2,0)</f>
        <v>Ladainha</v>
      </c>
      <c r="D1408">
        <v>0</v>
      </c>
      <c r="E1408">
        <v>0</v>
      </c>
      <c r="F1408">
        <v>412</v>
      </c>
      <c r="G1408">
        <v>154</v>
      </c>
      <c r="H1408" s="7">
        <f t="shared" si="85"/>
        <v>0</v>
      </c>
      <c r="I1408" s="7">
        <f t="shared" si="86"/>
        <v>0</v>
      </c>
      <c r="J1408" s="7">
        <f t="shared" si="87"/>
        <v>72.791519434628967</v>
      </c>
      <c r="K1408" s="7">
        <f t="shared" si="88"/>
        <v>27.208480565371023</v>
      </c>
    </row>
    <row r="1409" spans="1:11" x14ac:dyDescent="0.35">
      <c r="A1409">
        <v>2022</v>
      </c>
      <c r="B1409">
        <v>3137304</v>
      </c>
      <c r="C1409" t="str">
        <f>VLOOKUP(B1409,SAEB!$A:$B,2,0)</f>
        <v>Lagoa dos Patos</v>
      </c>
      <c r="D1409">
        <v>231</v>
      </c>
      <c r="E1409">
        <v>0</v>
      </c>
      <c r="F1409">
        <v>0</v>
      </c>
      <c r="G1409">
        <v>0</v>
      </c>
      <c r="H1409" s="7">
        <f t="shared" si="85"/>
        <v>100</v>
      </c>
      <c r="I1409" s="7">
        <f t="shared" si="86"/>
        <v>0</v>
      </c>
      <c r="J1409" s="7">
        <f t="shared" si="87"/>
        <v>0</v>
      </c>
      <c r="K1409" s="7">
        <f t="shared" si="88"/>
        <v>0</v>
      </c>
    </row>
    <row r="1410" spans="1:11" x14ac:dyDescent="0.35">
      <c r="A1410">
        <v>2022</v>
      </c>
      <c r="B1410">
        <v>3138104</v>
      </c>
      <c r="C1410" t="str">
        <f>VLOOKUP(B1410,SAEB!$A:$B,2,0)</f>
        <v>Lassance</v>
      </c>
      <c r="D1410">
        <v>258</v>
      </c>
      <c r="E1410">
        <v>0</v>
      </c>
      <c r="F1410">
        <v>101</v>
      </c>
      <c r="G1410">
        <v>81</v>
      </c>
      <c r="H1410" s="7">
        <f t="shared" si="85"/>
        <v>58.636363636363633</v>
      </c>
      <c r="I1410" s="7">
        <f t="shared" si="86"/>
        <v>0</v>
      </c>
      <c r="J1410" s="7">
        <f t="shared" si="87"/>
        <v>22.954545454545457</v>
      </c>
      <c r="K1410" s="7">
        <f t="shared" si="88"/>
        <v>18.409090909090907</v>
      </c>
    </row>
    <row r="1411" spans="1:11" x14ac:dyDescent="0.35">
      <c r="A1411">
        <v>2022</v>
      </c>
      <c r="B1411">
        <v>3138351</v>
      </c>
      <c r="C1411" t="str">
        <f>VLOOKUP(B1411,SAEB!$A:$B,2,0)</f>
        <v>Leme do Prado</v>
      </c>
      <c r="D1411">
        <v>59</v>
      </c>
      <c r="E1411">
        <v>0</v>
      </c>
      <c r="F1411">
        <v>149</v>
      </c>
      <c r="G1411">
        <v>53</v>
      </c>
      <c r="H1411" s="7">
        <f t="shared" ref="H1411:H1474" si="89">D1411/SUM($D1411:$G1411)*100</f>
        <v>22.60536398467433</v>
      </c>
      <c r="I1411" s="7">
        <f t="shared" ref="I1411:I1474" si="90">E1411/SUM($D1411:$G1411)*100</f>
        <v>0</v>
      </c>
      <c r="J1411" s="7">
        <f t="shared" ref="J1411:J1474" si="91">F1411/SUM($D1411:$G1411)*100</f>
        <v>57.088122605363992</v>
      </c>
      <c r="K1411" s="7">
        <f t="shared" ref="K1411:K1474" si="92">G1411/SUM($D1411:$G1411)*100</f>
        <v>20.306513409961685</v>
      </c>
    </row>
    <row r="1412" spans="1:11" x14ac:dyDescent="0.35">
      <c r="A1412">
        <v>2022</v>
      </c>
      <c r="B1412">
        <v>3138658</v>
      </c>
      <c r="C1412" t="str">
        <f>VLOOKUP(B1412,SAEB!$A:$B,2,0)</f>
        <v>Lontra</v>
      </c>
      <c r="D1412">
        <v>578</v>
      </c>
      <c r="E1412">
        <v>256</v>
      </c>
      <c r="F1412">
        <v>32</v>
      </c>
      <c r="G1412">
        <v>0</v>
      </c>
      <c r="H1412" s="7">
        <f t="shared" si="89"/>
        <v>66.743648960739037</v>
      </c>
      <c r="I1412" s="7">
        <f t="shared" si="90"/>
        <v>29.561200923787528</v>
      </c>
      <c r="J1412" s="7">
        <f t="shared" si="91"/>
        <v>3.695150115473441</v>
      </c>
      <c r="K1412" s="7">
        <f t="shared" si="92"/>
        <v>0</v>
      </c>
    </row>
    <row r="1413" spans="1:11" x14ac:dyDescent="0.35">
      <c r="A1413">
        <v>2022</v>
      </c>
      <c r="B1413">
        <v>3138906</v>
      </c>
      <c r="C1413" t="str">
        <f>VLOOKUP(B1413,SAEB!$A:$B,2,0)</f>
        <v>Machacalis</v>
      </c>
      <c r="D1413">
        <v>355</v>
      </c>
      <c r="E1413">
        <v>0</v>
      </c>
      <c r="F1413">
        <v>56</v>
      </c>
      <c r="G1413">
        <v>0</v>
      </c>
      <c r="H1413" s="7">
        <f t="shared" si="89"/>
        <v>86.374695863746965</v>
      </c>
      <c r="I1413" s="7">
        <f t="shared" si="90"/>
        <v>0</v>
      </c>
      <c r="J1413" s="7">
        <f t="shared" si="91"/>
        <v>13.625304136253041</v>
      </c>
      <c r="K1413" s="7">
        <f t="shared" si="92"/>
        <v>0</v>
      </c>
    </row>
    <row r="1414" spans="1:11" x14ac:dyDescent="0.35">
      <c r="A1414">
        <v>2022</v>
      </c>
      <c r="B1414">
        <v>3139201</v>
      </c>
      <c r="C1414" t="str">
        <f>VLOOKUP(B1414,SAEB!$A:$B,2,0)</f>
        <v>Malacacheta</v>
      </c>
      <c r="D1414">
        <v>243</v>
      </c>
      <c r="E1414">
        <v>0</v>
      </c>
      <c r="F1414">
        <v>142</v>
      </c>
      <c r="G1414">
        <v>131</v>
      </c>
      <c r="H1414" s="7">
        <f t="shared" si="89"/>
        <v>47.093023255813954</v>
      </c>
      <c r="I1414" s="7">
        <f t="shared" si="90"/>
        <v>0</v>
      </c>
      <c r="J1414" s="7">
        <f t="shared" si="91"/>
        <v>27.519379844961239</v>
      </c>
      <c r="K1414" s="7">
        <f t="shared" si="92"/>
        <v>25.387596899224807</v>
      </c>
    </row>
    <row r="1415" spans="1:11" x14ac:dyDescent="0.35">
      <c r="A1415">
        <v>2022</v>
      </c>
      <c r="B1415">
        <v>3139250</v>
      </c>
      <c r="C1415" t="str">
        <f>VLOOKUP(B1415,SAEB!$A:$B,2,0)</f>
        <v>Mamonas</v>
      </c>
      <c r="D1415">
        <v>278</v>
      </c>
      <c r="E1415">
        <v>0</v>
      </c>
      <c r="F1415">
        <v>20</v>
      </c>
      <c r="G1415">
        <v>0</v>
      </c>
      <c r="H1415" s="7">
        <f t="shared" si="89"/>
        <v>93.288590604026851</v>
      </c>
      <c r="I1415" s="7">
        <f t="shared" si="90"/>
        <v>0</v>
      </c>
      <c r="J1415" s="7">
        <f t="shared" si="91"/>
        <v>6.7114093959731544</v>
      </c>
      <c r="K1415" s="7">
        <f t="shared" si="92"/>
        <v>0</v>
      </c>
    </row>
    <row r="1416" spans="1:11" x14ac:dyDescent="0.35">
      <c r="A1416">
        <v>2022</v>
      </c>
      <c r="B1416">
        <v>3139300</v>
      </c>
      <c r="C1416" t="str">
        <f>VLOOKUP(B1416,SAEB!$A:$B,2,0)</f>
        <v>Manga</v>
      </c>
      <c r="D1416">
        <v>530</v>
      </c>
      <c r="E1416">
        <v>217</v>
      </c>
      <c r="F1416">
        <v>259</v>
      </c>
      <c r="G1416">
        <v>123</v>
      </c>
      <c r="H1416" s="7">
        <f t="shared" si="89"/>
        <v>46.944198405668736</v>
      </c>
      <c r="I1416" s="7">
        <f t="shared" si="90"/>
        <v>19.220549158547389</v>
      </c>
      <c r="J1416" s="7">
        <f t="shared" si="91"/>
        <v>22.940655447298493</v>
      </c>
      <c r="K1416" s="7">
        <f t="shared" si="92"/>
        <v>10.894596988485384</v>
      </c>
    </row>
    <row r="1417" spans="1:11" x14ac:dyDescent="0.35">
      <c r="A1417">
        <v>2022</v>
      </c>
      <c r="B1417">
        <v>3139607</v>
      </c>
      <c r="C1417" t="str">
        <f>VLOOKUP(B1417,SAEB!$A:$B,2,0)</f>
        <v>Mantena</v>
      </c>
      <c r="D1417">
        <v>1184</v>
      </c>
      <c r="E1417">
        <v>412</v>
      </c>
      <c r="F1417">
        <v>153</v>
      </c>
      <c r="G1417">
        <v>113</v>
      </c>
      <c r="H1417" s="7">
        <f t="shared" si="89"/>
        <v>63.587540279269604</v>
      </c>
      <c r="I1417" s="7">
        <f t="shared" si="90"/>
        <v>22.126745435016112</v>
      </c>
      <c r="J1417" s="7">
        <f t="shared" si="91"/>
        <v>8.2169709989258859</v>
      </c>
      <c r="K1417" s="7">
        <f t="shared" si="92"/>
        <v>6.0687432867883997</v>
      </c>
    </row>
    <row r="1418" spans="1:11" x14ac:dyDescent="0.35">
      <c r="A1418">
        <v>2022</v>
      </c>
      <c r="B1418">
        <v>3140100</v>
      </c>
      <c r="C1418" t="str">
        <f>VLOOKUP(B1418,SAEB!$A:$B,2,0)</f>
        <v>Marilac</v>
      </c>
      <c r="D1418">
        <v>289</v>
      </c>
      <c r="E1418">
        <v>0</v>
      </c>
      <c r="F1418">
        <v>0</v>
      </c>
      <c r="G1418">
        <v>0</v>
      </c>
      <c r="H1418" s="7">
        <f t="shared" si="89"/>
        <v>100</v>
      </c>
      <c r="I1418" s="7">
        <f t="shared" si="90"/>
        <v>0</v>
      </c>
      <c r="J1418" s="7">
        <f t="shared" si="91"/>
        <v>0</v>
      </c>
      <c r="K1418" s="7">
        <f t="shared" si="92"/>
        <v>0</v>
      </c>
    </row>
    <row r="1419" spans="1:11" x14ac:dyDescent="0.35">
      <c r="A1419">
        <v>2022</v>
      </c>
      <c r="B1419">
        <v>3140605</v>
      </c>
      <c r="C1419" t="str">
        <f>VLOOKUP(B1419,SAEB!$A:$B,2,0)</f>
        <v>Materlândia</v>
      </c>
      <c r="D1419">
        <v>168</v>
      </c>
      <c r="E1419">
        <v>0</v>
      </c>
      <c r="F1419">
        <v>94</v>
      </c>
      <c r="G1419">
        <v>40</v>
      </c>
      <c r="H1419" s="7">
        <f t="shared" si="89"/>
        <v>55.629139072847678</v>
      </c>
      <c r="I1419" s="7">
        <f t="shared" si="90"/>
        <v>0</v>
      </c>
      <c r="J1419" s="7">
        <f t="shared" si="91"/>
        <v>31.125827814569533</v>
      </c>
      <c r="K1419" s="7">
        <f t="shared" si="92"/>
        <v>13.245033112582782</v>
      </c>
    </row>
    <row r="1420" spans="1:11" x14ac:dyDescent="0.35">
      <c r="A1420">
        <v>2022</v>
      </c>
      <c r="B1420">
        <v>3171501</v>
      </c>
      <c r="C1420" t="str">
        <f>VLOOKUP(B1420,SAEB!$A:$B,2,0)</f>
        <v>Mathias Lobato</v>
      </c>
      <c r="D1420">
        <v>249</v>
      </c>
      <c r="E1420">
        <v>0</v>
      </c>
      <c r="F1420">
        <v>0</v>
      </c>
      <c r="G1420">
        <v>0</v>
      </c>
      <c r="H1420" s="7">
        <f t="shared" si="89"/>
        <v>100</v>
      </c>
      <c r="I1420" s="7">
        <f t="shared" si="90"/>
        <v>0</v>
      </c>
      <c r="J1420" s="7">
        <f t="shared" si="91"/>
        <v>0</v>
      </c>
      <c r="K1420" s="7">
        <f t="shared" si="92"/>
        <v>0</v>
      </c>
    </row>
    <row r="1421" spans="1:11" x14ac:dyDescent="0.35">
      <c r="A1421">
        <v>2022</v>
      </c>
      <c r="B1421">
        <v>3140852</v>
      </c>
      <c r="C1421" t="str">
        <f>VLOOKUP(B1421,SAEB!$A:$B,2,0)</f>
        <v>Matias Cardoso</v>
      </c>
      <c r="D1421">
        <v>529</v>
      </c>
      <c r="E1421">
        <v>359</v>
      </c>
      <c r="F1421">
        <v>169</v>
      </c>
      <c r="G1421">
        <v>0</v>
      </c>
      <c r="H1421" s="7">
        <f t="shared" si="89"/>
        <v>50.047303689687794</v>
      </c>
      <c r="I1421" s="7">
        <f t="shared" si="90"/>
        <v>33.964049195837276</v>
      </c>
      <c r="J1421" s="7">
        <f t="shared" si="91"/>
        <v>15.988647114474929</v>
      </c>
      <c r="K1421" s="7">
        <f t="shared" si="92"/>
        <v>0</v>
      </c>
    </row>
    <row r="1422" spans="1:11" x14ac:dyDescent="0.35">
      <c r="A1422">
        <v>2022</v>
      </c>
      <c r="B1422">
        <v>3141009</v>
      </c>
      <c r="C1422" t="str">
        <f>VLOOKUP(B1422,SAEB!$A:$B,2,0)</f>
        <v>Mato Verde</v>
      </c>
      <c r="D1422">
        <v>321</v>
      </c>
      <c r="E1422">
        <v>0</v>
      </c>
      <c r="F1422">
        <v>77</v>
      </c>
      <c r="G1422">
        <v>0</v>
      </c>
      <c r="H1422" s="7">
        <f t="shared" si="89"/>
        <v>80.653266331658287</v>
      </c>
      <c r="I1422" s="7">
        <f t="shared" si="90"/>
        <v>0</v>
      </c>
      <c r="J1422" s="7">
        <f t="shared" si="91"/>
        <v>19.346733668341709</v>
      </c>
      <c r="K1422" s="7">
        <f t="shared" si="92"/>
        <v>0</v>
      </c>
    </row>
    <row r="1423" spans="1:11" x14ac:dyDescent="0.35">
      <c r="A1423">
        <v>2022</v>
      </c>
      <c r="B1423">
        <v>3141405</v>
      </c>
      <c r="C1423" t="str">
        <f>VLOOKUP(B1423,SAEB!$A:$B,2,0)</f>
        <v>Medina</v>
      </c>
      <c r="D1423">
        <v>785</v>
      </c>
      <c r="E1423">
        <v>0</v>
      </c>
      <c r="F1423">
        <v>199</v>
      </c>
      <c r="G1423">
        <v>0</v>
      </c>
      <c r="H1423" s="7">
        <f t="shared" si="89"/>
        <v>79.776422764227632</v>
      </c>
      <c r="I1423" s="7">
        <f t="shared" si="90"/>
        <v>0</v>
      </c>
      <c r="J1423" s="7">
        <f t="shared" si="91"/>
        <v>20.223577235772357</v>
      </c>
      <c r="K1423" s="7">
        <f t="shared" si="92"/>
        <v>0</v>
      </c>
    </row>
    <row r="1424" spans="1:11" x14ac:dyDescent="0.35">
      <c r="A1424">
        <v>2022</v>
      </c>
      <c r="B1424">
        <v>3141504</v>
      </c>
      <c r="C1424" t="str">
        <f>VLOOKUP(B1424,SAEB!$A:$B,2,0)</f>
        <v>Mendes Pimentel</v>
      </c>
      <c r="D1424">
        <v>197</v>
      </c>
      <c r="E1424">
        <v>0</v>
      </c>
      <c r="F1424">
        <v>96</v>
      </c>
      <c r="G1424">
        <v>0</v>
      </c>
      <c r="H1424" s="7">
        <f t="shared" si="89"/>
        <v>67.235494880546071</v>
      </c>
      <c r="I1424" s="7">
        <f t="shared" si="90"/>
        <v>0</v>
      </c>
      <c r="J1424" s="7">
        <f t="shared" si="91"/>
        <v>32.764505119453922</v>
      </c>
      <c r="K1424" s="7">
        <f t="shared" si="92"/>
        <v>0</v>
      </c>
    </row>
    <row r="1425" spans="1:11" x14ac:dyDescent="0.35">
      <c r="A1425">
        <v>2022</v>
      </c>
      <c r="B1425">
        <v>3141801</v>
      </c>
      <c r="C1425" t="str">
        <f>VLOOKUP(B1425,SAEB!$A:$B,2,0)</f>
        <v>Minas Novas</v>
      </c>
      <c r="D1425">
        <v>196</v>
      </c>
      <c r="E1425">
        <v>183</v>
      </c>
      <c r="F1425">
        <v>365</v>
      </c>
      <c r="G1425">
        <v>128</v>
      </c>
      <c r="H1425" s="7">
        <f t="shared" si="89"/>
        <v>22.477064220183486</v>
      </c>
      <c r="I1425" s="7">
        <f t="shared" si="90"/>
        <v>20.986238532110089</v>
      </c>
      <c r="J1425" s="7">
        <f t="shared" si="91"/>
        <v>41.857798165137616</v>
      </c>
      <c r="K1425" s="7">
        <f t="shared" si="92"/>
        <v>14.678899082568808</v>
      </c>
    </row>
    <row r="1426" spans="1:11" x14ac:dyDescent="0.35">
      <c r="A1426">
        <v>2022</v>
      </c>
      <c r="B1426">
        <v>3142007</v>
      </c>
      <c r="C1426" t="str">
        <f>VLOOKUP(B1426,SAEB!$A:$B,2,0)</f>
        <v>Mirabela</v>
      </c>
      <c r="D1426">
        <v>484</v>
      </c>
      <c r="E1426">
        <v>0</v>
      </c>
      <c r="F1426">
        <v>74</v>
      </c>
      <c r="G1426">
        <v>84</v>
      </c>
      <c r="H1426" s="7">
        <f t="shared" si="89"/>
        <v>75.389408099688467</v>
      </c>
      <c r="I1426" s="7">
        <f t="shared" si="90"/>
        <v>0</v>
      </c>
      <c r="J1426" s="7">
        <f t="shared" si="91"/>
        <v>11.526479750778815</v>
      </c>
      <c r="K1426" s="7">
        <f t="shared" si="92"/>
        <v>13.084112149532709</v>
      </c>
    </row>
    <row r="1427" spans="1:11" x14ac:dyDescent="0.35">
      <c r="A1427">
        <v>2022</v>
      </c>
      <c r="B1427">
        <v>3142254</v>
      </c>
      <c r="C1427" t="str">
        <f>VLOOKUP(B1427,SAEB!$A:$B,2,0)</f>
        <v>Miravânia</v>
      </c>
      <c r="D1427">
        <v>0</v>
      </c>
      <c r="E1427">
        <v>0</v>
      </c>
      <c r="F1427">
        <v>119</v>
      </c>
      <c r="G1427">
        <v>129</v>
      </c>
      <c r="H1427" s="7">
        <f t="shared" si="89"/>
        <v>0</v>
      </c>
      <c r="I1427" s="7">
        <f t="shared" si="90"/>
        <v>0</v>
      </c>
      <c r="J1427" s="7">
        <f t="shared" si="91"/>
        <v>47.983870967741936</v>
      </c>
      <c r="K1427" s="7">
        <f t="shared" si="92"/>
        <v>52.016129032258064</v>
      </c>
    </row>
    <row r="1428" spans="1:11" x14ac:dyDescent="0.35">
      <c r="A1428">
        <v>2022</v>
      </c>
      <c r="B1428">
        <v>3142502</v>
      </c>
      <c r="C1428" t="str">
        <f>VLOOKUP(B1428,SAEB!$A:$B,2,0)</f>
        <v>Monjolos</v>
      </c>
      <c r="D1428">
        <v>77</v>
      </c>
      <c r="E1428">
        <v>0</v>
      </c>
      <c r="F1428">
        <v>0</v>
      </c>
      <c r="G1428">
        <v>0</v>
      </c>
      <c r="H1428" s="7">
        <f t="shared" si="89"/>
        <v>100</v>
      </c>
      <c r="I1428" s="7">
        <f t="shared" si="90"/>
        <v>0</v>
      </c>
      <c r="J1428" s="7">
        <f t="shared" si="91"/>
        <v>0</v>
      </c>
      <c r="K1428" s="7">
        <f t="shared" si="92"/>
        <v>0</v>
      </c>
    </row>
    <row r="1429" spans="1:11" x14ac:dyDescent="0.35">
      <c r="A1429">
        <v>2022</v>
      </c>
      <c r="B1429">
        <v>3142700</v>
      </c>
      <c r="C1429" t="str">
        <f>VLOOKUP(B1429,SAEB!$A:$B,2,0)</f>
        <v>Montalvânia</v>
      </c>
      <c r="D1429">
        <v>259</v>
      </c>
      <c r="E1429">
        <v>69</v>
      </c>
      <c r="F1429">
        <v>172</v>
      </c>
      <c r="G1429">
        <v>28</v>
      </c>
      <c r="H1429" s="7">
        <f t="shared" si="89"/>
        <v>49.053030303030305</v>
      </c>
      <c r="I1429" s="7">
        <f t="shared" si="90"/>
        <v>13.068181818181818</v>
      </c>
      <c r="J1429" s="7">
        <f t="shared" si="91"/>
        <v>32.575757575757578</v>
      </c>
      <c r="K1429" s="7">
        <f t="shared" si="92"/>
        <v>5.3030303030303028</v>
      </c>
    </row>
    <row r="1430" spans="1:11" x14ac:dyDescent="0.35">
      <c r="A1430">
        <v>2022</v>
      </c>
      <c r="B1430">
        <v>3143153</v>
      </c>
      <c r="C1430" t="str">
        <f>VLOOKUP(B1430,SAEB!$A:$B,2,0)</f>
        <v>Monte Formoso</v>
      </c>
      <c r="D1430">
        <v>164</v>
      </c>
      <c r="E1430">
        <v>0</v>
      </c>
      <c r="F1430">
        <v>122</v>
      </c>
      <c r="G1430">
        <v>0</v>
      </c>
      <c r="H1430" s="7">
        <f t="shared" si="89"/>
        <v>57.342657342657347</v>
      </c>
      <c r="I1430" s="7">
        <f t="shared" si="90"/>
        <v>0</v>
      </c>
      <c r="J1430" s="7">
        <f t="shared" si="91"/>
        <v>42.657342657342653</v>
      </c>
      <c r="K1430" s="7">
        <f t="shared" si="92"/>
        <v>0</v>
      </c>
    </row>
    <row r="1431" spans="1:11" x14ac:dyDescent="0.35">
      <c r="A1431">
        <v>2022</v>
      </c>
      <c r="B1431">
        <v>3143302</v>
      </c>
      <c r="C1431" t="str">
        <f>VLOOKUP(B1431,SAEB!$A:$B,2,0)</f>
        <v>Montes Claros</v>
      </c>
      <c r="D1431">
        <v>10221</v>
      </c>
      <c r="E1431">
        <v>6167</v>
      </c>
      <c r="F1431">
        <v>1291</v>
      </c>
      <c r="G1431">
        <v>722</v>
      </c>
      <c r="H1431" s="7">
        <f t="shared" si="89"/>
        <v>55.545894244877992</v>
      </c>
      <c r="I1431" s="7">
        <f t="shared" si="90"/>
        <v>33.51448290853758</v>
      </c>
      <c r="J1431" s="7">
        <f t="shared" si="91"/>
        <v>7.0159230476604533</v>
      </c>
      <c r="K1431" s="7">
        <f t="shared" si="92"/>
        <v>3.9236997989239715</v>
      </c>
    </row>
    <row r="1432" spans="1:11" x14ac:dyDescent="0.35">
      <c r="A1432">
        <v>2022</v>
      </c>
      <c r="B1432">
        <v>3143450</v>
      </c>
      <c r="C1432" t="str">
        <f>VLOOKUP(B1432,SAEB!$A:$B,2,0)</f>
        <v>Montezuma</v>
      </c>
      <c r="D1432">
        <v>310</v>
      </c>
      <c r="E1432">
        <v>0</v>
      </c>
      <c r="F1432">
        <v>120</v>
      </c>
      <c r="G1432">
        <v>0</v>
      </c>
      <c r="H1432" s="7">
        <f t="shared" si="89"/>
        <v>72.093023255813947</v>
      </c>
      <c r="I1432" s="7">
        <f t="shared" si="90"/>
        <v>0</v>
      </c>
      <c r="J1432" s="7">
        <f t="shared" si="91"/>
        <v>27.906976744186046</v>
      </c>
      <c r="K1432" s="7">
        <f t="shared" si="92"/>
        <v>0</v>
      </c>
    </row>
    <row r="1433" spans="1:11" x14ac:dyDescent="0.35">
      <c r="A1433">
        <v>2022</v>
      </c>
      <c r="B1433">
        <v>3143609</v>
      </c>
      <c r="C1433" t="str">
        <f>VLOOKUP(B1433,SAEB!$A:$B,2,0)</f>
        <v>Morro da Garça</v>
      </c>
      <c r="D1433">
        <v>132</v>
      </c>
      <c r="E1433">
        <v>138</v>
      </c>
      <c r="F1433">
        <v>17</v>
      </c>
      <c r="G1433">
        <v>18</v>
      </c>
      <c r="H1433" s="7">
        <f t="shared" si="89"/>
        <v>43.278688524590166</v>
      </c>
      <c r="I1433" s="7">
        <f t="shared" si="90"/>
        <v>45.245901639344261</v>
      </c>
      <c r="J1433" s="7">
        <f t="shared" si="91"/>
        <v>5.5737704918032787</v>
      </c>
      <c r="K1433" s="7">
        <f t="shared" si="92"/>
        <v>5.9016393442622954</v>
      </c>
    </row>
    <row r="1434" spans="1:11" x14ac:dyDescent="0.35">
      <c r="A1434">
        <v>2022</v>
      </c>
      <c r="B1434">
        <v>3144003</v>
      </c>
      <c r="C1434" t="str">
        <f>VLOOKUP(B1434,SAEB!$A:$B,2,0)</f>
        <v>Mutum</v>
      </c>
      <c r="D1434">
        <v>441</v>
      </c>
      <c r="E1434">
        <v>0</v>
      </c>
      <c r="F1434">
        <v>318</v>
      </c>
      <c r="G1434">
        <v>129</v>
      </c>
      <c r="H1434" s="7">
        <f t="shared" si="89"/>
        <v>49.662162162162161</v>
      </c>
      <c r="I1434" s="7">
        <f t="shared" si="90"/>
        <v>0</v>
      </c>
      <c r="J1434" s="7">
        <f t="shared" si="91"/>
        <v>35.810810810810814</v>
      </c>
      <c r="K1434" s="7">
        <f t="shared" si="92"/>
        <v>14.527027027027026</v>
      </c>
    </row>
    <row r="1435" spans="1:11" x14ac:dyDescent="0.35">
      <c r="A1435">
        <v>2022</v>
      </c>
      <c r="B1435">
        <v>3144201</v>
      </c>
      <c r="C1435" t="str">
        <f>VLOOKUP(B1435,SAEB!$A:$B,2,0)</f>
        <v>Nacip Raydan</v>
      </c>
      <c r="D1435">
        <v>151</v>
      </c>
      <c r="E1435">
        <v>0</v>
      </c>
      <c r="F1435">
        <v>9</v>
      </c>
      <c r="G1435">
        <v>0</v>
      </c>
      <c r="H1435" s="7">
        <f t="shared" si="89"/>
        <v>94.375</v>
      </c>
      <c r="I1435" s="7">
        <f t="shared" si="90"/>
        <v>0</v>
      </c>
      <c r="J1435" s="7">
        <f t="shared" si="91"/>
        <v>5.625</v>
      </c>
      <c r="K1435" s="7">
        <f t="shared" si="92"/>
        <v>0</v>
      </c>
    </row>
    <row r="1436" spans="1:11" x14ac:dyDescent="0.35">
      <c r="A1436">
        <v>2022</v>
      </c>
      <c r="B1436">
        <v>3144300</v>
      </c>
      <c r="C1436" t="str">
        <f>VLOOKUP(B1436,SAEB!$A:$B,2,0)</f>
        <v>Nanuque</v>
      </c>
      <c r="D1436">
        <v>477</v>
      </c>
      <c r="E1436">
        <v>295</v>
      </c>
      <c r="F1436">
        <v>108</v>
      </c>
      <c r="G1436">
        <v>86</v>
      </c>
      <c r="H1436" s="7">
        <f t="shared" si="89"/>
        <v>49.378881987577635</v>
      </c>
      <c r="I1436" s="7">
        <f t="shared" si="90"/>
        <v>30.53830227743271</v>
      </c>
      <c r="J1436" s="7">
        <f t="shared" si="91"/>
        <v>11.180124223602485</v>
      </c>
      <c r="K1436" s="7">
        <f t="shared" si="92"/>
        <v>8.9026915113871627</v>
      </c>
    </row>
    <row r="1437" spans="1:11" x14ac:dyDescent="0.35">
      <c r="A1437">
        <v>2022</v>
      </c>
      <c r="B1437">
        <v>3144359</v>
      </c>
      <c r="C1437" t="str">
        <f>VLOOKUP(B1437,SAEB!$A:$B,2,0)</f>
        <v>Naque</v>
      </c>
      <c r="D1437">
        <v>499</v>
      </c>
      <c r="E1437">
        <v>0</v>
      </c>
      <c r="F1437">
        <v>0</v>
      </c>
      <c r="G1437">
        <v>0</v>
      </c>
      <c r="H1437" s="7">
        <f t="shared" si="89"/>
        <v>100</v>
      </c>
      <c r="I1437" s="7">
        <f t="shared" si="90"/>
        <v>0</v>
      </c>
      <c r="J1437" s="7">
        <f t="shared" si="91"/>
        <v>0</v>
      </c>
      <c r="K1437" s="7">
        <f t="shared" si="92"/>
        <v>0</v>
      </c>
    </row>
    <row r="1438" spans="1:11" x14ac:dyDescent="0.35">
      <c r="A1438">
        <v>2022</v>
      </c>
      <c r="B1438">
        <v>3144375</v>
      </c>
      <c r="C1438" t="str">
        <f>VLOOKUP(B1438,SAEB!$A:$B,2,0)</f>
        <v>Natalândia</v>
      </c>
      <c r="D1438">
        <v>261</v>
      </c>
      <c r="E1438">
        <v>0</v>
      </c>
      <c r="F1438">
        <v>0</v>
      </c>
      <c r="G1438">
        <v>0</v>
      </c>
      <c r="H1438" s="7">
        <f t="shared" si="89"/>
        <v>100</v>
      </c>
      <c r="I1438" s="7">
        <f t="shared" si="90"/>
        <v>0</v>
      </c>
      <c r="J1438" s="7">
        <f t="shared" si="91"/>
        <v>0</v>
      </c>
      <c r="K1438" s="7">
        <f t="shared" si="92"/>
        <v>0</v>
      </c>
    </row>
    <row r="1439" spans="1:11" x14ac:dyDescent="0.35">
      <c r="A1439">
        <v>2022</v>
      </c>
      <c r="B1439">
        <v>3144656</v>
      </c>
      <c r="C1439" t="str">
        <f>VLOOKUP(B1439,SAEB!$A:$B,2,0)</f>
        <v>Ninheira</v>
      </c>
      <c r="D1439">
        <v>303</v>
      </c>
      <c r="E1439">
        <v>0</v>
      </c>
      <c r="F1439">
        <v>278</v>
      </c>
      <c r="G1439">
        <v>0</v>
      </c>
      <c r="H1439" s="7">
        <f t="shared" si="89"/>
        <v>52.151462994836486</v>
      </c>
      <c r="I1439" s="7">
        <f t="shared" si="90"/>
        <v>0</v>
      </c>
      <c r="J1439" s="7">
        <f t="shared" si="91"/>
        <v>47.848537005163507</v>
      </c>
      <c r="K1439" s="7">
        <f t="shared" si="92"/>
        <v>0</v>
      </c>
    </row>
    <row r="1440" spans="1:11" x14ac:dyDescent="0.35">
      <c r="A1440">
        <v>2022</v>
      </c>
      <c r="B1440">
        <v>3144672</v>
      </c>
      <c r="C1440" t="str">
        <f>VLOOKUP(B1440,SAEB!$A:$B,2,0)</f>
        <v>Nova Belém</v>
      </c>
      <c r="D1440">
        <v>127</v>
      </c>
      <c r="E1440">
        <v>0</v>
      </c>
      <c r="F1440">
        <v>78</v>
      </c>
      <c r="G1440">
        <v>0</v>
      </c>
      <c r="H1440" s="7">
        <f t="shared" si="89"/>
        <v>61.951219512195124</v>
      </c>
      <c r="I1440" s="7">
        <f t="shared" si="90"/>
        <v>0</v>
      </c>
      <c r="J1440" s="7">
        <f t="shared" si="91"/>
        <v>38.048780487804876</v>
      </c>
      <c r="K1440" s="7">
        <f t="shared" si="92"/>
        <v>0</v>
      </c>
    </row>
    <row r="1441" spans="1:11" x14ac:dyDescent="0.35">
      <c r="A1441">
        <v>2022</v>
      </c>
      <c r="B1441">
        <v>3145059</v>
      </c>
      <c r="C1441" t="str">
        <f>VLOOKUP(B1441,SAEB!$A:$B,2,0)</f>
        <v>Nova Porteirinha</v>
      </c>
      <c r="D1441">
        <v>197</v>
      </c>
      <c r="E1441">
        <v>80</v>
      </c>
      <c r="F1441">
        <v>137</v>
      </c>
      <c r="G1441">
        <v>0</v>
      </c>
      <c r="H1441" s="7">
        <f t="shared" si="89"/>
        <v>47.584541062801932</v>
      </c>
      <c r="I1441" s="7">
        <f t="shared" si="90"/>
        <v>19.323671497584542</v>
      </c>
      <c r="J1441" s="7">
        <f t="shared" si="91"/>
        <v>33.091787439613526</v>
      </c>
      <c r="K1441" s="7">
        <f t="shared" si="92"/>
        <v>0</v>
      </c>
    </row>
    <row r="1442" spans="1:11" x14ac:dyDescent="0.35">
      <c r="A1442">
        <v>2022</v>
      </c>
      <c r="B1442">
        <v>3145356</v>
      </c>
      <c r="C1442" t="str">
        <f>VLOOKUP(B1442,SAEB!$A:$B,2,0)</f>
        <v>Novo Oriente de Minas</v>
      </c>
      <c r="D1442">
        <v>250</v>
      </c>
      <c r="E1442">
        <v>0</v>
      </c>
      <c r="F1442">
        <v>262</v>
      </c>
      <c r="G1442">
        <v>69</v>
      </c>
      <c r="H1442" s="7">
        <f t="shared" si="89"/>
        <v>43.029259896729776</v>
      </c>
      <c r="I1442" s="7">
        <f t="shared" si="90"/>
        <v>0</v>
      </c>
      <c r="J1442" s="7">
        <f t="shared" si="91"/>
        <v>45.094664371772808</v>
      </c>
      <c r="K1442" s="7">
        <f t="shared" si="92"/>
        <v>11.876075731497417</v>
      </c>
    </row>
    <row r="1443" spans="1:11" x14ac:dyDescent="0.35">
      <c r="A1443">
        <v>2022</v>
      </c>
      <c r="B1443">
        <v>3145372</v>
      </c>
      <c r="C1443" t="str">
        <f>VLOOKUP(B1443,SAEB!$A:$B,2,0)</f>
        <v>Novorizonte</v>
      </c>
      <c r="D1443">
        <v>0</v>
      </c>
      <c r="E1443">
        <v>0</v>
      </c>
      <c r="F1443">
        <v>293</v>
      </c>
      <c r="G1443">
        <v>63</v>
      </c>
      <c r="H1443" s="7">
        <f t="shared" si="89"/>
        <v>0</v>
      </c>
      <c r="I1443" s="7">
        <f t="shared" si="90"/>
        <v>0</v>
      </c>
      <c r="J1443" s="7">
        <f t="shared" si="91"/>
        <v>82.303370786516851</v>
      </c>
      <c r="K1443" s="7">
        <f t="shared" si="92"/>
        <v>17.696629213483146</v>
      </c>
    </row>
    <row r="1444" spans="1:11" x14ac:dyDescent="0.35">
      <c r="A1444">
        <v>2022</v>
      </c>
      <c r="B1444">
        <v>3145455</v>
      </c>
      <c r="C1444" t="str">
        <f>VLOOKUP(B1444,SAEB!$A:$B,2,0)</f>
        <v>Olhos-d'Água</v>
      </c>
      <c r="D1444">
        <v>327</v>
      </c>
      <c r="E1444">
        <v>0</v>
      </c>
      <c r="F1444">
        <v>70</v>
      </c>
      <c r="G1444">
        <v>0</v>
      </c>
      <c r="H1444" s="7">
        <f t="shared" si="89"/>
        <v>82.367758186397992</v>
      </c>
      <c r="I1444" s="7">
        <f t="shared" si="90"/>
        <v>0</v>
      </c>
      <c r="J1444" s="7">
        <f t="shared" si="91"/>
        <v>17.632241813602015</v>
      </c>
      <c r="K1444" s="7">
        <f t="shared" si="92"/>
        <v>0</v>
      </c>
    </row>
    <row r="1445" spans="1:11" x14ac:dyDescent="0.35">
      <c r="A1445">
        <v>2022</v>
      </c>
      <c r="B1445">
        <v>3146305</v>
      </c>
      <c r="C1445" t="str">
        <f>VLOOKUP(B1445,SAEB!$A:$B,2,0)</f>
        <v>Padre Paraíso</v>
      </c>
      <c r="D1445">
        <v>406</v>
      </c>
      <c r="E1445">
        <v>0</v>
      </c>
      <c r="F1445">
        <v>306</v>
      </c>
      <c r="G1445">
        <v>340</v>
      </c>
      <c r="H1445" s="7">
        <f t="shared" si="89"/>
        <v>38.593155893536121</v>
      </c>
      <c r="I1445" s="7">
        <f t="shared" si="90"/>
        <v>0</v>
      </c>
      <c r="J1445" s="7">
        <f t="shared" si="91"/>
        <v>29.087452471482887</v>
      </c>
      <c r="K1445" s="7">
        <f t="shared" si="92"/>
        <v>32.319391634980988</v>
      </c>
    </row>
    <row r="1446" spans="1:11" x14ac:dyDescent="0.35">
      <c r="A1446">
        <v>2022</v>
      </c>
      <c r="B1446">
        <v>3146552</v>
      </c>
      <c r="C1446" t="str">
        <f>VLOOKUP(B1446,SAEB!$A:$B,2,0)</f>
        <v>Pai Pedro</v>
      </c>
      <c r="D1446">
        <v>241</v>
      </c>
      <c r="E1446">
        <v>0</v>
      </c>
      <c r="F1446">
        <v>157</v>
      </c>
      <c r="G1446">
        <v>140</v>
      </c>
      <c r="H1446" s="7">
        <f t="shared" si="89"/>
        <v>44.795539033457246</v>
      </c>
      <c r="I1446" s="7">
        <f t="shared" si="90"/>
        <v>0</v>
      </c>
      <c r="J1446" s="7">
        <f t="shared" si="91"/>
        <v>29.182156133828997</v>
      </c>
      <c r="K1446" s="7">
        <f t="shared" si="92"/>
        <v>26.022304832713754</v>
      </c>
    </row>
    <row r="1447" spans="1:11" x14ac:dyDescent="0.35">
      <c r="A1447">
        <v>2022</v>
      </c>
      <c r="B1447">
        <v>3146750</v>
      </c>
      <c r="C1447" t="str">
        <f>VLOOKUP(B1447,SAEB!$A:$B,2,0)</f>
        <v>Palmópolis</v>
      </c>
      <c r="D1447">
        <v>283</v>
      </c>
      <c r="E1447">
        <v>39</v>
      </c>
      <c r="F1447">
        <v>3</v>
      </c>
      <c r="G1447">
        <v>0</v>
      </c>
      <c r="H1447" s="7">
        <f t="shared" si="89"/>
        <v>87.07692307692308</v>
      </c>
      <c r="I1447" s="7">
        <f t="shared" si="90"/>
        <v>12</v>
      </c>
      <c r="J1447" s="7">
        <f t="shared" si="91"/>
        <v>0.92307692307692313</v>
      </c>
      <c r="K1447" s="7">
        <f t="shared" si="92"/>
        <v>0</v>
      </c>
    </row>
    <row r="1448" spans="1:11" x14ac:dyDescent="0.35">
      <c r="A1448">
        <v>2022</v>
      </c>
      <c r="B1448">
        <v>3147956</v>
      </c>
      <c r="C1448" t="str">
        <f>VLOOKUP(B1448,SAEB!$A:$B,2,0)</f>
        <v>Patis</v>
      </c>
      <c r="D1448">
        <v>169</v>
      </c>
      <c r="E1448">
        <v>145</v>
      </c>
      <c r="F1448">
        <v>47</v>
      </c>
      <c r="G1448">
        <v>73</v>
      </c>
      <c r="H1448" s="7">
        <f t="shared" si="89"/>
        <v>38.940092165898612</v>
      </c>
      <c r="I1448" s="7">
        <f t="shared" si="90"/>
        <v>33.410138248847929</v>
      </c>
      <c r="J1448" s="7">
        <f t="shared" si="91"/>
        <v>10.829493087557603</v>
      </c>
      <c r="K1448" s="7">
        <f t="shared" si="92"/>
        <v>16.820276497695851</v>
      </c>
    </row>
    <row r="1449" spans="1:11" x14ac:dyDescent="0.35">
      <c r="A1449">
        <v>2022</v>
      </c>
      <c r="B1449">
        <v>3148608</v>
      </c>
      <c r="C1449" t="str">
        <f>VLOOKUP(B1449,SAEB!$A:$B,2,0)</f>
        <v>Peçanha</v>
      </c>
      <c r="D1449">
        <v>0</v>
      </c>
      <c r="E1449">
        <v>0</v>
      </c>
      <c r="F1449">
        <v>294</v>
      </c>
      <c r="G1449">
        <v>282</v>
      </c>
      <c r="H1449" s="7">
        <f t="shared" si="89"/>
        <v>0</v>
      </c>
      <c r="I1449" s="7">
        <f t="shared" si="90"/>
        <v>0</v>
      </c>
      <c r="J1449" s="7">
        <f t="shared" si="91"/>
        <v>51.041666666666664</v>
      </c>
      <c r="K1449" s="7">
        <f t="shared" si="92"/>
        <v>48.958333333333329</v>
      </c>
    </row>
    <row r="1450" spans="1:11" x14ac:dyDescent="0.35">
      <c r="A1450">
        <v>2022</v>
      </c>
      <c r="B1450">
        <v>3148707</v>
      </c>
      <c r="C1450" t="str">
        <f>VLOOKUP(B1450,SAEB!$A:$B,2,0)</f>
        <v>Pedra Azul</v>
      </c>
      <c r="D1450">
        <v>1357</v>
      </c>
      <c r="E1450">
        <v>128</v>
      </c>
      <c r="F1450">
        <v>56</v>
      </c>
      <c r="G1450">
        <v>0</v>
      </c>
      <c r="H1450" s="7">
        <f t="shared" si="89"/>
        <v>88.059701492537314</v>
      </c>
      <c r="I1450" s="7">
        <f t="shared" si="90"/>
        <v>8.3062946138870863</v>
      </c>
      <c r="J1450" s="7">
        <f t="shared" si="91"/>
        <v>3.6340038935756005</v>
      </c>
      <c r="K1450" s="7">
        <f t="shared" si="92"/>
        <v>0</v>
      </c>
    </row>
    <row r="1451" spans="1:11" x14ac:dyDescent="0.35">
      <c r="A1451">
        <v>2022</v>
      </c>
      <c r="B1451">
        <v>3149952</v>
      </c>
      <c r="C1451" t="str">
        <f>VLOOKUP(B1451,SAEB!$A:$B,2,0)</f>
        <v>Periquito</v>
      </c>
      <c r="D1451">
        <v>519</v>
      </c>
      <c r="E1451">
        <v>439</v>
      </c>
      <c r="F1451">
        <v>0</v>
      </c>
      <c r="G1451">
        <v>0</v>
      </c>
      <c r="H1451" s="7">
        <f t="shared" si="89"/>
        <v>54.175365344467643</v>
      </c>
      <c r="I1451" s="7">
        <f t="shared" si="90"/>
        <v>45.824634655532357</v>
      </c>
      <c r="J1451" s="7">
        <f t="shared" si="91"/>
        <v>0</v>
      </c>
      <c r="K1451" s="7">
        <f t="shared" si="92"/>
        <v>0</v>
      </c>
    </row>
    <row r="1452" spans="1:11" x14ac:dyDescent="0.35">
      <c r="A1452">
        <v>2022</v>
      </c>
      <c r="B1452">
        <v>3150158</v>
      </c>
      <c r="C1452" t="str">
        <f>VLOOKUP(B1452,SAEB!$A:$B,2,0)</f>
        <v>Piedade de Caratinga</v>
      </c>
      <c r="D1452">
        <v>555</v>
      </c>
      <c r="E1452">
        <v>0</v>
      </c>
      <c r="F1452">
        <v>69</v>
      </c>
      <c r="G1452">
        <v>0</v>
      </c>
      <c r="H1452" s="7">
        <f t="shared" si="89"/>
        <v>88.942307692307693</v>
      </c>
      <c r="I1452" s="7">
        <f t="shared" si="90"/>
        <v>0</v>
      </c>
      <c r="J1452" s="7">
        <f t="shared" si="91"/>
        <v>11.057692307692307</v>
      </c>
      <c r="K1452" s="7">
        <f t="shared" si="92"/>
        <v>0</v>
      </c>
    </row>
    <row r="1453" spans="1:11" x14ac:dyDescent="0.35">
      <c r="A1453">
        <v>2022</v>
      </c>
      <c r="B1453">
        <v>3150570</v>
      </c>
      <c r="C1453" t="str">
        <f>VLOOKUP(B1453,SAEB!$A:$B,2,0)</f>
        <v>Pintópolis</v>
      </c>
      <c r="D1453">
        <v>337</v>
      </c>
      <c r="E1453">
        <v>0</v>
      </c>
      <c r="F1453">
        <v>76</v>
      </c>
      <c r="G1453">
        <v>0</v>
      </c>
      <c r="H1453" s="7">
        <f t="shared" si="89"/>
        <v>81.598062953995154</v>
      </c>
      <c r="I1453" s="7">
        <f t="shared" si="90"/>
        <v>0</v>
      </c>
      <c r="J1453" s="7">
        <f t="shared" si="91"/>
        <v>18.401937046004843</v>
      </c>
      <c r="K1453" s="7">
        <f t="shared" si="92"/>
        <v>0</v>
      </c>
    </row>
    <row r="1454" spans="1:11" x14ac:dyDescent="0.35">
      <c r="A1454">
        <v>2022</v>
      </c>
      <c r="B1454">
        <v>3151206</v>
      </c>
      <c r="C1454" t="str">
        <f>VLOOKUP(B1454,SAEB!$A:$B,2,0)</f>
        <v>Pirapora</v>
      </c>
      <c r="D1454">
        <v>2755</v>
      </c>
      <c r="E1454">
        <v>97</v>
      </c>
      <c r="F1454">
        <v>0</v>
      </c>
      <c r="G1454">
        <v>0</v>
      </c>
      <c r="H1454" s="7">
        <f t="shared" si="89"/>
        <v>96.598877980364662</v>
      </c>
      <c r="I1454" s="7">
        <f t="shared" si="90"/>
        <v>3.4011220196353436</v>
      </c>
      <c r="J1454" s="7">
        <f t="shared" si="91"/>
        <v>0</v>
      </c>
      <c r="K1454" s="7">
        <f t="shared" si="92"/>
        <v>0</v>
      </c>
    </row>
    <row r="1455" spans="1:11" x14ac:dyDescent="0.35">
      <c r="A1455">
        <v>2022</v>
      </c>
      <c r="B1455">
        <v>3152170</v>
      </c>
      <c r="C1455" t="str">
        <f>VLOOKUP(B1455,SAEB!$A:$B,2,0)</f>
        <v>Ponto dos Volantes</v>
      </c>
      <c r="D1455">
        <v>399</v>
      </c>
      <c r="E1455">
        <v>288</v>
      </c>
      <c r="F1455">
        <v>325</v>
      </c>
      <c r="G1455">
        <v>316</v>
      </c>
      <c r="H1455" s="7">
        <f t="shared" si="89"/>
        <v>30.045180722891569</v>
      </c>
      <c r="I1455" s="7">
        <f t="shared" si="90"/>
        <v>21.686746987951807</v>
      </c>
      <c r="J1455" s="7">
        <f t="shared" si="91"/>
        <v>24.472891566265059</v>
      </c>
      <c r="K1455" s="7">
        <f t="shared" si="92"/>
        <v>23.795180722891565</v>
      </c>
    </row>
    <row r="1456" spans="1:11" x14ac:dyDescent="0.35">
      <c r="A1456">
        <v>2022</v>
      </c>
      <c r="B1456">
        <v>3152402</v>
      </c>
      <c r="C1456" t="str">
        <f>VLOOKUP(B1456,SAEB!$A:$B,2,0)</f>
        <v>Poté</v>
      </c>
      <c r="D1456">
        <v>477</v>
      </c>
      <c r="E1456">
        <v>279</v>
      </c>
      <c r="F1456">
        <v>65</v>
      </c>
      <c r="G1456">
        <v>0</v>
      </c>
      <c r="H1456" s="7">
        <f t="shared" si="89"/>
        <v>58.099878197320344</v>
      </c>
      <c r="I1456" s="7">
        <f t="shared" si="90"/>
        <v>33.982947624847746</v>
      </c>
      <c r="J1456" s="7">
        <f t="shared" si="91"/>
        <v>7.917174177831912</v>
      </c>
      <c r="K1456" s="7">
        <f t="shared" si="92"/>
        <v>0</v>
      </c>
    </row>
    <row r="1457" spans="1:11" x14ac:dyDescent="0.35">
      <c r="A1457">
        <v>2022</v>
      </c>
      <c r="B1457">
        <v>3153301</v>
      </c>
      <c r="C1457" t="str">
        <f>VLOOKUP(B1457,SAEB!$A:$B,2,0)</f>
        <v>Presidente Kubitschek</v>
      </c>
      <c r="D1457">
        <v>238</v>
      </c>
      <c r="E1457">
        <v>0</v>
      </c>
      <c r="F1457">
        <v>0</v>
      </c>
      <c r="G1457">
        <v>0</v>
      </c>
      <c r="H1457" s="7">
        <f t="shared" si="89"/>
        <v>100</v>
      </c>
      <c r="I1457" s="7">
        <f t="shared" si="90"/>
        <v>0</v>
      </c>
      <c r="J1457" s="7">
        <f t="shared" si="91"/>
        <v>0</v>
      </c>
      <c r="K1457" s="7">
        <f t="shared" si="92"/>
        <v>0</v>
      </c>
    </row>
    <row r="1458" spans="1:11" x14ac:dyDescent="0.35">
      <c r="A1458">
        <v>2022</v>
      </c>
      <c r="B1458">
        <v>3154309</v>
      </c>
      <c r="C1458" t="str">
        <f>VLOOKUP(B1458,SAEB!$A:$B,2,0)</f>
        <v>Resplendor</v>
      </c>
      <c r="D1458">
        <v>767</v>
      </c>
      <c r="E1458">
        <v>556</v>
      </c>
      <c r="F1458">
        <v>0</v>
      </c>
      <c r="G1458">
        <v>0</v>
      </c>
      <c r="H1458" s="7">
        <f t="shared" si="89"/>
        <v>57.974300831443692</v>
      </c>
      <c r="I1458" s="7">
        <f t="shared" si="90"/>
        <v>42.025699168556315</v>
      </c>
      <c r="J1458" s="7">
        <f t="shared" si="91"/>
        <v>0</v>
      </c>
      <c r="K1458" s="7">
        <f t="shared" si="92"/>
        <v>0</v>
      </c>
    </row>
    <row r="1459" spans="1:11" x14ac:dyDescent="0.35">
      <c r="A1459">
        <v>2022</v>
      </c>
      <c r="B1459">
        <v>3155108</v>
      </c>
      <c r="C1459" t="str">
        <f>VLOOKUP(B1459,SAEB!$A:$B,2,0)</f>
        <v>Rio do Prado</v>
      </c>
      <c r="D1459">
        <v>0</v>
      </c>
      <c r="E1459">
        <v>0</v>
      </c>
      <c r="F1459">
        <v>108</v>
      </c>
      <c r="G1459">
        <v>118</v>
      </c>
      <c r="H1459" s="7">
        <f t="shared" si="89"/>
        <v>0</v>
      </c>
      <c r="I1459" s="7">
        <f t="shared" si="90"/>
        <v>0</v>
      </c>
      <c r="J1459" s="7">
        <f t="shared" si="91"/>
        <v>47.787610619469028</v>
      </c>
      <c r="K1459" s="7">
        <f t="shared" si="92"/>
        <v>52.212389380530979</v>
      </c>
    </row>
    <row r="1460" spans="1:11" x14ac:dyDescent="0.35">
      <c r="A1460">
        <v>2022</v>
      </c>
      <c r="B1460">
        <v>3155603</v>
      </c>
      <c r="C1460" t="str">
        <f>VLOOKUP(B1460,SAEB!$A:$B,2,0)</f>
        <v>Rio Pardo de Minas</v>
      </c>
      <c r="D1460">
        <v>693</v>
      </c>
      <c r="E1460">
        <v>204</v>
      </c>
      <c r="F1460">
        <v>440</v>
      </c>
      <c r="G1460">
        <v>360</v>
      </c>
      <c r="H1460" s="7">
        <f t="shared" si="89"/>
        <v>40.836770771950505</v>
      </c>
      <c r="I1460" s="7">
        <f t="shared" si="90"/>
        <v>12.02121390689452</v>
      </c>
      <c r="J1460" s="7">
        <f t="shared" si="91"/>
        <v>25.928108426635237</v>
      </c>
      <c r="K1460" s="7">
        <f t="shared" si="92"/>
        <v>21.213906894519742</v>
      </c>
    </row>
    <row r="1461" spans="1:11" x14ac:dyDescent="0.35">
      <c r="A1461">
        <v>2022</v>
      </c>
      <c r="B1461">
        <v>3156502</v>
      </c>
      <c r="C1461" t="str">
        <f>VLOOKUP(B1461,SAEB!$A:$B,2,0)</f>
        <v>Rubelita</v>
      </c>
      <c r="D1461">
        <v>233</v>
      </c>
      <c r="E1461">
        <v>0</v>
      </c>
      <c r="F1461">
        <v>103</v>
      </c>
      <c r="G1461">
        <v>0</v>
      </c>
      <c r="H1461" s="7">
        <f t="shared" si="89"/>
        <v>69.345238095238088</v>
      </c>
      <c r="I1461" s="7">
        <f t="shared" si="90"/>
        <v>0</v>
      </c>
      <c r="J1461" s="7">
        <f t="shared" si="91"/>
        <v>30.654761904761905</v>
      </c>
      <c r="K1461" s="7">
        <f t="shared" si="92"/>
        <v>0</v>
      </c>
    </row>
    <row r="1462" spans="1:11" x14ac:dyDescent="0.35">
      <c r="A1462">
        <v>2022</v>
      </c>
      <c r="B1462">
        <v>3156601</v>
      </c>
      <c r="C1462" t="str">
        <f>VLOOKUP(B1462,SAEB!$A:$B,2,0)</f>
        <v>Rubim</v>
      </c>
      <c r="D1462">
        <v>423</v>
      </c>
      <c r="E1462">
        <v>417</v>
      </c>
      <c r="F1462">
        <v>80</v>
      </c>
      <c r="G1462">
        <v>0</v>
      </c>
      <c r="H1462" s="7">
        <f t="shared" si="89"/>
        <v>45.978260869565219</v>
      </c>
      <c r="I1462" s="7">
        <f t="shared" si="90"/>
        <v>45.326086956521735</v>
      </c>
      <c r="J1462" s="7">
        <f t="shared" si="91"/>
        <v>8.695652173913043</v>
      </c>
      <c r="K1462" s="7">
        <f t="shared" si="92"/>
        <v>0</v>
      </c>
    </row>
    <row r="1463" spans="1:11" x14ac:dyDescent="0.35">
      <c r="A1463">
        <v>2022</v>
      </c>
      <c r="B1463">
        <v>3156809</v>
      </c>
      <c r="C1463" t="str">
        <f>VLOOKUP(B1463,SAEB!$A:$B,2,0)</f>
        <v>Sabinópolis</v>
      </c>
      <c r="D1463">
        <v>211</v>
      </c>
      <c r="E1463">
        <v>0</v>
      </c>
      <c r="F1463">
        <v>113</v>
      </c>
      <c r="G1463">
        <v>0</v>
      </c>
      <c r="H1463" s="7">
        <f t="shared" si="89"/>
        <v>65.123456790123456</v>
      </c>
      <c r="I1463" s="7">
        <f t="shared" si="90"/>
        <v>0</v>
      </c>
      <c r="J1463" s="7">
        <f t="shared" si="91"/>
        <v>34.876543209876544</v>
      </c>
      <c r="K1463" s="7">
        <f t="shared" si="92"/>
        <v>0</v>
      </c>
    </row>
    <row r="1464" spans="1:11" x14ac:dyDescent="0.35">
      <c r="A1464">
        <v>2022</v>
      </c>
      <c r="B1464">
        <v>3157005</v>
      </c>
      <c r="C1464" t="str">
        <f>VLOOKUP(B1464,SAEB!$A:$B,2,0)</f>
        <v>Salinas</v>
      </c>
      <c r="D1464">
        <v>1889</v>
      </c>
      <c r="E1464">
        <v>0</v>
      </c>
      <c r="F1464">
        <v>160</v>
      </c>
      <c r="G1464">
        <v>74</v>
      </c>
      <c r="H1464" s="7">
        <f t="shared" si="89"/>
        <v>88.977861516721617</v>
      </c>
      <c r="I1464" s="7">
        <f t="shared" si="90"/>
        <v>0</v>
      </c>
      <c r="J1464" s="7">
        <f t="shared" si="91"/>
        <v>7.5365049458313713</v>
      </c>
      <c r="K1464" s="7">
        <f t="shared" si="92"/>
        <v>3.4856335374470091</v>
      </c>
    </row>
    <row r="1465" spans="1:11" x14ac:dyDescent="0.35">
      <c r="A1465">
        <v>2022</v>
      </c>
      <c r="B1465">
        <v>3157104</v>
      </c>
      <c r="C1465" t="str">
        <f>VLOOKUP(B1465,SAEB!$A:$B,2,0)</f>
        <v>Salto da Divisa</v>
      </c>
      <c r="D1465">
        <v>402</v>
      </c>
      <c r="E1465">
        <v>0</v>
      </c>
      <c r="F1465">
        <v>22</v>
      </c>
      <c r="G1465">
        <v>0</v>
      </c>
      <c r="H1465" s="7">
        <f t="shared" si="89"/>
        <v>94.811320754716974</v>
      </c>
      <c r="I1465" s="7">
        <f t="shared" si="90"/>
        <v>0</v>
      </c>
      <c r="J1465" s="7">
        <f t="shared" si="91"/>
        <v>5.1886792452830193</v>
      </c>
      <c r="K1465" s="7">
        <f t="shared" si="92"/>
        <v>0</v>
      </c>
    </row>
    <row r="1466" spans="1:11" x14ac:dyDescent="0.35">
      <c r="A1466">
        <v>2022</v>
      </c>
      <c r="B1466">
        <v>3157252</v>
      </c>
      <c r="C1466" t="str">
        <f>VLOOKUP(B1466,SAEB!$A:$B,2,0)</f>
        <v>Santa Bárbara do Leste</v>
      </c>
      <c r="D1466">
        <v>321</v>
      </c>
      <c r="E1466">
        <v>90</v>
      </c>
      <c r="F1466">
        <v>180</v>
      </c>
      <c r="G1466">
        <v>90</v>
      </c>
      <c r="H1466" s="7">
        <f t="shared" si="89"/>
        <v>47.136563876651984</v>
      </c>
      <c r="I1466" s="7">
        <f t="shared" si="90"/>
        <v>13.215859030837004</v>
      </c>
      <c r="J1466" s="7">
        <f t="shared" si="91"/>
        <v>26.431718061674008</v>
      </c>
      <c r="K1466" s="7">
        <f t="shared" si="92"/>
        <v>13.215859030837004</v>
      </c>
    </row>
    <row r="1467" spans="1:11" x14ac:dyDescent="0.35">
      <c r="A1467">
        <v>2022</v>
      </c>
      <c r="B1467">
        <v>3157377</v>
      </c>
      <c r="C1467" t="str">
        <f>VLOOKUP(B1467,SAEB!$A:$B,2,0)</f>
        <v>Santa Cruz de Salinas</v>
      </c>
      <c r="D1467">
        <v>152</v>
      </c>
      <c r="E1467">
        <v>0</v>
      </c>
      <c r="F1467">
        <v>99</v>
      </c>
      <c r="G1467">
        <v>29</v>
      </c>
      <c r="H1467" s="7">
        <f t="shared" si="89"/>
        <v>54.285714285714285</v>
      </c>
      <c r="I1467" s="7">
        <f t="shared" si="90"/>
        <v>0</v>
      </c>
      <c r="J1467" s="7">
        <f t="shared" si="91"/>
        <v>35.357142857142861</v>
      </c>
      <c r="K1467" s="7">
        <f t="shared" si="92"/>
        <v>10.357142857142858</v>
      </c>
    </row>
    <row r="1468" spans="1:11" x14ac:dyDescent="0.35">
      <c r="A1468">
        <v>2022</v>
      </c>
      <c r="B1468">
        <v>3157500</v>
      </c>
      <c r="C1468" t="str">
        <f>VLOOKUP(B1468,SAEB!$A:$B,2,0)</f>
        <v>Santa Efigênia de Minas</v>
      </c>
      <c r="D1468">
        <v>245</v>
      </c>
      <c r="E1468">
        <v>0</v>
      </c>
      <c r="F1468">
        <v>41</v>
      </c>
      <c r="G1468">
        <v>0</v>
      </c>
      <c r="H1468" s="7">
        <f t="shared" si="89"/>
        <v>85.664335664335667</v>
      </c>
      <c r="I1468" s="7">
        <f t="shared" si="90"/>
        <v>0</v>
      </c>
      <c r="J1468" s="7">
        <f t="shared" si="91"/>
        <v>14.335664335664337</v>
      </c>
      <c r="K1468" s="7">
        <f t="shared" si="92"/>
        <v>0</v>
      </c>
    </row>
    <row r="1469" spans="1:11" x14ac:dyDescent="0.35">
      <c r="A1469">
        <v>2022</v>
      </c>
      <c r="B1469">
        <v>3157658</v>
      </c>
      <c r="C1469" t="str">
        <f>VLOOKUP(B1469,SAEB!$A:$B,2,0)</f>
        <v>Santa Helena de Minas</v>
      </c>
      <c r="D1469">
        <v>164</v>
      </c>
      <c r="E1469">
        <v>0</v>
      </c>
      <c r="F1469">
        <v>35</v>
      </c>
      <c r="G1469">
        <v>46</v>
      </c>
      <c r="H1469" s="7">
        <f t="shared" si="89"/>
        <v>66.938775510204081</v>
      </c>
      <c r="I1469" s="7">
        <f t="shared" si="90"/>
        <v>0</v>
      </c>
      <c r="J1469" s="7">
        <f t="shared" si="91"/>
        <v>14.285714285714285</v>
      </c>
      <c r="K1469" s="7">
        <f t="shared" si="92"/>
        <v>18.775510204081634</v>
      </c>
    </row>
    <row r="1470" spans="1:11" x14ac:dyDescent="0.35">
      <c r="A1470">
        <v>2022</v>
      </c>
      <c r="B1470">
        <v>3158201</v>
      </c>
      <c r="C1470" t="str">
        <f>VLOOKUP(B1470,SAEB!$A:$B,2,0)</f>
        <v>Santa Maria do Suaçuí</v>
      </c>
      <c r="D1470">
        <v>310</v>
      </c>
      <c r="E1470">
        <v>16</v>
      </c>
      <c r="F1470">
        <v>44</v>
      </c>
      <c r="G1470">
        <v>0</v>
      </c>
      <c r="H1470" s="7">
        <f t="shared" si="89"/>
        <v>83.78378378378379</v>
      </c>
      <c r="I1470" s="7">
        <f t="shared" si="90"/>
        <v>4.3243243243243246</v>
      </c>
      <c r="J1470" s="7">
        <f t="shared" si="91"/>
        <v>11.891891891891893</v>
      </c>
      <c r="K1470" s="7">
        <f t="shared" si="92"/>
        <v>0</v>
      </c>
    </row>
    <row r="1471" spans="1:11" x14ac:dyDescent="0.35">
      <c r="A1471">
        <v>2022</v>
      </c>
      <c r="B1471">
        <v>3159357</v>
      </c>
      <c r="C1471" t="str">
        <f>VLOOKUP(B1471,SAEB!$A:$B,2,0)</f>
        <v>Santa Rita de Minas</v>
      </c>
      <c r="D1471">
        <v>408</v>
      </c>
      <c r="E1471">
        <v>0</v>
      </c>
      <c r="F1471">
        <v>45</v>
      </c>
      <c r="G1471">
        <v>0</v>
      </c>
      <c r="H1471" s="7">
        <f t="shared" si="89"/>
        <v>90.066225165562912</v>
      </c>
      <c r="I1471" s="7">
        <f t="shared" si="90"/>
        <v>0</v>
      </c>
      <c r="J1471" s="7">
        <f t="shared" si="91"/>
        <v>9.9337748344370862</v>
      </c>
      <c r="K1471" s="7">
        <f t="shared" si="92"/>
        <v>0</v>
      </c>
    </row>
    <row r="1472" spans="1:11" x14ac:dyDescent="0.35">
      <c r="A1472">
        <v>2022</v>
      </c>
      <c r="B1472">
        <v>3159506</v>
      </c>
      <c r="C1472" t="str">
        <f>VLOOKUP(B1472,SAEB!$A:$B,2,0)</f>
        <v>Santa Rita do Itueto</v>
      </c>
      <c r="D1472">
        <v>133</v>
      </c>
      <c r="E1472">
        <v>0</v>
      </c>
      <c r="F1472">
        <v>169</v>
      </c>
      <c r="G1472">
        <v>95</v>
      </c>
      <c r="H1472" s="7">
        <f t="shared" si="89"/>
        <v>33.501259445843829</v>
      </c>
      <c r="I1472" s="7">
        <f t="shared" si="90"/>
        <v>0</v>
      </c>
      <c r="J1472" s="7">
        <f t="shared" si="91"/>
        <v>42.569269521410583</v>
      </c>
      <c r="K1472" s="7">
        <f t="shared" si="92"/>
        <v>23.929471032745592</v>
      </c>
    </row>
    <row r="1473" spans="1:11" x14ac:dyDescent="0.35">
      <c r="A1473">
        <v>2022</v>
      </c>
      <c r="B1473">
        <v>3160454</v>
      </c>
      <c r="C1473" t="str">
        <f>VLOOKUP(B1473,SAEB!$A:$B,2,0)</f>
        <v>Santo Antônio do Retiro</v>
      </c>
      <c r="D1473">
        <v>298</v>
      </c>
      <c r="E1473">
        <v>220</v>
      </c>
      <c r="F1473">
        <v>113</v>
      </c>
      <c r="G1473">
        <v>149</v>
      </c>
      <c r="H1473" s="7">
        <f t="shared" si="89"/>
        <v>38.205128205128204</v>
      </c>
      <c r="I1473" s="7">
        <f t="shared" si="90"/>
        <v>28.205128205128204</v>
      </c>
      <c r="J1473" s="7">
        <f t="shared" si="91"/>
        <v>14.487179487179489</v>
      </c>
      <c r="K1473" s="7">
        <f t="shared" si="92"/>
        <v>19.102564102564102</v>
      </c>
    </row>
    <row r="1474" spans="1:11" x14ac:dyDescent="0.35">
      <c r="A1474">
        <v>2022</v>
      </c>
      <c r="B1474">
        <v>3160603</v>
      </c>
      <c r="C1474" t="str">
        <f>VLOOKUP(B1474,SAEB!$A:$B,2,0)</f>
        <v>Santo Hipólito</v>
      </c>
      <c r="D1474">
        <v>155</v>
      </c>
      <c r="E1474">
        <v>0</v>
      </c>
      <c r="F1474">
        <v>6</v>
      </c>
      <c r="G1474">
        <v>0</v>
      </c>
      <c r="H1474" s="7">
        <f t="shared" si="89"/>
        <v>96.273291925465841</v>
      </c>
      <c r="I1474" s="7">
        <f t="shared" si="90"/>
        <v>0</v>
      </c>
      <c r="J1474" s="7">
        <f t="shared" si="91"/>
        <v>3.7267080745341614</v>
      </c>
      <c r="K1474" s="7">
        <f t="shared" si="92"/>
        <v>0</v>
      </c>
    </row>
    <row r="1475" spans="1:11" x14ac:dyDescent="0.35">
      <c r="A1475">
        <v>2022</v>
      </c>
      <c r="B1475">
        <v>3160959</v>
      </c>
      <c r="C1475" t="str">
        <f>VLOOKUP(B1475,SAEB!$A:$B,2,0)</f>
        <v>São Domingos das Dores</v>
      </c>
      <c r="D1475">
        <v>258</v>
      </c>
      <c r="E1475">
        <v>0</v>
      </c>
      <c r="F1475">
        <v>134</v>
      </c>
      <c r="G1475">
        <v>167</v>
      </c>
      <c r="H1475" s="7">
        <f t="shared" ref="H1475:H1538" si="93">D1475/SUM($D1475:$G1475)*100</f>
        <v>46.153846153846153</v>
      </c>
      <c r="I1475" s="7">
        <f t="shared" ref="I1475:I1538" si="94">E1475/SUM($D1475:$G1475)*100</f>
        <v>0</v>
      </c>
      <c r="J1475" s="7">
        <f t="shared" ref="J1475:J1538" si="95">F1475/SUM($D1475:$G1475)*100</f>
        <v>23.971377459749551</v>
      </c>
      <c r="K1475" s="7">
        <f t="shared" ref="K1475:K1538" si="96">G1475/SUM($D1475:$G1475)*100</f>
        <v>29.874776386404296</v>
      </c>
    </row>
    <row r="1476" spans="1:11" x14ac:dyDescent="0.35">
      <c r="A1476">
        <v>2022</v>
      </c>
      <c r="B1476">
        <v>3161601</v>
      </c>
      <c r="C1476" t="str">
        <f>VLOOKUP(B1476,SAEB!$A:$B,2,0)</f>
        <v>São Geraldo da Piedade</v>
      </c>
      <c r="D1476">
        <v>81</v>
      </c>
      <c r="E1476">
        <v>0</v>
      </c>
      <c r="F1476">
        <v>124</v>
      </c>
      <c r="G1476">
        <v>56</v>
      </c>
      <c r="H1476" s="7">
        <f t="shared" si="93"/>
        <v>31.03448275862069</v>
      </c>
      <c r="I1476" s="7">
        <f t="shared" si="94"/>
        <v>0</v>
      </c>
      <c r="J1476" s="7">
        <f t="shared" si="95"/>
        <v>47.509578544061306</v>
      </c>
      <c r="K1476" s="7">
        <f t="shared" si="96"/>
        <v>21.455938697318008</v>
      </c>
    </row>
    <row r="1477" spans="1:11" x14ac:dyDescent="0.35">
      <c r="A1477">
        <v>2022</v>
      </c>
      <c r="B1477">
        <v>3125507</v>
      </c>
      <c r="C1477" t="str">
        <f>VLOOKUP(B1477,SAEB!$A:$B,2,0)</f>
        <v>São Gonçalo do Rio Preto</v>
      </c>
      <c r="D1477">
        <v>162</v>
      </c>
      <c r="E1477">
        <v>0</v>
      </c>
      <c r="F1477">
        <v>0</v>
      </c>
      <c r="G1477">
        <v>0</v>
      </c>
      <c r="H1477" s="7">
        <f t="shared" si="93"/>
        <v>100</v>
      </c>
      <c r="I1477" s="7">
        <f t="shared" si="94"/>
        <v>0</v>
      </c>
      <c r="J1477" s="7">
        <f t="shared" si="95"/>
        <v>0</v>
      </c>
      <c r="K1477" s="7">
        <f t="shared" si="96"/>
        <v>0</v>
      </c>
    </row>
    <row r="1478" spans="1:11" x14ac:dyDescent="0.35">
      <c r="A1478">
        <v>2022</v>
      </c>
      <c r="B1478">
        <v>3162252</v>
      </c>
      <c r="C1478" t="str">
        <f>VLOOKUP(B1478,SAEB!$A:$B,2,0)</f>
        <v>São João da Lagoa</v>
      </c>
      <c r="D1478">
        <v>229</v>
      </c>
      <c r="E1478">
        <v>0</v>
      </c>
      <c r="F1478">
        <v>51</v>
      </c>
      <c r="G1478">
        <v>62</v>
      </c>
      <c r="H1478" s="7">
        <f t="shared" si="93"/>
        <v>66.959064327485379</v>
      </c>
      <c r="I1478" s="7">
        <f t="shared" si="94"/>
        <v>0</v>
      </c>
      <c r="J1478" s="7">
        <f t="shared" si="95"/>
        <v>14.912280701754385</v>
      </c>
      <c r="K1478" s="7">
        <f t="shared" si="96"/>
        <v>18.128654970760234</v>
      </c>
    </row>
    <row r="1479" spans="1:11" x14ac:dyDescent="0.35">
      <c r="A1479">
        <v>2022</v>
      </c>
      <c r="B1479">
        <v>3162401</v>
      </c>
      <c r="C1479" t="str">
        <f>VLOOKUP(B1479,SAEB!$A:$B,2,0)</f>
        <v>São João da Ponte</v>
      </c>
      <c r="D1479">
        <v>375</v>
      </c>
      <c r="E1479">
        <v>258</v>
      </c>
      <c r="F1479">
        <v>691</v>
      </c>
      <c r="G1479">
        <v>536</v>
      </c>
      <c r="H1479" s="7">
        <f t="shared" si="93"/>
        <v>20.161290322580644</v>
      </c>
      <c r="I1479" s="7">
        <f t="shared" si="94"/>
        <v>13.870967741935484</v>
      </c>
      <c r="J1479" s="7">
        <f t="shared" si="95"/>
        <v>37.1505376344086</v>
      </c>
      <c r="K1479" s="7">
        <f t="shared" si="96"/>
        <v>28.817204301075268</v>
      </c>
    </row>
    <row r="1480" spans="1:11" x14ac:dyDescent="0.35">
      <c r="A1480">
        <v>2022</v>
      </c>
      <c r="B1480">
        <v>3162575</v>
      </c>
      <c r="C1480" t="str">
        <f>VLOOKUP(B1480,SAEB!$A:$B,2,0)</f>
        <v>São João do Manteninha</v>
      </c>
      <c r="D1480">
        <v>204</v>
      </c>
      <c r="E1480">
        <v>0</v>
      </c>
      <c r="F1480">
        <v>124</v>
      </c>
      <c r="G1480">
        <v>0</v>
      </c>
      <c r="H1480" s="7">
        <f t="shared" si="93"/>
        <v>62.195121951219512</v>
      </c>
      <c r="I1480" s="7">
        <f t="shared" si="94"/>
        <v>0</v>
      </c>
      <c r="J1480" s="7">
        <f t="shared" si="95"/>
        <v>37.804878048780488</v>
      </c>
      <c r="K1480" s="7">
        <f t="shared" si="96"/>
        <v>0</v>
      </c>
    </row>
    <row r="1481" spans="1:11" x14ac:dyDescent="0.35">
      <c r="A1481">
        <v>2022</v>
      </c>
      <c r="B1481">
        <v>3162807</v>
      </c>
      <c r="C1481" t="str">
        <f>VLOOKUP(B1481,SAEB!$A:$B,2,0)</f>
        <v>São João Evangelista</v>
      </c>
      <c r="D1481">
        <v>732</v>
      </c>
      <c r="E1481">
        <v>0</v>
      </c>
      <c r="F1481">
        <v>85</v>
      </c>
      <c r="G1481">
        <v>52</v>
      </c>
      <c r="H1481" s="7">
        <f t="shared" si="93"/>
        <v>84.234752589182975</v>
      </c>
      <c r="I1481" s="7">
        <f t="shared" si="94"/>
        <v>0</v>
      </c>
      <c r="J1481" s="7">
        <f t="shared" si="95"/>
        <v>9.7813578826237055</v>
      </c>
      <c r="K1481" s="7">
        <f t="shared" si="96"/>
        <v>5.983889528193326</v>
      </c>
    </row>
    <row r="1482" spans="1:11" x14ac:dyDescent="0.35">
      <c r="A1482">
        <v>2022</v>
      </c>
      <c r="B1482">
        <v>3163508</v>
      </c>
      <c r="C1482" t="str">
        <f>VLOOKUP(B1482,SAEB!$A:$B,2,0)</f>
        <v>São José do Jacuri</v>
      </c>
      <c r="D1482">
        <v>0</v>
      </c>
      <c r="E1482">
        <v>0</v>
      </c>
      <c r="F1482">
        <v>366</v>
      </c>
      <c r="G1482">
        <v>143</v>
      </c>
      <c r="H1482" s="7">
        <f t="shared" si="93"/>
        <v>0</v>
      </c>
      <c r="I1482" s="7">
        <f t="shared" si="94"/>
        <v>0</v>
      </c>
      <c r="J1482" s="7">
        <f t="shared" si="95"/>
        <v>71.905697445972493</v>
      </c>
      <c r="K1482" s="7">
        <f t="shared" si="96"/>
        <v>28.094302554027507</v>
      </c>
    </row>
    <row r="1483" spans="1:11" x14ac:dyDescent="0.35">
      <c r="A1483">
        <v>2022</v>
      </c>
      <c r="B1483">
        <v>3164100</v>
      </c>
      <c r="C1483" t="str">
        <f>VLOOKUP(B1483,SAEB!$A:$B,2,0)</f>
        <v>São Pedro do Suaçuí</v>
      </c>
      <c r="D1483">
        <v>217</v>
      </c>
      <c r="E1483">
        <v>0</v>
      </c>
      <c r="F1483">
        <v>49</v>
      </c>
      <c r="G1483">
        <v>0</v>
      </c>
      <c r="H1483" s="7">
        <f t="shared" si="93"/>
        <v>81.578947368421055</v>
      </c>
      <c r="I1483" s="7">
        <f t="shared" si="94"/>
        <v>0</v>
      </c>
      <c r="J1483" s="7">
        <f t="shared" si="95"/>
        <v>18.421052631578945</v>
      </c>
      <c r="K1483" s="7">
        <f t="shared" si="96"/>
        <v>0</v>
      </c>
    </row>
    <row r="1484" spans="1:11" x14ac:dyDescent="0.35">
      <c r="A1484">
        <v>2022</v>
      </c>
      <c r="B1484">
        <v>3164472</v>
      </c>
      <c r="C1484" t="str">
        <f>VLOOKUP(B1484,SAEB!$A:$B,2,0)</f>
        <v>São Sebastião do Anta</v>
      </c>
      <c r="D1484">
        <v>403</v>
      </c>
      <c r="E1484">
        <v>289</v>
      </c>
      <c r="F1484">
        <v>0</v>
      </c>
      <c r="G1484">
        <v>0</v>
      </c>
      <c r="H1484" s="7">
        <f t="shared" si="93"/>
        <v>58.236994219653184</v>
      </c>
      <c r="I1484" s="7">
        <f t="shared" si="94"/>
        <v>41.763005780346823</v>
      </c>
      <c r="J1484" s="7">
        <f t="shared" si="95"/>
        <v>0</v>
      </c>
      <c r="K1484" s="7">
        <f t="shared" si="96"/>
        <v>0</v>
      </c>
    </row>
    <row r="1485" spans="1:11" x14ac:dyDescent="0.35">
      <c r="A1485">
        <v>2022</v>
      </c>
      <c r="B1485">
        <v>3165503</v>
      </c>
      <c r="C1485" t="str">
        <f>VLOOKUP(B1485,SAEB!$A:$B,2,0)</f>
        <v>Sardoá</v>
      </c>
      <c r="D1485">
        <v>196</v>
      </c>
      <c r="E1485">
        <v>0</v>
      </c>
      <c r="F1485">
        <v>125</v>
      </c>
      <c r="G1485">
        <v>120</v>
      </c>
      <c r="H1485" s="7">
        <f t="shared" si="93"/>
        <v>44.444444444444443</v>
      </c>
      <c r="I1485" s="7">
        <f t="shared" si="94"/>
        <v>0</v>
      </c>
      <c r="J1485" s="7">
        <f t="shared" si="95"/>
        <v>28.344671201814059</v>
      </c>
      <c r="K1485" s="7">
        <f t="shared" si="96"/>
        <v>27.210884353741498</v>
      </c>
    </row>
    <row r="1486" spans="1:11" x14ac:dyDescent="0.35">
      <c r="A1486">
        <v>2022</v>
      </c>
      <c r="B1486">
        <v>3165909</v>
      </c>
      <c r="C1486" t="str">
        <f>VLOOKUP(B1486,SAEB!$A:$B,2,0)</f>
        <v>Senador Modestino Gonçalves</v>
      </c>
      <c r="D1486">
        <v>180</v>
      </c>
      <c r="E1486">
        <v>0</v>
      </c>
      <c r="F1486">
        <v>60</v>
      </c>
      <c r="G1486">
        <v>0</v>
      </c>
      <c r="H1486" s="7">
        <f t="shared" si="93"/>
        <v>75</v>
      </c>
      <c r="I1486" s="7">
        <f t="shared" si="94"/>
        <v>0</v>
      </c>
      <c r="J1486" s="7">
        <f t="shared" si="95"/>
        <v>25</v>
      </c>
      <c r="K1486" s="7">
        <f t="shared" si="96"/>
        <v>0</v>
      </c>
    </row>
    <row r="1487" spans="1:11" x14ac:dyDescent="0.35">
      <c r="A1487">
        <v>2022</v>
      </c>
      <c r="B1487">
        <v>3166105</v>
      </c>
      <c r="C1487" t="str">
        <f>VLOOKUP(B1487,SAEB!$A:$B,2,0)</f>
        <v>Senhora do Porto</v>
      </c>
      <c r="D1487">
        <v>193</v>
      </c>
      <c r="E1487">
        <v>0</v>
      </c>
      <c r="F1487">
        <v>15</v>
      </c>
      <c r="G1487">
        <v>0</v>
      </c>
      <c r="H1487" s="7">
        <f t="shared" si="93"/>
        <v>92.788461538461547</v>
      </c>
      <c r="I1487" s="7">
        <f t="shared" si="94"/>
        <v>0</v>
      </c>
      <c r="J1487" s="7">
        <f t="shared" si="95"/>
        <v>7.2115384615384608</v>
      </c>
      <c r="K1487" s="7">
        <f t="shared" si="96"/>
        <v>0</v>
      </c>
    </row>
    <row r="1488" spans="1:11" x14ac:dyDescent="0.35">
      <c r="A1488">
        <v>2022</v>
      </c>
      <c r="B1488">
        <v>3166709</v>
      </c>
      <c r="C1488" t="str">
        <f>VLOOKUP(B1488,SAEB!$A:$B,2,0)</f>
        <v>Serra dos Aimorés</v>
      </c>
      <c r="D1488">
        <v>232</v>
      </c>
      <c r="E1488">
        <v>0</v>
      </c>
      <c r="F1488">
        <v>91</v>
      </c>
      <c r="G1488">
        <v>0</v>
      </c>
      <c r="H1488" s="7">
        <f t="shared" si="93"/>
        <v>71.826625386996895</v>
      </c>
      <c r="I1488" s="7">
        <f t="shared" si="94"/>
        <v>0</v>
      </c>
      <c r="J1488" s="7">
        <f t="shared" si="95"/>
        <v>28.173374613003094</v>
      </c>
      <c r="K1488" s="7">
        <f t="shared" si="96"/>
        <v>0</v>
      </c>
    </row>
    <row r="1489" spans="1:11" x14ac:dyDescent="0.35">
      <c r="A1489">
        <v>2022</v>
      </c>
      <c r="B1489">
        <v>3166956</v>
      </c>
      <c r="C1489" t="str">
        <f>VLOOKUP(B1489,SAEB!$A:$B,2,0)</f>
        <v>Serranópolis de Minas</v>
      </c>
      <c r="D1489">
        <v>119</v>
      </c>
      <c r="E1489">
        <v>0</v>
      </c>
      <c r="F1489">
        <v>126</v>
      </c>
      <c r="G1489">
        <v>96</v>
      </c>
      <c r="H1489" s="7">
        <f t="shared" si="93"/>
        <v>34.897360703812318</v>
      </c>
      <c r="I1489" s="7">
        <f t="shared" si="94"/>
        <v>0</v>
      </c>
      <c r="J1489" s="7">
        <f t="shared" si="95"/>
        <v>36.950146627565985</v>
      </c>
      <c r="K1489" s="7">
        <f t="shared" si="96"/>
        <v>28.152492668621704</v>
      </c>
    </row>
    <row r="1490" spans="1:11" x14ac:dyDescent="0.35">
      <c r="A1490">
        <v>2022</v>
      </c>
      <c r="B1490">
        <v>3168002</v>
      </c>
      <c r="C1490" t="str">
        <f>VLOOKUP(B1490,SAEB!$A:$B,2,0)</f>
        <v>Taiobeiras</v>
      </c>
      <c r="D1490">
        <v>1748</v>
      </c>
      <c r="E1490">
        <v>163</v>
      </c>
      <c r="F1490">
        <v>107</v>
      </c>
      <c r="G1490">
        <v>98</v>
      </c>
      <c r="H1490" s="7">
        <f t="shared" si="93"/>
        <v>82.608695652173907</v>
      </c>
      <c r="I1490" s="7">
        <f t="shared" si="94"/>
        <v>7.703213610586011</v>
      </c>
      <c r="J1490" s="7">
        <f t="shared" si="95"/>
        <v>5.0567107750472591</v>
      </c>
      <c r="K1490" s="7">
        <f t="shared" si="96"/>
        <v>4.6313799621928169</v>
      </c>
    </row>
    <row r="1491" spans="1:11" x14ac:dyDescent="0.35">
      <c r="A1491">
        <v>2022</v>
      </c>
      <c r="B1491">
        <v>3168051</v>
      </c>
      <c r="C1491" t="str">
        <f>VLOOKUP(B1491,SAEB!$A:$B,2,0)</f>
        <v>Taparuba</v>
      </c>
      <c r="D1491">
        <v>193</v>
      </c>
      <c r="E1491">
        <v>47</v>
      </c>
      <c r="F1491">
        <v>35</v>
      </c>
      <c r="G1491">
        <v>0</v>
      </c>
      <c r="H1491" s="7">
        <f t="shared" si="93"/>
        <v>70.181818181818173</v>
      </c>
      <c r="I1491" s="7">
        <f t="shared" si="94"/>
        <v>17.09090909090909</v>
      </c>
      <c r="J1491" s="7">
        <f t="shared" si="95"/>
        <v>12.727272727272727</v>
      </c>
      <c r="K1491" s="7">
        <f t="shared" si="96"/>
        <v>0</v>
      </c>
    </row>
    <row r="1492" spans="1:11" x14ac:dyDescent="0.35">
      <c r="A1492">
        <v>2022</v>
      </c>
      <c r="B1492">
        <v>3168408</v>
      </c>
      <c r="C1492" t="str">
        <f>VLOOKUP(B1492,SAEB!$A:$B,2,0)</f>
        <v>Tarumirim</v>
      </c>
      <c r="D1492">
        <v>169</v>
      </c>
      <c r="E1492">
        <v>79</v>
      </c>
      <c r="F1492">
        <v>9</v>
      </c>
      <c r="G1492">
        <v>7</v>
      </c>
      <c r="H1492" s="7">
        <f t="shared" si="93"/>
        <v>64.015151515151516</v>
      </c>
      <c r="I1492" s="7">
        <f t="shared" si="94"/>
        <v>29.924242424242426</v>
      </c>
      <c r="J1492" s="7">
        <f t="shared" si="95"/>
        <v>3.4090909090909087</v>
      </c>
      <c r="K1492" s="7">
        <f t="shared" si="96"/>
        <v>2.6515151515151514</v>
      </c>
    </row>
    <row r="1493" spans="1:11" x14ac:dyDescent="0.35">
      <c r="A1493">
        <v>2022</v>
      </c>
      <c r="B1493">
        <v>3168606</v>
      </c>
      <c r="C1493" t="str">
        <f>VLOOKUP(B1493,SAEB!$A:$B,2,0)</f>
        <v>Teófilo Otoni</v>
      </c>
      <c r="D1493">
        <v>3146</v>
      </c>
      <c r="E1493">
        <v>1815</v>
      </c>
      <c r="F1493">
        <v>648</v>
      </c>
      <c r="G1493">
        <v>194</v>
      </c>
      <c r="H1493" s="7">
        <f t="shared" si="93"/>
        <v>54.213337928657587</v>
      </c>
      <c r="I1493" s="7">
        <f t="shared" si="94"/>
        <v>31.276925728071685</v>
      </c>
      <c r="J1493" s="7">
        <f t="shared" si="95"/>
        <v>11.166637945890056</v>
      </c>
      <c r="K1493" s="7">
        <f t="shared" si="96"/>
        <v>3.3430983973806652</v>
      </c>
    </row>
    <row r="1494" spans="1:11" x14ac:dyDescent="0.35">
      <c r="A1494">
        <v>2022</v>
      </c>
      <c r="B1494">
        <v>3169505</v>
      </c>
      <c r="C1494" t="str">
        <f>VLOOKUP(B1494,SAEB!$A:$B,2,0)</f>
        <v>Tumiritinga</v>
      </c>
      <c r="D1494">
        <v>376</v>
      </c>
      <c r="E1494">
        <v>0</v>
      </c>
      <c r="F1494">
        <v>11</v>
      </c>
      <c r="G1494">
        <v>0</v>
      </c>
      <c r="H1494" s="7">
        <f t="shared" si="93"/>
        <v>97.157622739018095</v>
      </c>
      <c r="I1494" s="7">
        <f t="shared" si="94"/>
        <v>0</v>
      </c>
      <c r="J1494" s="7">
        <f t="shared" si="95"/>
        <v>2.842377260981912</v>
      </c>
      <c r="K1494" s="7">
        <f t="shared" si="96"/>
        <v>0</v>
      </c>
    </row>
    <row r="1495" spans="1:11" x14ac:dyDescent="0.35">
      <c r="A1495">
        <v>2022</v>
      </c>
      <c r="B1495">
        <v>3169703</v>
      </c>
      <c r="C1495" t="str">
        <f>VLOOKUP(B1495,SAEB!$A:$B,2,0)</f>
        <v>Turmalina</v>
      </c>
      <c r="D1495">
        <v>351</v>
      </c>
      <c r="E1495">
        <v>0</v>
      </c>
      <c r="F1495">
        <v>159</v>
      </c>
      <c r="G1495">
        <v>140</v>
      </c>
      <c r="H1495" s="7">
        <f t="shared" si="93"/>
        <v>54</v>
      </c>
      <c r="I1495" s="7">
        <f t="shared" si="94"/>
        <v>0</v>
      </c>
      <c r="J1495" s="7">
        <f t="shared" si="95"/>
        <v>24.461538461538463</v>
      </c>
      <c r="K1495" s="7">
        <f t="shared" si="96"/>
        <v>21.53846153846154</v>
      </c>
    </row>
    <row r="1496" spans="1:11" x14ac:dyDescent="0.35">
      <c r="A1496">
        <v>2022</v>
      </c>
      <c r="B1496">
        <v>3170057</v>
      </c>
      <c r="C1496" t="str">
        <f>VLOOKUP(B1496,SAEB!$A:$B,2,0)</f>
        <v>Ubaporanga</v>
      </c>
      <c r="D1496">
        <v>392</v>
      </c>
      <c r="E1496">
        <v>0</v>
      </c>
      <c r="F1496">
        <v>72</v>
      </c>
      <c r="G1496">
        <v>0</v>
      </c>
      <c r="H1496" s="7">
        <f t="shared" si="93"/>
        <v>84.482758620689651</v>
      </c>
      <c r="I1496" s="7">
        <f t="shared" si="94"/>
        <v>0</v>
      </c>
      <c r="J1496" s="7">
        <f t="shared" si="95"/>
        <v>15.517241379310345</v>
      </c>
      <c r="K1496" s="7">
        <f t="shared" si="96"/>
        <v>0</v>
      </c>
    </row>
    <row r="1497" spans="1:11" x14ac:dyDescent="0.35">
      <c r="A1497">
        <v>2022</v>
      </c>
      <c r="B1497">
        <v>3170305</v>
      </c>
      <c r="C1497" t="str">
        <f>VLOOKUP(B1497,SAEB!$A:$B,2,0)</f>
        <v>Umburatiba</v>
      </c>
      <c r="D1497">
        <v>123</v>
      </c>
      <c r="E1497">
        <v>0</v>
      </c>
      <c r="F1497">
        <v>57</v>
      </c>
      <c r="G1497">
        <v>70</v>
      </c>
      <c r="H1497" s="7">
        <f t="shared" si="93"/>
        <v>49.2</v>
      </c>
      <c r="I1497" s="7">
        <f t="shared" si="94"/>
        <v>0</v>
      </c>
      <c r="J1497" s="7">
        <f t="shared" si="95"/>
        <v>22.8</v>
      </c>
      <c r="K1497" s="7">
        <f t="shared" si="96"/>
        <v>28.000000000000004</v>
      </c>
    </row>
    <row r="1498" spans="1:11" x14ac:dyDescent="0.35">
      <c r="A1498">
        <v>2022</v>
      </c>
      <c r="B1498">
        <v>3170479</v>
      </c>
      <c r="C1498" t="str">
        <f>VLOOKUP(B1498,SAEB!$A:$B,2,0)</f>
        <v>Uruana de Minas</v>
      </c>
      <c r="D1498">
        <v>258</v>
      </c>
      <c r="E1498">
        <v>233</v>
      </c>
      <c r="F1498">
        <v>0</v>
      </c>
      <c r="G1498">
        <v>0</v>
      </c>
      <c r="H1498" s="7">
        <f t="shared" si="93"/>
        <v>52.545824847250508</v>
      </c>
      <c r="I1498" s="7">
        <f t="shared" si="94"/>
        <v>47.454175152749492</v>
      </c>
      <c r="J1498" s="7">
        <f t="shared" si="95"/>
        <v>0</v>
      </c>
      <c r="K1498" s="7">
        <f t="shared" si="96"/>
        <v>0</v>
      </c>
    </row>
    <row r="1499" spans="1:11" x14ac:dyDescent="0.35">
      <c r="A1499">
        <v>2022</v>
      </c>
      <c r="B1499">
        <v>3170529</v>
      </c>
      <c r="C1499" t="str">
        <f>VLOOKUP(B1499,SAEB!$A:$B,2,0)</f>
        <v>Urucuia</v>
      </c>
      <c r="D1499">
        <v>473</v>
      </c>
      <c r="E1499">
        <v>413</v>
      </c>
      <c r="F1499">
        <v>192</v>
      </c>
      <c r="G1499">
        <v>188</v>
      </c>
      <c r="H1499" s="7">
        <f t="shared" si="93"/>
        <v>37.361769352290679</v>
      </c>
      <c r="I1499" s="7">
        <f t="shared" si="94"/>
        <v>32.622432859399687</v>
      </c>
      <c r="J1499" s="7">
        <f t="shared" si="95"/>
        <v>15.165876777251185</v>
      </c>
      <c r="K1499" s="7">
        <f t="shared" si="96"/>
        <v>14.84992101105845</v>
      </c>
    </row>
    <row r="1500" spans="1:11" x14ac:dyDescent="0.35">
      <c r="A1500">
        <v>2022</v>
      </c>
      <c r="B1500">
        <v>3170651</v>
      </c>
      <c r="C1500" t="str">
        <f>VLOOKUP(B1500,SAEB!$A:$B,2,0)</f>
        <v>Vargem Grande do Rio Pardo</v>
      </c>
      <c r="D1500">
        <v>219</v>
      </c>
      <c r="E1500">
        <v>0</v>
      </c>
      <c r="F1500">
        <v>56</v>
      </c>
      <c r="G1500">
        <v>0</v>
      </c>
      <c r="H1500" s="7">
        <f t="shared" si="93"/>
        <v>79.63636363636364</v>
      </c>
      <c r="I1500" s="7">
        <f t="shared" si="94"/>
        <v>0</v>
      </c>
      <c r="J1500" s="7">
        <f t="shared" si="95"/>
        <v>20.363636363636363</v>
      </c>
      <c r="K1500" s="7">
        <f t="shared" si="96"/>
        <v>0</v>
      </c>
    </row>
    <row r="1501" spans="1:11" x14ac:dyDescent="0.35">
      <c r="A1501">
        <v>2022</v>
      </c>
      <c r="B1501">
        <v>3170800</v>
      </c>
      <c r="C1501" t="str">
        <f>VLOOKUP(B1501,SAEB!$A:$B,2,0)</f>
        <v>Várzea da Palma</v>
      </c>
      <c r="D1501">
        <v>1821</v>
      </c>
      <c r="E1501">
        <v>0</v>
      </c>
      <c r="F1501">
        <v>140</v>
      </c>
      <c r="G1501">
        <v>102</v>
      </c>
      <c r="H1501" s="7">
        <f t="shared" si="93"/>
        <v>88.26951042171595</v>
      </c>
      <c r="I1501" s="7">
        <f t="shared" si="94"/>
        <v>0</v>
      </c>
      <c r="J1501" s="7">
        <f t="shared" si="95"/>
        <v>6.7862336403296171</v>
      </c>
      <c r="K1501" s="7">
        <f t="shared" si="96"/>
        <v>4.9442559379544351</v>
      </c>
    </row>
    <row r="1502" spans="1:11" x14ac:dyDescent="0.35">
      <c r="A1502">
        <v>2022</v>
      </c>
      <c r="B1502">
        <v>3171071</v>
      </c>
      <c r="C1502" t="str">
        <f>VLOOKUP(B1502,SAEB!$A:$B,2,0)</f>
        <v>Veredinha</v>
      </c>
      <c r="D1502">
        <v>300</v>
      </c>
      <c r="E1502">
        <v>0</v>
      </c>
      <c r="F1502">
        <v>9</v>
      </c>
      <c r="G1502">
        <v>0</v>
      </c>
      <c r="H1502" s="7">
        <f t="shared" si="93"/>
        <v>97.087378640776706</v>
      </c>
      <c r="I1502" s="7">
        <f t="shared" si="94"/>
        <v>0</v>
      </c>
      <c r="J1502" s="7">
        <f t="shared" si="95"/>
        <v>2.912621359223301</v>
      </c>
      <c r="K1502" s="7">
        <f t="shared" si="96"/>
        <v>0</v>
      </c>
    </row>
    <row r="1503" spans="1:11" x14ac:dyDescent="0.35">
      <c r="A1503">
        <v>2022</v>
      </c>
      <c r="B1503">
        <v>3171600</v>
      </c>
      <c r="C1503" t="str">
        <f>VLOOKUP(B1503,SAEB!$A:$B,2,0)</f>
        <v>Virgem da Lapa</v>
      </c>
      <c r="D1503">
        <v>367</v>
      </c>
      <c r="E1503">
        <v>0</v>
      </c>
      <c r="F1503">
        <v>73</v>
      </c>
      <c r="G1503">
        <v>0</v>
      </c>
      <c r="H1503" s="7">
        <f t="shared" si="93"/>
        <v>83.409090909090907</v>
      </c>
      <c r="I1503" s="7">
        <f t="shared" si="94"/>
        <v>0</v>
      </c>
      <c r="J1503" s="7">
        <f t="shared" si="95"/>
        <v>16.590909090909093</v>
      </c>
      <c r="K1503" s="7">
        <f t="shared" si="96"/>
        <v>0</v>
      </c>
    </row>
    <row r="1504" spans="1:11" x14ac:dyDescent="0.35">
      <c r="A1504">
        <v>2022</v>
      </c>
      <c r="B1504">
        <v>3171808</v>
      </c>
      <c r="C1504" t="str">
        <f>VLOOKUP(B1504,SAEB!$A:$B,2,0)</f>
        <v>Virginópolis</v>
      </c>
      <c r="D1504">
        <v>512</v>
      </c>
      <c r="E1504">
        <v>0</v>
      </c>
      <c r="F1504">
        <v>137</v>
      </c>
      <c r="G1504">
        <v>0</v>
      </c>
      <c r="H1504" s="7">
        <f t="shared" si="93"/>
        <v>78.890600924499239</v>
      </c>
      <c r="I1504" s="7">
        <f t="shared" si="94"/>
        <v>0</v>
      </c>
      <c r="J1504" s="7">
        <f t="shared" si="95"/>
        <v>21.109399075500772</v>
      </c>
      <c r="K1504" s="7">
        <f t="shared" si="96"/>
        <v>0</v>
      </c>
    </row>
    <row r="1505" spans="1:11" x14ac:dyDescent="0.35">
      <c r="A1505">
        <v>2022</v>
      </c>
      <c r="B1505">
        <v>3171907</v>
      </c>
      <c r="C1505" t="str">
        <f>VLOOKUP(B1505,SAEB!$A:$B,2,0)</f>
        <v>Virgolândia</v>
      </c>
      <c r="D1505">
        <v>253</v>
      </c>
      <c r="E1505">
        <v>0</v>
      </c>
      <c r="F1505">
        <v>0</v>
      </c>
      <c r="G1505">
        <v>0</v>
      </c>
      <c r="H1505" s="7">
        <f t="shared" si="93"/>
        <v>100</v>
      </c>
      <c r="I1505" s="7">
        <f t="shared" si="94"/>
        <v>0</v>
      </c>
      <c r="J1505" s="7">
        <f t="shared" si="95"/>
        <v>0</v>
      </c>
      <c r="K1505" s="7">
        <f t="shared" si="96"/>
        <v>0</v>
      </c>
    </row>
    <row r="1506" spans="1:11" x14ac:dyDescent="0.35">
      <c r="A1506">
        <v>2023</v>
      </c>
      <c r="B1506">
        <v>3101003</v>
      </c>
      <c r="C1506" t="str">
        <f>VLOOKUP(B1506,SAEB!$A:$B,2,0)</f>
        <v>Águas Vermelhas</v>
      </c>
      <c r="D1506">
        <v>685</v>
      </c>
      <c r="E1506">
        <v>0</v>
      </c>
      <c r="F1506">
        <v>107</v>
      </c>
      <c r="G1506">
        <v>0</v>
      </c>
      <c r="H1506" s="7">
        <f t="shared" si="93"/>
        <v>86.48989898989899</v>
      </c>
      <c r="I1506" s="7">
        <f t="shared" si="94"/>
        <v>0</v>
      </c>
      <c r="J1506" s="7">
        <f t="shared" si="95"/>
        <v>13.51010101010101</v>
      </c>
      <c r="K1506" s="7">
        <f t="shared" si="96"/>
        <v>0</v>
      </c>
    </row>
    <row r="1507" spans="1:11" x14ac:dyDescent="0.35">
      <c r="A1507">
        <v>2023</v>
      </c>
      <c r="B1507">
        <v>3101102</v>
      </c>
      <c r="C1507" t="str">
        <f>VLOOKUP(B1507,SAEB!$A:$B,2,0)</f>
        <v>Aimorés</v>
      </c>
      <c r="D1507">
        <v>623</v>
      </c>
      <c r="E1507">
        <v>417</v>
      </c>
      <c r="F1507">
        <v>50</v>
      </c>
      <c r="G1507">
        <v>0</v>
      </c>
      <c r="H1507" s="7">
        <f t="shared" si="93"/>
        <v>57.155963302752291</v>
      </c>
      <c r="I1507" s="7">
        <f t="shared" si="94"/>
        <v>38.256880733944953</v>
      </c>
      <c r="J1507" s="7">
        <f t="shared" si="95"/>
        <v>4.5871559633027523</v>
      </c>
      <c r="K1507" s="7">
        <f t="shared" si="96"/>
        <v>0</v>
      </c>
    </row>
    <row r="1508" spans="1:11" x14ac:dyDescent="0.35">
      <c r="A1508">
        <v>2023</v>
      </c>
      <c r="B1508">
        <v>3101706</v>
      </c>
      <c r="C1508" t="str">
        <f>VLOOKUP(B1508,SAEB!$A:$B,2,0)</f>
        <v>Almenara</v>
      </c>
      <c r="D1508">
        <v>2072</v>
      </c>
      <c r="E1508">
        <v>504</v>
      </c>
      <c r="F1508">
        <v>301</v>
      </c>
      <c r="G1508">
        <v>164</v>
      </c>
      <c r="H1508" s="7">
        <f t="shared" si="93"/>
        <v>68.135481749424528</v>
      </c>
      <c r="I1508" s="7">
        <f t="shared" si="94"/>
        <v>16.573495560670832</v>
      </c>
      <c r="J1508" s="7">
        <f t="shared" si="95"/>
        <v>9.8980598487339684</v>
      </c>
      <c r="K1508" s="7">
        <f t="shared" si="96"/>
        <v>5.392962841170668</v>
      </c>
    </row>
    <row r="1509" spans="1:11" x14ac:dyDescent="0.35">
      <c r="A1509">
        <v>2023</v>
      </c>
      <c r="B1509">
        <v>3101805</v>
      </c>
      <c r="C1509" t="str">
        <f>VLOOKUP(B1509,SAEB!$A:$B,2,0)</f>
        <v>Alpercata</v>
      </c>
      <c r="D1509">
        <v>340</v>
      </c>
      <c r="E1509">
        <v>152</v>
      </c>
      <c r="F1509">
        <v>63</v>
      </c>
      <c r="G1509">
        <v>0</v>
      </c>
      <c r="H1509" s="7">
        <f t="shared" si="93"/>
        <v>61.261261261261254</v>
      </c>
      <c r="I1509" s="7">
        <f t="shared" si="94"/>
        <v>27.387387387387385</v>
      </c>
      <c r="J1509" s="7">
        <f t="shared" si="95"/>
        <v>11.351351351351353</v>
      </c>
      <c r="K1509" s="7">
        <f t="shared" si="96"/>
        <v>0</v>
      </c>
    </row>
    <row r="1510" spans="1:11" x14ac:dyDescent="0.35">
      <c r="A1510">
        <v>2023</v>
      </c>
      <c r="B1510">
        <v>3102852</v>
      </c>
      <c r="C1510" t="str">
        <f>VLOOKUP(B1510,SAEB!$A:$B,2,0)</f>
        <v>Angelândia</v>
      </c>
      <c r="D1510">
        <v>526</v>
      </c>
      <c r="E1510">
        <v>0</v>
      </c>
      <c r="F1510">
        <v>31</v>
      </c>
      <c r="G1510">
        <v>0</v>
      </c>
      <c r="H1510" s="7">
        <f t="shared" si="93"/>
        <v>94.43447037701975</v>
      </c>
      <c r="I1510" s="7">
        <f t="shared" si="94"/>
        <v>0</v>
      </c>
      <c r="J1510" s="7">
        <f t="shared" si="95"/>
        <v>5.5655296229802511</v>
      </c>
      <c r="K1510" s="7">
        <f t="shared" si="96"/>
        <v>0</v>
      </c>
    </row>
    <row r="1511" spans="1:11" x14ac:dyDescent="0.35">
      <c r="A1511">
        <v>2023</v>
      </c>
      <c r="B1511">
        <v>3103405</v>
      </c>
      <c r="C1511" t="str">
        <f>VLOOKUP(B1511,SAEB!$A:$B,2,0)</f>
        <v>Araçuaí</v>
      </c>
      <c r="D1511">
        <v>378</v>
      </c>
      <c r="E1511">
        <v>0</v>
      </c>
      <c r="F1511">
        <v>281</v>
      </c>
      <c r="G1511">
        <v>227</v>
      </c>
      <c r="H1511" s="7">
        <f t="shared" si="93"/>
        <v>42.663656884875842</v>
      </c>
      <c r="I1511" s="7">
        <f t="shared" si="94"/>
        <v>0</v>
      </c>
      <c r="J1511" s="7">
        <f t="shared" si="95"/>
        <v>31.715575620767495</v>
      </c>
      <c r="K1511" s="7">
        <f t="shared" si="96"/>
        <v>25.620767494356659</v>
      </c>
    </row>
    <row r="1512" spans="1:11" x14ac:dyDescent="0.35">
      <c r="A1512">
        <v>2023</v>
      </c>
      <c r="B1512">
        <v>3104452</v>
      </c>
      <c r="C1512" t="str">
        <f>VLOOKUP(B1512,SAEB!$A:$B,2,0)</f>
        <v>Aricanduva</v>
      </c>
      <c r="D1512">
        <v>191</v>
      </c>
      <c r="E1512">
        <v>0</v>
      </c>
      <c r="F1512">
        <v>23</v>
      </c>
      <c r="G1512">
        <v>0</v>
      </c>
      <c r="H1512" s="7">
        <f t="shared" si="93"/>
        <v>89.252336448598129</v>
      </c>
      <c r="I1512" s="7">
        <f t="shared" si="94"/>
        <v>0</v>
      </c>
      <c r="J1512" s="7">
        <f t="shared" si="95"/>
        <v>10.747663551401869</v>
      </c>
      <c r="K1512" s="7">
        <f t="shared" si="96"/>
        <v>0</v>
      </c>
    </row>
    <row r="1513" spans="1:11" x14ac:dyDescent="0.35">
      <c r="A1513">
        <v>2023</v>
      </c>
      <c r="B1513">
        <v>3104502</v>
      </c>
      <c r="C1513" t="str">
        <f>VLOOKUP(B1513,SAEB!$A:$B,2,0)</f>
        <v>Arinos</v>
      </c>
      <c r="D1513">
        <v>370</v>
      </c>
      <c r="E1513">
        <v>93</v>
      </c>
      <c r="F1513">
        <v>269</v>
      </c>
      <c r="G1513">
        <v>170</v>
      </c>
      <c r="H1513" s="7">
        <f t="shared" si="93"/>
        <v>41.019955654101999</v>
      </c>
      <c r="I1513" s="7">
        <f t="shared" si="94"/>
        <v>10.310421286031042</v>
      </c>
      <c r="J1513" s="7">
        <f t="shared" si="95"/>
        <v>29.82261640798226</v>
      </c>
      <c r="K1513" s="7">
        <f t="shared" si="96"/>
        <v>18.847006651884701</v>
      </c>
    </row>
    <row r="1514" spans="1:11" x14ac:dyDescent="0.35">
      <c r="A1514">
        <v>2023</v>
      </c>
      <c r="B1514">
        <v>3104700</v>
      </c>
      <c r="C1514" t="str">
        <f>VLOOKUP(B1514,SAEB!$A:$B,2,0)</f>
        <v>Ataléia</v>
      </c>
      <c r="D1514">
        <v>173</v>
      </c>
      <c r="E1514">
        <v>50</v>
      </c>
      <c r="F1514">
        <v>327</v>
      </c>
      <c r="G1514">
        <v>0</v>
      </c>
      <c r="H1514" s="7">
        <f t="shared" si="93"/>
        <v>31.454545454545457</v>
      </c>
      <c r="I1514" s="7">
        <f t="shared" si="94"/>
        <v>9.0909090909090917</v>
      </c>
      <c r="J1514" s="7">
        <f t="shared" si="95"/>
        <v>59.45454545454546</v>
      </c>
      <c r="K1514" s="7">
        <f t="shared" si="96"/>
        <v>0</v>
      </c>
    </row>
    <row r="1515" spans="1:11" x14ac:dyDescent="0.35">
      <c r="A1515">
        <v>2023</v>
      </c>
      <c r="B1515">
        <v>3105202</v>
      </c>
      <c r="C1515" t="str">
        <f>VLOOKUP(B1515,SAEB!$A:$B,2,0)</f>
        <v>Bandeira</v>
      </c>
      <c r="D1515">
        <v>130</v>
      </c>
      <c r="E1515">
        <v>0</v>
      </c>
      <c r="F1515">
        <v>35</v>
      </c>
      <c r="G1515">
        <v>42</v>
      </c>
      <c r="H1515" s="7">
        <f t="shared" si="93"/>
        <v>62.80193236714976</v>
      </c>
      <c r="I1515" s="7">
        <f t="shared" si="94"/>
        <v>0</v>
      </c>
      <c r="J1515" s="7">
        <f t="shared" si="95"/>
        <v>16.908212560386474</v>
      </c>
      <c r="K1515" s="7">
        <f t="shared" si="96"/>
        <v>20.289855072463769</v>
      </c>
    </row>
    <row r="1516" spans="1:11" x14ac:dyDescent="0.35">
      <c r="A1516">
        <v>2023</v>
      </c>
      <c r="B1516">
        <v>3106655</v>
      </c>
      <c r="C1516" t="str">
        <f>VLOOKUP(B1516,SAEB!$A:$B,2,0)</f>
        <v>Berizal</v>
      </c>
      <c r="D1516">
        <v>193</v>
      </c>
      <c r="E1516">
        <v>0</v>
      </c>
      <c r="F1516">
        <v>68</v>
      </c>
      <c r="G1516">
        <v>0</v>
      </c>
      <c r="H1516" s="7">
        <f t="shared" si="93"/>
        <v>73.946360153256705</v>
      </c>
      <c r="I1516" s="7">
        <f t="shared" si="94"/>
        <v>0</v>
      </c>
      <c r="J1516" s="7">
        <f t="shared" si="95"/>
        <v>26.053639846743295</v>
      </c>
      <c r="K1516" s="7">
        <f t="shared" si="96"/>
        <v>0</v>
      </c>
    </row>
    <row r="1517" spans="1:11" x14ac:dyDescent="0.35">
      <c r="A1517">
        <v>2023</v>
      </c>
      <c r="B1517">
        <v>3107307</v>
      </c>
      <c r="C1517" t="str">
        <f>VLOOKUP(B1517,SAEB!$A:$B,2,0)</f>
        <v>Bocaiúva</v>
      </c>
      <c r="D1517">
        <v>399</v>
      </c>
      <c r="E1517">
        <v>273</v>
      </c>
      <c r="F1517">
        <v>256</v>
      </c>
      <c r="G1517">
        <v>169</v>
      </c>
      <c r="H1517" s="7">
        <f t="shared" si="93"/>
        <v>36.37192342752963</v>
      </c>
      <c r="I1517" s="7">
        <f t="shared" si="94"/>
        <v>24.886052871467641</v>
      </c>
      <c r="J1517" s="7">
        <f t="shared" si="95"/>
        <v>23.336371923427528</v>
      </c>
      <c r="K1517" s="7">
        <f t="shared" si="96"/>
        <v>15.405651777575205</v>
      </c>
    </row>
    <row r="1518" spans="1:11" x14ac:dyDescent="0.35">
      <c r="A1518">
        <v>2023</v>
      </c>
      <c r="B1518">
        <v>3108206</v>
      </c>
      <c r="C1518" t="str">
        <f>VLOOKUP(B1518,SAEB!$A:$B,2,0)</f>
        <v>Bonfinópolis de Minas</v>
      </c>
      <c r="D1518">
        <v>223</v>
      </c>
      <c r="E1518">
        <v>184</v>
      </c>
      <c r="F1518">
        <v>30</v>
      </c>
      <c r="G1518">
        <v>0</v>
      </c>
      <c r="H1518" s="7">
        <f t="shared" si="93"/>
        <v>51.029748283752866</v>
      </c>
      <c r="I1518" s="7">
        <f t="shared" si="94"/>
        <v>42.105263157894733</v>
      </c>
      <c r="J1518" s="7">
        <f t="shared" si="95"/>
        <v>6.8649885583524028</v>
      </c>
      <c r="K1518" s="7">
        <f t="shared" si="96"/>
        <v>0</v>
      </c>
    </row>
    <row r="1519" spans="1:11" x14ac:dyDescent="0.35">
      <c r="A1519">
        <v>2023</v>
      </c>
      <c r="B1519">
        <v>3108602</v>
      </c>
      <c r="C1519" t="str">
        <f>VLOOKUP(B1519,SAEB!$A:$B,2,0)</f>
        <v>Brasília de Minas</v>
      </c>
      <c r="D1519">
        <v>209</v>
      </c>
      <c r="E1519">
        <v>121</v>
      </c>
      <c r="F1519">
        <v>196</v>
      </c>
      <c r="G1519">
        <v>94</v>
      </c>
      <c r="H1519" s="7">
        <f t="shared" si="93"/>
        <v>33.70967741935484</v>
      </c>
      <c r="I1519" s="7">
        <f t="shared" si="94"/>
        <v>19.516129032258064</v>
      </c>
      <c r="J1519" s="7">
        <f t="shared" si="95"/>
        <v>31.612903225806448</v>
      </c>
      <c r="K1519" s="7">
        <f t="shared" si="96"/>
        <v>15.161290322580644</v>
      </c>
    </row>
    <row r="1520" spans="1:11" x14ac:dyDescent="0.35">
      <c r="A1520">
        <v>2023</v>
      </c>
      <c r="B1520">
        <v>3109204</v>
      </c>
      <c r="C1520" t="str">
        <f>VLOOKUP(B1520,SAEB!$A:$B,2,0)</f>
        <v>Buenópolis</v>
      </c>
      <c r="D1520">
        <v>539</v>
      </c>
      <c r="E1520">
        <v>0</v>
      </c>
      <c r="F1520">
        <v>27</v>
      </c>
      <c r="G1520">
        <v>0</v>
      </c>
      <c r="H1520" s="7">
        <f t="shared" si="93"/>
        <v>95.229681978798581</v>
      </c>
      <c r="I1520" s="7">
        <f t="shared" si="94"/>
        <v>0</v>
      </c>
      <c r="J1520" s="7">
        <f t="shared" si="95"/>
        <v>4.7703180212014136</v>
      </c>
      <c r="K1520" s="7">
        <f t="shared" si="96"/>
        <v>0</v>
      </c>
    </row>
    <row r="1521" spans="1:11" x14ac:dyDescent="0.35">
      <c r="A1521">
        <v>2023</v>
      </c>
      <c r="B1521">
        <v>3109402</v>
      </c>
      <c r="C1521" t="str">
        <f>VLOOKUP(B1521,SAEB!$A:$B,2,0)</f>
        <v>Buritizeiro</v>
      </c>
      <c r="D1521">
        <v>1466</v>
      </c>
      <c r="E1521">
        <v>0</v>
      </c>
      <c r="F1521">
        <v>154</v>
      </c>
      <c r="G1521">
        <v>0</v>
      </c>
      <c r="H1521" s="7">
        <f t="shared" si="93"/>
        <v>90.493827160493822</v>
      </c>
      <c r="I1521" s="7">
        <f t="shared" si="94"/>
        <v>0</v>
      </c>
      <c r="J1521" s="7">
        <f t="shared" si="95"/>
        <v>9.5061728395061724</v>
      </c>
      <c r="K1521" s="7">
        <f t="shared" si="96"/>
        <v>0</v>
      </c>
    </row>
    <row r="1522" spans="1:11" x14ac:dyDescent="0.35">
      <c r="A1522">
        <v>2023</v>
      </c>
      <c r="B1522">
        <v>3102704</v>
      </c>
      <c r="C1522" t="str">
        <f>VLOOKUP(B1522,SAEB!$A:$B,2,0)</f>
        <v>Cachoeira de Pajeú</v>
      </c>
      <c r="D1522">
        <v>187</v>
      </c>
      <c r="E1522">
        <v>0</v>
      </c>
      <c r="F1522">
        <v>250</v>
      </c>
      <c r="G1522">
        <v>69</v>
      </c>
      <c r="H1522" s="7">
        <f t="shared" si="93"/>
        <v>36.95652173913043</v>
      </c>
      <c r="I1522" s="7">
        <f t="shared" si="94"/>
        <v>0</v>
      </c>
      <c r="J1522" s="7">
        <f t="shared" si="95"/>
        <v>49.40711462450593</v>
      </c>
      <c r="K1522" s="7">
        <f t="shared" si="96"/>
        <v>13.636363636363635</v>
      </c>
    </row>
    <row r="1523" spans="1:11" x14ac:dyDescent="0.35">
      <c r="A1523">
        <v>2023</v>
      </c>
      <c r="B1523">
        <v>3110806</v>
      </c>
      <c r="C1523" t="str">
        <f>VLOOKUP(B1523,SAEB!$A:$B,2,0)</f>
        <v>Campanário</v>
      </c>
      <c r="D1523">
        <v>198</v>
      </c>
      <c r="E1523">
        <v>0</v>
      </c>
      <c r="F1523">
        <v>0</v>
      </c>
      <c r="G1523">
        <v>0</v>
      </c>
      <c r="H1523" s="7">
        <f t="shared" si="93"/>
        <v>100</v>
      </c>
      <c r="I1523" s="7">
        <f t="shared" si="94"/>
        <v>0</v>
      </c>
      <c r="J1523" s="7">
        <f t="shared" si="95"/>
        <v>0</v>
      </c>
      <c r="K1523" s="7">
        <f t="shared" si="96"/>
        <v>0</v>
      </c>
    </row>
    <row r="1524" spans="1:11" x14ac:dyDescent="0.35">
      <c r="A1524">
        <v>2023</v>
      </c>
      <c r="B1524">
        <v>3111150</v>
      </c>
      <c r="C1524" t="str">
        <f>VLOOKUP(B1524,SAEB!$A:$B,2,0)</f>
        <v>Campo Azul</v>
      </c>
      <c r="D1524">
        <v>116</v>
      </c>
      <c r="E1524">
        <v>0</v>
      </c>
      <c r="F1524">
        <v>104</v>
      </c>
      <c r="G1524">
        <v>42</v>
      </c>
      <c r="H1524" s="7">
        <f t="shared" si="93"/>
        <v>44.274809160305345</v>
      </c>
      <c r="I1524" s="7">
        <f t="shared" si="94"/>
        <v>0</v>
      </c>
      <c r="J1524" s="7">
        <f t="shared" si="95"/>
        <v>39.694656488549619</v>
      </c>
      <c r="K1524" s="7">
        <f t="shared" si="96"/>
        <v>16.030534351145036</v>
      </c>
    </row>
    <row r="1525" spans="1:11" x14ac:dyDescent="0.35">
      <c r="A1525">
        <v>2023</v>
      </c>
      <c r="B1525">
        <v>3112059</v>
      </c>
      <c r="C1525" t="str">
        <f>VLOOKUP(B1525,SAEB!$A:$B,2,0)</f>
        <v>Cantagalo</v>
      </c>
      <c r="D1525">
        <v>222</v>
      </c>
      <c r="E1525">
        <v>0</v>
      </c>
      <c r="F1525">
        <v>50</v>
      </c>
      <c r="G1525">
        <v>0</v>
      </c>
      <c r="H1525" s="7">
        <f t="shared" si="93"/>
        <v>81.617647058823522</v>
      </c>
      <c r="I1525" s="7">
        <f t="shared" si="94"/>
        <v>0</v>
      </c>
      <c r="J1525" s="7">
        <f t="shared" si="95"/>
        <v>18.382352941176471</v>
      </c>
      <c r="K1525" s="7">
        <f t="shared" si="96"/>
        <v>0</v>
      </c>
    </row>
    <row r="1526" spans="1:11" x14ac:dyDescent="0.35">
      <c r="A1526">
        <v>2023</v>
      </c>
      <c r="B1526">
        <v>3112307</v>
      </c>
      <c r="C1526" t="str">
        <f>VLOOKUP(B1526,SAEB!$A:$B,2,0)</f>
        <v>Capelinha</v>
      </c>
      <c r="D1526">
        <v>768</v>
      </c>
      <c r="E1526">
        <v>0</v>
      </c>
      <c r="F1526">
        <v>303</v>
      </c>
      <c r="G1526">
        <v>0</v>
      </c>
      <c r="H1526" s="7">
        <f t="shared" si="93"/>
        <v>71.708683473389357</v>
      </c>
      <c r="I1526" s="7">
        <f t="shared" si="94"/>
        <v>0</v>
      </c>
      <c r="J1526" s="7">
        <f t="shared" si="95"/>
        <v>28.291316526610643</v>
      </c>
      <c r="K1526" s="7">
        <f t="shared" si="96"/>
        <v>0</v>
      </c>
    </row>
    <row r="1527" spans="1:11" x14ac:dyDescent="0.35">
      <c r="A1527">
        <v>2023</v>
      </c>
      <c r="B1527">
        <v>3112703</v>
      </c>
      <c r="C1527" t="str">
        <f>VLOOKUP(B1527,SAEB!$A:$B,2,0)</f>
        <v>Capitão Enéas</v>
      </c>
      <c r="D1527">
        <v>691</v>
      </c>
      <c r="E1527">
        <v>201</v>
      </c>
      <c r="F1527">
        <v>200</v>
      </c>
      <c r="G1527">
        <v>30</v>
      </c>
      <c r="H1527" s="7">
        <f t="shared" si="93"/>
        <v>61.586452762923351</v>
      </c>
      <c r="I1527" s="7">
        <f t="shared" si="94"/>
        <v>17.914438502673796</v>
      </c>
      <c r="J1527" s="7">
        <f t="shared" si="95"/>
        <v>17.825311942959001</v>
      </c>
      <c r="K1527" s="7">
        <f t="shared" si="96"/>
        <v>2.6737967914438503</v>
      </c>
    </row>
    <row r="1528" spans="1:11" x14ac:dyDescent="0.35">
      <c r="A1528">
        <v>2023</v>
      </c>
      <c r="B1528">
        <v>3113008</v>
      </c>
      <c r="C1528" t="str">
        <f>VLOOKUP(B1528,SAEB!$A:$B,2,0)</f>
        <v>Caraí</v>
      </c>
      <c r="D1528">
        <v>52</v>
      </c>
      <c r="E1528">
        <v>140</v>
      </c>
      <c r="F1528">
        <v>477</v>
      </c>
      <c r="G1528">
        <v>289</v>
      </c>
      <c r="H1528" s="7">
        <f t="shared" si="93"/>
        <v>5.4279749478079333</v>
      </c>
      <c r="I1528" s="7">
        <f t="shared" si="94"/>
        <v>14.613778705636744</v>
      </c>
      <c r="J1528" s="7">
        <f t="shared" si="95"/>
        <v>49.791231732776623</v>
      </c>
      <c r="K1528" s="7">
        <f t="shared" si="96"/>
        <v>30.167014613778704</v>
      </c>
    </row>
    <row r="1529" spans="1:11" x14ac:dyDescent="0.35">
      <c r="A1529">
        <v>2023</v>
      </c>
      <c r="B1529">
        <v>3113503</v>
      </c>
      <c r="C1529" t="str">
        <f>VLOOKUP(B1529,SAEB!$A:$B,2,0)</f>
        <v>Carbonita</v>
      </c>
      <c r="D1529">
        <v>486</v>
      </c>
      <c r="E1529">
        <v>0</v>
      </c>
      <c r="F1529">
        <v>48</v>
      </c>
      <c r="G1529">
        <v>23</v>
      </c>
      <c r="H1529" s="7">
        <f t="shared" si="93"/>
        <v>87.253141831238779</v>
      </c>
      <c r="I1529" s="7">
        <f t="shared" si="94"/>
        <v>0</v>
      </c>
      <c r="J1529" s="7">
        <f t="shared" si="95"/>
        <v>8.6175942549371634</v>
      </c>
      <c r="K1529" s="7">
        <f t="shared" si="96"/>
        <v>4.1292639138240581</v>
      </c>
    </row>
    <row r="1530" spans="1:11" x14ac:dyDescent="0.35">
      <c r="A1530">
        <v>2023</v>
      </c>
      <c r="B1530">
        <v>3113701</v>
      </c>
      <c r="C1530" t="str">
        <f>VLOOKUP(B1530,SAEB!$A:$B,2,0)</f>
        <v>Carlos Chagas</v>
      </c>
      <c r="D1530">
        <v>786</v>
      </c>
      <c r="E1530">
        <v>202</v>
      </c>
      <c r="F1530">
        <v>222</v>
      </c>
      <c r="G1530">
        <v>145</v>
      </c>
      <c r="H1530" s="7">
        <f t="shared" si="93"/>
        <v>58.007380073800739</v>
      </c>
      <c r="I1530" s="7">
        <f t="shared" si="94"/>
        <v>14.907749077490775</v>
      </c>
      <c r="J1530" s="7">
        <f t="shared" si="95"/>
        <v>16.383763837638377</v>
      </c>
      <c r="K1530" s="7">
        <f t="shared" si="96"/>
        <v>10.701107011070111</v>
      </c>
    </row>
    <row r="1531" spans="1:11" x14ac:dyDescent="0.35">
      <c r="A1531">
        <v>2023</v>
      </c>
      <c r="B1531">
        <v>3113800</v>
      </c>
      <c r="C1531" t="str">
        <f>VLOOKUP(B1531,SAEB!$A:$B,2,0)</f>
        <v>Carmésia</v>
      </c>
      <c r="D1531">
        <v>135</v>
      </c>
      <c r="E1531">
        <v>137</v>
      </c>
      <c r="F1531">
        <v>0</v>
      </c>
      <c r="G1531">
        <v>0</v>
      </c>
      <c r="H1531" s="7">
        <f t="shared" si="93"/>
        <v>49.632352941176471</v>
      </c>
      <c r="I1531" s="7">
        <f t="shared" si="94"/>
        <v>50.367647058823529</v>
      </c>
      <c r="J1531" s="7">
        <f t="shared" si="95"/>
        <v>0</v>
      </c>
      <c r="K1531" s="7">
        <f t="shared" si="96"/>
        <v>0</v>
      </c>
    </row>
    <row r="1532" spans="1:11" x14ac:dyDescent="0.35">
      <c r="A1532">
        <v>2023</v>
      </c>
      <c r="B1532">
        <v>3115458</v>
      </c>
      <c r="C1532" t="str">
        <f>VLOOKUP(B1532,SAEB!$A:$B,2,0)</f>
        <v>Catuji</v>
      </c>
      <c r="D1532">
        <v>237</v>
      </c>
      <c r="E1532">
        <v>0</v>
      </c>
      <c r="F1532">
        <v>250</v>
      </c>
      <c r="G1532">
        <v>0</v>
      </c>
      <c r="H1532" s="7">
        <f t="shared" si="93"/>
        <v>48.6652977412731</v>
      </c>
      <c r="I1532" s="7">
        <f t="shared" si="94"/>
        <v>0</v>
      </c>
      <c r="J1532" s="7">
        <f t="shared" si="95"/>
        <v>51.334702258726892</v>
      </c>
      <c r="K1532" s="7">
        <f t="shared" si="96"/>
        <v>0</v>
      </c>
    </row>
    <row r="1533" spans="1:11" x14ac:dyDescent="0.35">
      <c r="A1533">
        <v>2023</v>
      </c>
      <c r="B1533">
        <v>3115474</v>
      </c>
      <c r="C1533" t="str">
        <f>VLOOKUP(B1533,SAEB!$A:$B,2,0)</f>
        <v>Catuti</v>
      </c>
      <c r="D1533">
        <v>211</v>
      </c>
      <c r="E1533">
        <v>0</v>
      </c>
      <c r="F1533">
        <v>67</v>
      </c>
      <c r="G1533">
        <v>64</v>
      </c>
      <c r="H1533" s="7">
        <f t="shared" si="93"/>
        <v>61.695906432748536</v>
      </c>
      <c r="I1533" s="7">
        <f t="shared" si="94"/>
        <v>0</v>
      </c>
      <c r="J1533" s="7">
        <f t="shared" si="95"/>
        <v>19.5906432748538</v>
      </c>
      <c r="K1533" s="7">
        <f t="shared" si="96"/>
        <v>18.71345029239766</v>
      </c>
    </row>
    <row r="1534" spans="1:11" x14ac:dyDescent="0.35">
      <c r="A1534">
        <v>2023</v>
      </c>
      <c r="B1534">
        <v>3116100</v>
      </c>
      <c r="C1534" t="str">
        <f>VLOOKUP(B1534,SAEB!$A:$B,2,0)</f>
        <v>Chapada do Norte</v>
      </c>
      <c r="D1534">
        <v>288</v>
      </c>
      <c r="E1534">
        <v>0</v>
      </c>
      <c r="F1534">
        <v>261</v>
      </c>
      <c r="G1534">
        <v>0</v>
      </c>
      <c r="H1534" s="7">
        <f t="shared" si="93"/>
        <v>52.459016393442624</v>
      </c>
      <c r="I1534" s="7">
        <f t="shared" si="94"/>
        <v>0</v>
      </c>
      <c r="J1534" s="7">
        <f t="shared" si="95"/>
        <v>47.540983606557376</v>
      </c>
      <c r="K1534" s="7">
        <f t="shared" si="96"/>
        <v>0</v>
      </c>
    </row>
    <row r="1535" spans="1:11" x14ac:dyDescent="0.35">
      <c r="A1535">
        <v>2023</v>
      </c>
      <c r="B1535">
        <v>3116159</v>
      </c>
      <c r="C1535" t="str">
        <f>VLOOKUP(B1535,SAEB!$A:$B,2,0)</f>
        <v>Chapada Gaúcha</v>
      </c>
      <c r="D1535">
        <v>621</v>
      </c>
      <c r="E1535">
        <v>116</v>
      </c>
      <c r="F1535">
        <v>265</v>
      </c>
      <c r="G1535">
        <v>214</v>
      </c>
      <c r="H1535" s="7">
        <f t="shared" si="93"/>
        <v>51.069078947368418</v>
      </c>
      <c r="I1535" s="7">
        <f t="shared" si="94"/>
        <v>9.5394736842105274</v>
      </c>
      <c r="J1535" s="7">
        <f t="shared" si="95"/>
        <v>21.792763157894736</v>
      </c>
      <c r="K1535" s="7">
        <f t="shared" si="96"/>
        <v>17.598684210526315</v>
      </c>
    </row>
    <row r="1536" spans="1:11" x14ac:dyDescent="0.35">
      <c r="A1536">
        <v>2023</v>
      </c>
      <c r="B1536">
        <v>3116506</v>
      </c>
      <c r="C1536" t="str">
        <f>VLOOKUP(B1536,SAEB!$A:$B,2,0)</f>
        <v>Claro dos Poções</v>
      </c>
      <c r="D1536">
        <v>396</v>
      </c>
      <c r="E1536">
        <v>0</v>
      </c>
      <c r="F1536">
        <v>12</v>
      </c>
      <c r="G1536">
        <v>0</v>
      </c>
      <c r="H1536" s="7">
        <f t="shared" si="93"/>
        <v>97.058823529411768</v>
      </c>
      <c r="I1536" s="7">
        <f t="shared" si="94"/>
        <v>0</v>
      </c>
      <c r="J1536" s="7">
        <f t="shared" si="95"/>
        <v>2.9411764705882351</v>
      </c>
      <c r="K1536" s="7">
        <f t="shared" si="96"/>
        <v>0</v>
      </c>
    </row>
    <row r="1537" spans="1:11" x14ac:dyDescent="0.35">
      <c r="A1537">
        <v>2023</v>
      </c>
      <c r="B1537">
        <v>3116803</v>
      </c>
      <c r="C1537" t="str">
        <f>VLOOKUP(B1537,SAEB!$A:$B,2,0)</f>
        <v>Coluna</v>
      </c>
      <c r="D1537">
        <v>210</v>
      </c>
      <c r="E1537">
        <v>0</v>
      </c>
      <c r="F1537">
        <v>133</v>
      </c>
      <c r="G1537">
        <v>0</v>
      </c>
      <c r="H1537" s="7">
        <f t="shared" si="93"/>
        <v>61.224489795918366</v>
      </c>
      <c r="I1537" s="7">
        <f t="shared" si="94"/>
        <v>0</v>
      </c>
      <c r="J1537" s="7">
        <f t="shared" si="95"/>
        <v>38.775510204081634</v>
      </c>
      <c r="K1537" s="7">
        <f t="shared" si="96"/>
        <v>0</v>
      </c>
    </row>
    <row r="1538" spans="1:11" x14ac:dyDescent="0.35">
      <c r="A1538">
        <v>2023</v>
      </c>
      <c r="B1538">
        <v>3117009</v>
      </c>
      <c r="C1538" t="str">
        <f>VLOOKUP(B1538,SAEB!$A:$B,2,0)</f>
        <v>Comercinho</v>
      </c>
      <c r="D1538">
        <v>190</v>
      </c>
      <c r="E1538">
        <v>0</v>
      </c>
      <c r="F1538">
        <v>165</v>
      </c>
      <c r="G1538">
        <v>73</v>
      </c>
      <c r="H1538" s="7">
        <f t="shared" si="93"/>
        <v>44.392523364485982</v>
      </c>
      <c r="I1538" s="7">
        <f t="shared" si="94"/>
        <v>0</v>
      </c>
      <c r="J1538" s="7">
        <f t="shared" si="95"/>
        <v>38.55140186915888</v>
      </c>
      <c r="K1538" s="7">
        <f t="shared" si="96"/>
        <v>17.056074766355138</v>
      </c>
    </row>
    <row r="1539" spans="1:11" x14ac:dyDescent="0.35">
      <c r="A1539">
        <v>2023</v>
      </c>
      <c r="B1539">
        <v>3118403</v>
      </c>
      <c r="C1539" t="str">
        <f>VLOOKUP(B1539,SAEB!$A:$B,2,0)</f>
        <v>Conselheiro Pena</v>
      </c>
      <c r="D1539">
        <v>849</v>
      </c>
      <c r="E1539">
        <v>87</v>
      </c>
      <c r="F1539">
        <v>93</v>
      </c>
      <c r="G1539">
        <v>49</v>
      </c>
      <c r="H1539" s="7">
        <f t="shared" ref="H1539:H1602" si="97">D1539/SUM($D1539:$G1539)*100</f>
        <v>78.756957328385909</v>
      </c>
      <c r="I1539" s="7">
        <f t="shared" ref="I1539:I1602" si="98">E1539/SUM($D1539:$G1539)*100</f>
        <v>8.0705009276437849</v>
      </c>
      <c r="J1539" s="7">
        <f t="shared" ref="J1539:J1602" si="99">F1539/SUM($D1539:$G1539)*100</f>
        <v>8.6270871985157704</v>
      </c>
      <c r="K1539" s="7">
        <f t="shared" ref="K1539:K1602" si="100">G1539/SUM($D1539:$G1539)*100</f>
        <v>4.5454545454545459</v>
      </c>
    </row>
    <row r="1540" spans="1:11" x14ac:dyDescent="0.35">
      <c r="A1540">
        <v>2023</v>
      </c>
      <c r="B1540">
        <v>3119104</v>
      </c>
      <c r="C1540" t="str">
        <f>VLOOKUP(B1540,SAEB!$A:$B,2,0)</f>
        <v>Corinto</v>
      </c>
      <c r="D1540">
        <v>1200</v>
      </c>
      <c r="E1540">
        <v>356</v>
      </c>
      <c r="F1540">
        <v>17</v>
      </c>
      <c r="G1540">
        <v>0</v>
      </c>
      <c r="H1540" s="7">
        <f t="shared" si="97"/>
        <v>76.287349014621739</v>
      </c>
      <c r="I1540" s="7">
        <f t="shared" si="98"/>
        <v>22.631913541004451</v>
      </c>
      <c r="J1540" s="7">
        <f t="shared" si="99"/>
        <v>1.080737444373808</v>
      </c>
      <c r="K1540" s="7">
        <f t="shared" si="100"/>
        <v>0</v>
      </c>
    </row>
    <row r="1541" spans="1:11" x14ac:dyDescent="0.35">
      <c r="A1541">
        <v>2023</v>
      </c>
      <c r="B1541">
        <v>3119203</v>
      </c>
      <c r="C1541" t="str">
        <f>VLOOKUP(B1541,SAEB!$A:$B,2,0)</f>
        <v>Coroaci</v>
      </c>
      <c r="D1541">
        <v>330</v>
      </c>
      <c r="E1541">
        <v>43</v>
      </c>
      <c r="F1541">
        <v>113</v>
      </c>
      <c r="G1541">
        <v>92</v>
      </c>
      <c r="H1541" s="7">
        <f t="shared" si="97"/>
        <v>57.093425605536332</v>
      </c>
      <c r="I1541" s="7">
        <f t="shared" si="98"/>
        <v>7.4394463667820068</v>
      </c>
      <c r="J1541" s="7">
        <f t="shared" si="99"/>
        <v>19.550173010380622</v>
      </c>
      <c r="K1541" s="7">
        <f t="shared" si="100"/>
        <v>15.916955017301039</v>
      </c>
    </row>
    <row r="1542" spans="1:11" x14ac:dyDescent="0.35">
      <c r="A1542">
        <v>2023</v>
      </c>
      <c r="B1542">
        <v>3119500</v>
      </c>
      <c r="C1542" t="str">
        <f>VLOOKUP(B1542,SAEB!$A:$B,2,0)</f>
        <v>Coronel Murta</v>
      </c>
      <c r="D1542">
        <v>441</v>
      </c>
      <c r="E1542">
        <v>300</v>
      </c>
      <c r="F1542">
        <v>32</v>
      </c>
      <c r="G1542">
        <v>0</v>
      </c>
      <c r="H1542" s="7">
        <f t="shared" si="97"/>
        <v>57.050452781371284</v>
      </c>
      <c r="I1542" s="7">
        <f t="shared" si="98"/>
        <v>38.809831824062094</v>
      </c>
      <c r="J1542" s="7">
        <f t="shared" si="99"/>
        <v>4.1397153945666236</v>
      </c>
      <c r="K1542" s="7">
        <f t="shared" si="100"/>
        <v>0</v>
      </c>
    </row>
    <row r="1543" spans="1:11" x14ac:dyDescent="0.35">
      <c r="A1543">
        <v>2023</v>
      </c>
      <c r="B1543">
        <v>3120151</v>
      </c>
      <c r="C1543" t="str">
        <f>VLOOKUP(B1543,SAEB!$A:$B,2,0)</f>
        <v>Crisólita</v>
      </c>
      <c r="D1543">
        <v>337</v>
      </c>
      <c r="E1543">
        <v>119</v>
      </c>
      <c r="F1543">
        <v>0</v>
      </c>
      <c r="G1543">
        <v>0</v>
      </c>
      <c r="H1543" s="7">
        <f t="shared" si="97"/>
        <v>73.903508771929822</v>
      </c>
      <c r="I1543" s="7">
        <f t="shared" si="98"/>
        <v>26.096491228070175</v>
      </c>
      <c r="J1543" s="7">
        <f t="shared" si="99"/>
        <v>0</v>
      </c>
      <c r="K1543" s="7">
        <f t="shared" si="100"/>
        <v>0</v>
      </c>
    </row>
    <row r="1544" spans="1:11" x14ac:dyDescent="0.35">
      <c r="A1544">
        <v>2023</v>
      </c>
      <c r="B1544">
        <v>3120870</v>
      </c>
      <c r="C1544" t="str">
        <f>VLOOKUP(B1544,SAEB!$A:$B,2,0)</f>
        <v>Curral de Dentro</v>
      </c>
      <c r="D1544">
        <v>405</v>
      </c>
      <c r="E1544">
        <v>0</v>
      </c>
      <c r="F1544">
        <v>148</v>
      </c>
      <c r="G1544">
        <v>0</v>
      </c>
      <c r="H1544" s="7">
        <f t="shared" si="97"/>
        <v>73.236889692585891</v>
      </c>
      <c r="I1544" s="7">
        <f t="shared" si="98"/>
        <v>0</v>
      </c>
      <c r="J1544" s="7">
        <f t="shared" si="99"/>
        <v>26.763110307414106</v>
      </c>
      <c r="K1544" s="7">
        <f t="shared" si="100"/>
        <v>0</v>
      </c>
    </row>
    <row r="1545" spans="1:11" x14ac:dyDescent="0.35">
      <c r="A1545">
        <v>2023</v>
      </c>
      <c r="B1545">
        <v>3120904</v>
      </c>
      <c r="C1545" t="str">
        <f>VLOOKUP(B1545,SAEB!$A:$B,2,0)</f>
        <v>Curvelo</v>
      </c>
      <c r="D1545">
        <v>3863</v>
      </c>
      <c r="E1545">
        <v>0</v>
      </c>
      <c r="F1545">
        <v>402</v>
      </c>
      <c r="G1545">
        <v>0</v>
      </c>
      <c r="H1545" s="7">
        <f t="shared" si="97"/>
        <v>90.574443141852285</v>
      </c>
      <c r="I1545" s="7">
        <f t="shared" si="98"/>
        <v>0</v>
      </c>
      <c r="J1545" s="7">
        <f t="shared" si="99"/>
        <v>9.4255568581477149</v>
      </c>
      <c r="K1545" s="7">
        <f t="shared" si="100"/>
        <v>0</v>
      </c>
    </row>
    <row r="1546" spans="1:11" x14ac:dyDescent="0.35">
      <c r="A1546">
        <v>2023</v>
      </c>
      <c r="B1546">
        <v>3121001</v>
      </c>
      <c r="C1546" t="str">
        <f>VLOOKUP(B1546,SAEB!$A:$B,2,0)</f>
        <v>Datas</v>
      </c>
      <c r="D1546">
        <v>279</v>
      </c>
      <c r="E1546">
        <v>0</v>
      </c>
      <c r="F1546">
        <v>137</v>
      </c>
      <c r="G1546">
        <v>0</v>
      </c>
      <c r="H1546" s="7">
        <f t="shared" si="97"/>
        <v>67.067307692307693</v>
      </c>
      <c r="I1546" s="7">
        <f t="shared" si="98"/>
        <v>0</v>
      </c>
      <c r="J1546" s="7">
        <f t="shared" si="99"/>
        <v>32.932692307692307</v>
      </c>
      <c r="K1546" s="7">
        <f t="shared" si="100"/>
        <v>0</v>
      </c>
    </row>
    <row r="1547" spans="1:11" x14ac:dyDescent="0.35">
      <c r="A1547">
        <v>2023</v>
      </c>
      <c r="B1547">
        <v>3121605</v>
      </c>
      <c r="C1547" t="str">
        <f>VLOOKUP(B1547,SAEB!$A:$B,2,0)</f>
        <v>Diamantina</v>
      </c>
      <c r="D1547">
        <v>809</v>
      </c>
      <c r="E1547">
        <v>56</v>
      </c>
      <c r="F1547">
        <v>270</v>
      </c>
      <c r="G1547">
        <v>57</v>
      </c>
      <c r="H1547" s="7">
        <f t="shared" si="97"/>
        <v>67.869127516778534</v>
      </c>
      <c r="I1547" s="7">
        <f t="shared" si="98"/>
        <v>4.6979865771812079</v>
      </c>
      <c r="J1547" s="7">
        <f t="shared" si="99"/>
        <v>22.651006711409398</v>
      </c>
      <c r="K1547" s="7">
        <f t="shared" si="100"/>
        <v>4.7818791946308723</v>
      </c>
    </row>
    <row r="1548" spans="1:11" x14ac:dyDescent="0.35">
      <c r="A1548">
        <v>2023</v>
      </c>
      <c r="B1548">
        <v>3122108</v>
      </c>
      <c r="C1548" t="str">
        <f>VLOOKUP(B1548,SAEB!$A:$B,2,0)</f>
        <v>Divino das Laranjeiras</v>
      </c>
      <c r="D1548">
        <v>144</v>
      </c>
      <c r="E1548">
        <v>0</v>
      </c>
      <c r="F1548">
        <v>0</v>
      </c>
      <c r="G1548">
        <v>0</v>
      </c>
      <c r="H1548" s="7">
        <f t="shared" si="97"/>
        <v>100</v>
      </c>
      <c r="I1548" s="7">
        <f t="shared" si="98"/>
        <v>0</v>
      </c>
      <c r="J1548" s="7">
        <f t="shared" si="99"/>
        <v>0</v>
      </c>
      <c r="K1548" s="7">
        <f t="shared" si="100"/>
        <v>0</v>
      </c>
    </row>
    <row r="1549" spans="1:11" x14ac:dyDescent="0.35">
      <c r="A1549">
        <v>2023</v>
      </c>
      <c r="B1549">
        <v>3122207</v>
      </c>
      <c r="C1549" t="str">
        <f>VLOOKUP(B1549,SAEB!$A:$B,2,0)</f>
        <v>Divinolândia de Minas</v>
      </c>
      <c r="D1549">
        <v>346</v>
      </c>
      <c r="E1549">
        <v>0</v>
      </c>
      <c r="F1549">
        <v>128</v>
      </c>
      <c r="G1549">
        <v>0</v>
      </c>
      <c r="H1549" s="7">
        <f t="shared" si="97"/>
        <v>72.995780590717303</v>
      </c>
      <c r="I1549" s="7">
        <f t="shared" si="98"/>
        <v>0</v>
      </c>
      <c r="J1549" s="7">
        <f t="shared" si="99"/>
        <v>27.004219409282697</v>
      </c>
      <c r="K1549" s="7">
        <f t="shared" si="100"/>
        <v>0</v>
      </c>
    </row>
    <row r="1550" spans="1:11" x14ac:dyDescent="0.35">
      <c r="A1550">
        <v>2023</v>
      </c>
      <c r="B1550">
        <v>3122454</v>
      </c>
      <c r="C1550" t="str">
        <f>VLOOKUP(B1550,SAEB!$A:$B,2,0)</f>
        <v>Divisópolis</v>
      </c>
      <c r="D1550">
        <v>434</v>
      </c>
      <c r="E1550">
        <v>0</v>
      </c>
      <c r="F1550">
        <v>62</v>
      </c>
      <c r="G1550">
        <v>0</v>
      </c>
      <c r="H1550" s="7">
        <f t="shared" si="97"/>
        <v>87.5</v>
      </c>
      <c r="I1550" s="7">
        <f t="shared" si="98"/>
        <v>0</v>
      </c>
      <c r="J1550" s="7">
        <f t="shared" si="99"/>
        <v>12.5</v>
      </c>
      <c r="K1550" s="7">
        <f t="shared" si="100"/>
        <v>0</v>
      </c>
    </row>
    <row r="1551" spans="1:11" x14ac:dyDescent="0.35">
      <c r="A1551">
        <v>2023</v>
      </c>
      <c r="B1551">
        <v>3122470</v>
      </c>
      <c r="C1551" t="str">
        <f>VLOOKUP(B1551,SAEB!$A:$B,2,0)</f>
        <v>Dom Bosco</v>
      </c>
      <c r="D1551">
        <v>48</v>
      </c>
      <c r="E1551">
        <v>38</v>
      </c>
      <c r="F1551">
        <v>97</v>
      </c>
      <c r="G1551">
        <v>0</v>
      </c>
      <c r="H1551" s="7">
        <f t="shared" si="97"/>
        <v>26.229508196721312</v>
      </c>
      <c r="I1551" s="7">
        <f t="shared" si="98"/>
        <v>20.765027322404372</v>
      </c>
      <c r="J1551" s="7">
        <f t="shared" si="99"/>
        <v>53.005464480874323</v>
      </c>
      <c r="K1551" s="7">
        <f t="shared" si="100"/>
        <v>0</v>
      </c>
    </row>
    <row r="1552" spans="1:11" x14ac:dyDescent="0.35">
      <c r="A1552">
        <v>2023</v>
      </c>
      <c r="B1552">
        <v>3123106</v>
      </c>
      <c r="C1552" t="str">
        <f>VLOOKUP(B1552,SAEB!$A:$B,2,0)</f>
        <v>Dores de Guanhães</v>
      </c>
      <c r="D1552">
        <v>251</v>
      </c>
      <c r="E1552">
        <v>0</v>
      </c>
      <c r="F1552">
        <v>84</v>
      </c>
      <c r="G1552">
        <v>0</v>
      </c>
      <c r="H1552" s="7">
        <f t="shared" si="97"/>
        <v>74.925373134328353</v>
      </c>
      <c r="I1552" s="7">
        <f t="shared" si="98"/>
        <v>0</v>
      </c>
      <c r="J1552" s="7">
        <f t="shared" si="99"/>
        <v>25.07462686567164</v>
      </c>
      <c r="K1552" s="7">
        <f t="shared" si="100"/>
        <v>0</v>
      </c>
    </row>
    <row r="1553" spans="1:11" x14ac:dyDescent="0.35">
      <c r="A1553">
        <v>2023</v>
      </c>
      <c r="B1553">
        <v>3123700</v>
      </c>
      <c r="C1553" t="str">
        <f>VLOOKUP(B1553,SAEB!$A:$B,2,0)</f>
        <v>Engenheiro Caldas</v>
      </c>
      <c r="D1553">
        <v>578</v>
      </c>
      <c r="E1553">
        <v>116</v>
      </c>
      <c r="F1553">
        <v>0</v>
      </c>
      <c r="G1553">
        <v>0</v>
      </c>
      <c r="H1553" s="7">
        <f t="shared" si="97"/>
        <v>83.285302593659935</v>
      </c>
      <c r="I1553" s="7">
        <f t="shared" si="98"/>
        <v>16.714697406340058</v>
      </c>
      <c r="J1553" s="7">
        <f t="shared" si="99"/>
        <v>0</v>
      </c>
      <c r="K1553" s="7">
        <f t="shared" si="100"/>
        <v>0</v>
      </c>
    </row>
    <row r="1554" spans="1:11" x14ac:dyDescent="0.35">
      <c r="A1554">
        <v>2023</v>
      </c>
      <c r="B1554">
        <v>3123809</v>
      </c>
      <c r="C1554" t="str">
        <f>VLOOKUP(B1554,SAEB!$A:$B,2,0)</f>
        <v>Engenheiro Navarro</v>
      </c>
      <c r="D1554">
        <v>341</v>
      </c>
      <c r="E1554">
        <v>0</v>
      </c>
      <c r="F1554">
        <v>41</v>
      </c>
      <c r="G1554">
        <v>0</v>
      </c>
      <c r="H1554" s="7">
        <f t="shared" si="97"/>
        <v>89.267015706806291</v>
      </c>
      <c r="I1554" s="7">
        <f t="shared" si="98"/>
        <v>0</v>
      </c>
      <c r="J1554" s="7">
        <f t="shared" si="99"/>
        <v>10.732984293193718</v>
      </c>
      <c r="K1554" s="7">
        <f t="shared" si="100"/>
        <v>0</v>
      </c>
    </row>
    <row r="1555" spans="1:11" x14ac:dyDescent="0.35">
      <c r="A1555">
        <v>2023</v>
      </c>
      <c r="B1555">
        <v>3124302</v>
      </c>
      <c r="C1555" t="str">
        <f>VLOOKUP(B1555,SAEB!$A:$B,2,0)</f>
        <v>Espinosa</v>
      </c>
      <c r="D1555">
        <v>405</v>
      </c>
      <c r="E1555">
        <v>0</v>
      </c>
      <c r="F1555">
        <v>434</v>
      </c>
      <c r="G1555">
        <v>0</v>
      </c>
      <c r="H1555" s="7">
        <f t="shared" si="97"/>
        <v>48.271752085816452</v>
      </c>
      <c r="I1555" s="7">
        <f t="shared" si="98"/>
        <v>0</v>
      </c>
      <c r="J1555" s="7">
        <f t="shared" si="99"/>
        <v>51.728247914183555</v>
      </c>
      <c r="K1555" s="7">
        <f t="shared" si="100"/>
        <v>0</v>
      </c>
    </row>
    <row r="1556" spans="1:11" x14ac:dyDescent="0.35">
      <c r="A1556">
        <v>2023</v>
      </c>
      <c r="B1556">
        <v>3125408</v>
      </c>
      <c r="C1556" t="str">
        <f>VLOOKUP(B1556,SAEB!$A:$B,2,0)</f>
        <v>Felício dos Santos</v>
      </c>
      <c r="D1556">
        <v>0</v>
      </c>
      <c r="E1556">
        <v>0</v>
      </c>
      <c r="F1556">
        <v>340</v>
      </c>
      <c r="G1556">
        <v>0</v>
      </c>
      <c r="H1556" s="7">
        <f t="shared" si="97"/>
        <v>0</v>
      </c>
      <c r="I1556" s="7">
        <f t="shared" si="98"/>
        <v>0</v>
      </c>
      <c r="J1556" s="7">
        <f t="shared" si="99"/>
        <v>100</v>
      </c>
      <c r="K1556" s="7">
        <f t="shared" si="100"/>
        <v>0</v>
      </c>
    </row>
    <row r="1557" spans="1:11" x14ac:dyDescent="0.35">
      <c r="A1557">
        <v>2023</v>
      </c>
      <c r="B1557">
        <v>3125705</v>
      </c>
      <c r="C1557" t="str">
        <f>VLOOKUP(B1557,SAEB!$A:$B,2,0)</f>
        <v>Felixlândia</v>
      </c>
      <c r="D1557">
        <v>565</v>
      </c>
      <c r="E1557">
        <v>427</v>
      </c>
      <c r="F1557">
        <v>57</v>
      </c>
      <c r="G1557">
        <v>0</v>
      </c>
      <c r="H1557" s="7">
        <f t="shared" si="97"/>
        <v>53.860819828408012</v>
      </c>
      <c r="I1557" s="7">
        <f t="shared" si="98"/>
        <v>40.705433746425172</v>
      </c>
      <c r="J1557" s="7">
        <f t="shared" si="99"/>
        <v>5.4337464251668255</v>
      </c>
      <c r="K1557" s="7">
        <f t="shared" si="100"/>
        <v>0</v>
      </c>
    </row>
    <row r="1558" spans="1:11" x14ac:dyDescent="0.35">
      <c r="A1558">
        <v>2023</v>
      </c>
      <c r="B1558">
        <v>3126604</v>
      </c>
      <c r="C1558" t="str">
        <f>VLOOKUP(B1558,SAEB!$A:$B,2,0)</f>
        <v>Francisco Dumont</v>
      </c>
      <c r="D1558">
        <v>242</v>
      </c>
      <c r="E1558">
        <v>0</v>
      </c>
      <c r="F1558">
        <v>37</v>
      </c>
      <c r="G1558">
        <v>50</v>
      </c>
      <c r="H1558" s="7">
        <f t="shared" si="97"/>
        <v>73.556231003039514</v>
      </c>
      <c r="I1558" s="7">
        <f t="shared" si="98"/>
        <v>0</v>
      </c>
      <c r="J1558" s="7">
        <f t="shared" si="99"/>
        <v>11.246200607902736</v>
      </c>
      <c r="K1558" s="7">
        <f t="shared" si="100"/>
        <v>15.19756838905775</v>
      </c>
    </row>
    <row r="1559" spans="1:11" x14ac:dyDescent="0.35">
      <c r="A1559">
        <v>2023</v>
      </c>
      <c r="B1559">
        <v>3126703</v>
      </c>
      <c r="C1559" t="str">
        <f>VLOOKUP(B1559,SAEB!$A:$B,2,0)</f>
        <v>Francisco Sá</v>
      </c>
      <c r="D1559">
        <v>596</v>
      </c>
      <c r="E1559">
        <v>116</v>
      </c>
      <c r="F1559">
        <v>232</v>
      </c>
      <c r="G1559">
        <v>69</v>
      </c>
      <c r="H1559" s="7">
        <f t="shared" si="97"/>
        <v>58.835143139190528</v>
      </c>
      <c r="I1559" s="7">
        <f t="shared" si="98"/>
        <v>11.451135241855875</v>
      </c>
      <c r="J1559" s="7">
        <f t="shared" si="99"/>
        <v>22.902270483711749</v>
      </c>
      <c r="K1559" s="7">
        <f t="shared" si="100"/>
        <v>6.8114511352418559</v>
      </c>
    </row>
    <row r="1560" spans="1:11" x14ac:dyDescent="0.35">
      <c r="A1560">
        <v>2023</v>
      </c>
      <c r="B1560">
        <v>3126901</v>
      </c>
      <c r="C1560" t="str">
        <f>VLOOKUP(B1560,SAEB!$A:$B,2,0)</f>
        <v>Frei Inocêncio</v>
      </c>
      <c r="D1560">
        <v>453</v>
      </c>
      <c r="E1560">
        <v>0</v>
      </c>
      <c r="F1560">
        <v>45</v>
      </c>
      <c r="G1560">
        <v>0</v>
      </c>
      <c r="H1560" s="7">
        <f t="shared" si="97"/>
        <v>90.963855421686745</v>
      </c>
      <c r="I1560" s="7">
        <f t="shared" si="98"/>
        <v>0</v>
      </c>
      <c r="J1560" s="7">
        <f t="shared" si="99"/>
        <v>9.0361445783132535</v>
      </c>
      <c r="K1560" s="7">
        <f t="shared" si="100"/>
        <v>0</v>
      </c>
    </row>
    <row r="1561" spans="1:11" x14ac:dyDescent="0.35">
      <c r="A1561">
        <v>2023</v>
      </c>
      <c r="B1561">
        <v>3127073</v>
      </c>
      <c r="C1561" t="str">
        <f>VLOOKUP(B1561,SAEB!$A:$B,2,0)</f>
        <v>Fruta de Leite</v>
      </c>
      <c r="D1561">
        <v>194</v>
      </c>
      <c r="E1561">
        <v>0</v>
      </c>
      <c r="F1561">
        <v>27</v>
      </c>
      <c r="G1561">
        <v>0</v>
      </c>
      <c r="H1561" s="7">
        <f t="shared" si="97"/>
        <v>87.782805429864254</v>
      </c>
      <c r="I1561" s="7">
        <f t="shared" si="98"/>
        <v>0</v>
      </c>
      <c r="J1561" s="7">
        <f t="shared" si="99"/>
        <v>12.217194570135746</v>
      </c>
      <c r="K1561" s="7">
        <f t="shared" si="100"/>
        <v>0</v>
      </c>
    </row>
    <row r="1562" spans="1:11" x14ac:dyDescent="0.35">
      <c r="A1562">
        <v>2023</v>
      </c>
      <c r="B1562">
        <v>3127354</v>
      </c>
      <c r="C1562" t="str">
        <f>VLOOKUP(B1562,SAEB!$A:$B,2,0)</f>
        <v>Glaucilândia</v>
      </c>
      <c r="D1562">
        <v>92</v>
      </c>
      <c r="E1562">
        <v>0</v>
      </c>
      <c r="F1562">
        <v>70</v>
      </c>
      <c r="G1562">
        <v>0</v>
      </c>
      <c r="H1562" s="7">
        <f t="shared" si="97"/>
        <v>56.79012345679012</v>
      </c>
      <c r="I1562" s="7">
        <f t="shared" si="98"/>
        <v>0</v>
      </c>
      <c r="J1562" s="7">
        <f t="shared" si="99"/>
        <v>43.209876543209873</v>
      </c>
      <c r="K1562" s="7">
        <f t="shared" si="100"/>
        <v>0</v>
      </c>
    </row>
    <row r="1563" spans="1:11" x14ac:dyDescent="0.35">
      <c r="A1563">
        <v>2023</v>
      </c>
      <c r="B1563">
        <v>3127503</v>
      </c>
      <c r="C1563" t="str">
        <f>VLOOKUP(B1563,SAEB!$A:$B,2,0)</f>
        <v>Gonzaga</v>
      </c>
      <c r="D1563">
        <v>251</v>
      </c>
      <c r="E1563">
        <v>0</v>
      </c>
      <c r="F1563">
        <v>93</v>
      </c>
      <c r="G1563">
        <v>0</v>
      </c>
      <c r="H1563" s="7">
        <f t="shared" si="97"/>
        <v>72.965116279069761</v>
      </c>
      <c r="I1563" s="7">
        <f t="shared" si="98"/>
        <v>0</v>
      </c>
      <c r="J1563" s="7">
        <f t="shared" si="99"/>
        <v>27.034883720930232</v>
      </c>
      <c r="K1563" s="7">
        <f t="shared" si="100"/>
        <v>0</v>
      </c>
    </row>
    <row r="1564" spans="1:11" x14ac:dyDescent="0.35">
      <c r="A1564">
        <v>2023</v>
      </c>
      <c r="B1564">
        <v>3127602</v>
      </c>
      <c r="C1564" t="str">
        <f>VLOOKUP(B1564,SAEB!$A:$B,2,0)</f>
        <v>Gouveia</v>
      </c>
      <c r="D1564">
        <v>635</v>
      </c>
      <c r="E1564">
        <v>0</v>
      </c>
      <c r="F1564">
        <v>65</v>
      </c>
      <c r="G1564">
        <v>42</v>
      </c>
      <c r="H1564" s="7">
        <f t="shared" si="97"/>
        <v>85.57951482479784</v>
      </c>
      <c r="I1564" s="7">
        <f t="shared" si="98"/>
        <v>0</v>
      </c>
      <c r="J1564" s="7">
        <f t="shared" si="99"/>
        <v>8.7601078167115904</v>
      </c>
      <c r="K1564" s="7">
        <f t="shared" si="100"/>
        <v>5.6603773584905666</v>
      </c>
    </row>
    <row r="1565" spans="1:11" x14ac:dyDescent="0.35">
      <c r="A1565">
        <v>2023</v>
      </c>
      <c r="B1565">
        <v>3127701</v>
      </c>
      <c r="C1565" t="str">
        <f>VLOOKUP(B1565,SAEB!$A:$B,2,0)</f>
        <v>Governador Valadares</v>
      </c>
      <c r="D1565">
        <v>6242</v>
      </c>
      <c r="E1565">
        <v>1923</v>
      </c>
      <c r="F1565">
        <v>347</v>
      </c>
      <c r="G1565">
        <v>274</v>
      </c>
      <c r="H1565" s="7">
        <f t="shared" si="97"/>
        <v>71.044844070111552</v>
      </c>
      <c r="I1565" s="7">
        <f t="shared" si="98"/>
        <v>21.887093102663329</v>
      </c>
      <c r="J1565" s="7">
        <f t="shared" si="99"/>
        <v>3.9494650580468931</v>
      </c>
      <c r="K1565" s="7">
        <f t="shared" si="100"/>
        <v>3.1185977691782383</v>
      </c>
    </row>
    <row r="1566" spans="1:11" x14ac:dyDescent="0.35">
      <c r="A1566">
        <v>2023</v>
      </c>
      <c r="B1566">
        <v>3128006</v>
      </c>
      <c r="C1566" t="str">
        <f>VLOOKUP(B1566,SAEB!$A:$B,2,0)</f>
        <v>Guanhães</v>
      </c>
      <c r="D1566">
        <v>1234</v>
      </c>
      <c r="E1566">
        <v>0</v>
      </c>
      <c r="F1566">
        <v>34</v>
      </c>
      <c r="G1566">
        <v>0</v>
      </c>
      <c r="H1566" s="7">
        <f t="shared" si="97"/>
        <v>97.318611987381701</v>
      </c>
      <c r="I1566" s="7">
        <f t="shared" si="98"/>
        <v>0</v>
      </c>
      <c r="J1566" s="7">
        <f t="shared" si="99"/>
        <v>2.6813880126182967</v>
      </c>
      <c r="K1566" s="7">
        <f t="shared" si="100"/>
        <v>0</v>
      </c>
    </row>
    <row r="1567" spans="1:11" x14ac:dyDescent="0.35">
      <c r="A1567">
        <v>2023</v>
      </c>
      <c r="B1567">
        <v>3128253</v>
      </c>
      <c r="C1567" t="str">
        <f>VLOOKUP(B1567,SAEB!$A:$B,2,0)</f>
        <v>Guaraciama</v>
      </c>
      <c r="D1567">
        <v>318</v>
      </c>
      <c r="E1567">
        <v>0</v>
      </c>
      <c r="F1567">
        <v>0</v>
      </c>
      <c r="G1567">
        <v>0</v>
      </c>
      <c r="H1567" s="7">
        <f t="shared" si="97"/>
        <v>100</v>
      </c>
      <c r="I1567" s="7">
        <f t="shared" si="98"/>
        <v>0</v>
      </c>
      <c r="J1567" s="7">
        <f t="shared" si="99"/>
        <v>0</v>
      </c>
      <c r="K1567" s="7">
        <f t="shared" si="100"/>
        <v>0</v>
      </c>
    </row>
    <row r="1568" spans="1:11" x14ac:dyDescent="0.35">
      <c r="A1568">
        <v>2023</v>
      </c>
      <c r="B1568">
        <v>3129657</v>
      </c>
      <c r="C1568" t="str">
        <f>VLOOKUP(B1568,SAEB!$A:$B,2,0)</f>
        <v>Ibiracatu</v>
      </c>
      <c r="D1568">
        <v>94</v>
      </c>
      <c r="E1568">
        <v>92</v>
      </c>
      <c r="F1568">
        <v>107</v>
      </c>
      <c r="G1568">
        <v>39</v>
      </c>
      <c r="H1568" s="7">
        <f t="shared" si="97"/>
        <v>28.313253012048197</v>
      </c>
      <c r="I1568" s="7">
        <f t="shared" si="98"/>
        <v>27.710843373493976</v>
      </c>
      <c r="J1568" s="7">
        <f t="shared" si="99"/>
        <v>32.228915662650607</v>
      </c>
      <c r="K1568" s="7">
        <f t="shared" si="100"/>
        <v>11.746987951807229</v>
      </c>
    </row>
    <row r="1569" spans="1:11" x14ac:dyDescent="0.35">
      <c r="A1569">
        <v>2023</v>
      </c>
      <c r="B1569">
        <v>3130051</v>
      </c>
      <c r="C1569" t="str">
        <f>VLOOKUP(B1569,SAEB!$A:$B,2,0)</f>
        <v>Icaraí de Minas</v>
      </c>
      <c r="D1569">
        <v>331</v>
      </c>
      <c r="E1569">
        <v>0</v>
      </c>
      <c r="F1569">
        <v>71</v>
      </c>
      <c r="G1569">
        <v>0</v>
      </c>
      <c r="H1569" s="7">
        <f t="shared" si="97"/>
        <v>82.338308457711435</v>
      </c>
      <c r="I1569" s="7">
        <f t="shared" si="98"/>
        <v>0</v>
      </c>
      <c r="J1569" s="7">
        <f t="shared" si="99"/>
        <v>17.661691542288558</v>
      </c>
      <c r="K1569" s="7">
        <f t="shared" si="100"/>
        <v>0</v>
      </c>
    </row>
    <row r="1570" spans="1:11" x14ac:dyDescent="0.35">
      <c r="A1570">
        <v>2023</v>
      </c>
      <c r="B1570">
        <v>3130556</v>
      </c>
      <c r="C1570" t="str">
        <f>VLOOKUP(B1570,SAEB!$A:$B,2,0)</f>
        <v>Imbé de Minas</v>
      </c>
      <c r="D1570">
        <v>235</v>
      </c>
      <c r="E1570">
        <v>0</v>
      </c>
      <c r="F1570">
        <v>148</v>
      </c>
      <c r="G1570">
        <v>0</v>
      </c>
      <c r="H1570" s="7">
        <f t="shared" si="97"/>
        <v>61.357702349869449</v>
      </c>
      <c r="I1570" s="7">
        <f t="shared" si="98"/>
        <v>0</v>
      </c>
      <c r="J1570" s="7">
        <f t="shared" si="99"/>
        <v>38.642297650130544</v>
      </c>
      <c r="K1570" s="7">
        <f t="shared" si="100"/>
        <v>0</v>
      </c>
    </row>
    <row r="1571" spans="1:11" x14ac:dyDescent="0.35">
      <c r="A1571">
        <v>2023</v>
      </c>
      <c r="B1571">
        <v>3130655</v>
      </c>
      <c r="C1571" t="str">
        <f>VLOOKUP(B1571,SAEB!$A:$B,2,0)</f>
        <v>Indaiabira</v>
      </c>
      <c r="D1571">
        <v>266</v>
      </c>
      <c r="E1571">
        <v>0</v>
      </c>
      <c r="F1571">
        <v>133</v>
      </c>
      <c r="G1571">
        <v>54</v>
      </c>
      <c r="H1571" s="7">
        <f t="shared" si="97"/>
        <v>58.719646799117001</v>
      </c>
      <c r="I1571" s="7">
        <f t="shared" si="98"/>
        <v>0</v>
      </c>
      <c r="J1571" s="7">
        <f t="shared" si="99"/>
        <v>29.359823399558501</v>
      </c>
      <c r="K1571" s="7">
        <f t="shared" si="100"/>
        <v>11.920529801324504</v>
      </c>
    </row>
    <row r="1572" spans="1:11" x14ac:dyDescent="0.35">
      <c r="A1572">
        <v>2023</v>
      </c>
      <c r="B1572">
        <v>3130903</v>
      </c>
      <c r="C1572" t="str">
        <f>VLOOKUP(B1572,SAEB!$A:$B,2,0)</f>
        <v>Inhapim</v>
      </c>
      <c r="D1572">
        <v>729</v>
      </c>
      <c r="E1572">
        <v>0</v>
      </c>
      <c r="F1572">
        <v>339</v>
      </c>
      <c r="G1572">
        <v>58</v>
      </c>
      <c r="H1572" s="7">
        <f t="shared" si="97"/>
        <v>64.742451154529306</v>
      </c>
      <c r="I1572" s="7">
        <f t="shared" si="98"/>
        <v>0</v>
      </c>
      <c r="J1572" s="7">
        <f t="shared" si="99"/>
        <v>30.106571936056838</v>
      </c>
      <c r="K1572" s="7">
        <f t="shared" si="100"/>
        <v>5.1509769094138544</v>
      </c>
    </row>
    <row r="1573" spans="1:11" x14ac:dyDescent="0.35">
      <c r="A1573">
        <v>2023</v>
      </c>
      <c r="B1573">
        <v>3131109</v>
      </c>
      <c r="C1573" t="str">
        <f>VLOOKUP(B1573,SAEB!$A:$B,2,0)</f>
        <v>Inimutaba</v>
      </c>
      <c r="D1573">
        <v>315</v>
      </c>
      <c r="E1573">
        <v>0</v>
      </c>
      <c r="F1573">
        <v>84</v>
      </c>
      <c r="G1573">
        <v>0</v>
      </c>
      <c r="H1573" s="7">
        <f t="shared" si="97"/>
        <v>78.94736842105263</v>
      </c>
      <c r="I1573" s="7">
        <f t="shared" si="98"/>
        <v>0</v>
      </c>
      <c r="J1573" s="7">
        <f t="shared" si="99"/>
        <v>21.052631578947366</v>
      </c>
      <c r="K1573" s="7">
        <f t="shared" si="100"/>
        <v>0</v>
      </c>
    </row>
    <row r="1574" spans="1:11" x14ac:dyDescent="0.35">
      <c r="A1574">
        <v>2023</v>
      </c>
      <c r="B1574">
        <v>3131208</v>
      </c>
      <c r="C1574" t="str">
        <f>VLOOKUP(B1574,SAEB!$A:$B,2,0)</f>
        <v>Ipanema</v>
      </c>
      <c r="D1574">
        <v>1017</v>
      </c>
      <c r="E1574">
        <v>493</v>
      </c>
      <c r="F1574">
        <v>45</v>
      </c>
      <c r="G1574">
        <v>14</v>
      </c>
      <c r="H1574" s="7">
        <f t="shared" si="97"/>
        <v>64.818355640535373</v>
      </c>
      <c r="I1574" s="7">
        <f t="shared" si="98"/>
        <v>31.421287444231993</v>
      </c>
      <c r="J1574" s="7">
        <f t="shared" si="99"/>
        <v>2.8680688336520075</v>
      </c>
      <c r="K1574" s="7">
        <f t="shared" si="100"/>
        <v>0.89228808158062467</v>
      </c>
    </row>
    <row r="1575" spans="1:11" x14ac:dyDescent="0.35">
      <c r="A1575">
        <v>2023</v>
      </c>
      <c r="B1575">
        <v>3131802</v>
      </c>
      <c r="C1575" t="str">
        <f>VLOOKUP(B1575,SAEB!$A:$B,2,0)</f>
        <v>Itabirinha</v>
      </c>
      <c r="D1575">
        <v>478</v>
      </c>
      <c r="E1575">
        <v>0</v>
      </c>
      <c r="F1575">
        <v>85</v>
      </c>
      <c r="G1575">
        <v>0</v>
      </c>
      <c r="H1575" s="7">
        <f t="shared" si="97"/>
        <v>84.902309058614563</v>
      </c>
      <c r="I1575" s="7">
        <f t="shared" si="98"/>
        <v>0</v>
      </c>
      <c r="J1575" s="7">
        <f t="shared" si="99"/>
        <v>15.097690941385435</v>
      </c>
      <c r="K1575" s="7">
        <f t="shared" si="100"/>
        <v>0</v>
      </c>
    </row>
    <row r="1576" spans="1:11" x14ac:dyDescent="0.35">
      <c r="A1576">
        <v>2023</v>
      </c>
      <c r="B1576">
        <v>3132107</v>
      </c>
      <c r="C1576" t="str">
        <f>VLOOKUP(B1576,SAEB!$A:$B,2,0)</f>
        <v>Itacarambi</v>
      </c>
      <c r="D1576">
        <v>802</v>
      </c>
      <c r="E1576">
        <v>724</v>
      </c>
      <c r="F1576">
        <v>80</v>
      </c>
      <c r="G1576">
        <v>91</v>
      </c>
      <c r="H1576" s="7">
        <f t="shared" si="97"/>
        <v>47.259870359457864</v>
      </c>
      <c r="I1576" s="7">
        <f t="shared" si="98"/>
        <v>42.66352386564526</v>
      </c>
      <c r="J1576" s="7">
        <f t="shared" si="99"/>
        <v>4.7142015321154984</v>
      </c>
      <c r="K1576" s="7">
        <f t="shared" si="100"/>
        <v>5.3624042427813787</v>
      </c>
    </row>
    <row r="1577" spans="1:11" x14ac:dyDescent="0.35">
      <c r="A1577">
        <v>2023</v>
      </c>
      <c r="B1577">
        <v>3132305</v>
      </c>
      <c r="C1577" t="str">
        <f>VLOOKUP(B1577,SAEB!$A:$B,2,0)</f>
        <v>Itaipé</v>
      </c>
      <c r="D1577">
        <v>184</v>
      </c>
      <c r="E1577">
        <v>379</v>
      </c>
      <c r="F1577">
        <v>314</v>
      </c>
      <c r="G1577">
        <v>0</v>
      </c>
      <c r="H1577" s="7">
        <f t="shared" si="97"/>
        <v>20.980615735461804</v>
      </c>
      <c r="I1577" s="7">
        <f t="shared" si="98"/>
        <v>43.215507411630561</v>
      </c>
      <c r="J1577" s="7">
        <f t="shared" si="99"/>
        <v>35.803876852907642</v>
      </c>
      <c r="K1577" s="7">
        <f t="shared" si="100"/>
        <v>0</v>
      </c>
    </row>
    <row r="1578" spans="1:11" x14ac:dyDescent="0.35">
      <c r="A1578">
        <v>2023</v>
      </c>
      <c r="B1578">
        <v>3132503</v>
      </c>
      <c r="C1578" t="str">
        <f>VLOOKUP(B1578,SAEB!$A:$B,2,0)</f>
        <v>Itamarandiba</v>
      </c>
      <c r="D1578">
        <v>1304</v>
      </c>
      <c r="E1578">
        <v>230</v>
      </c>
      <c r="F1578">
        <v>236</v>
      </c>
      <c r="G1578">
        <v>40</v>
      </c>
      <c r="H1578" s="7">
        <f t="shared" si="97"/>
        <v>72.04419889502762</v>
      </c>
      <c r="I1578" s="7">
        <f t="shared" si="98"/>
        <v>12.707182320441991</v>
      </c>
      <c r="J1578" s="7">
        <f t="shared" si="99"/>
        <v>13.038674033149173</v>
      </c>
      <c r="K1578" s="7">
        <f t="shared" si="100"/>
        <v>2.2099447513812152</v>
      </c>
    </row>
    <row r="1579" spans="1:11" x14ac:dyDescent="0.35">
      <c r="A1579">
        <v>2023</v>
      </c>
      <c r="B1579">
        <v>3132701</v>
      </c>
      <c r="C1579" t="str">
        <f>VLOOKUP(B1579,SAEB!$A:$B,2,0)</f>
        <v>Itambacuri</v>
      </c>
      <c r="D1579">
        <v>280</v>
      </c>
      <c r="E1579">
        <v>91</v>
      </c>
      <c r="F1579">
        <v>279</v>
      </c>
      <c r="G1579">
        <v>283</v>
      </c>
      <c r="H1579" s="7">
        <f t="shared" si="97"/>
        <v>30.010718113612008</v>
      </c>
      <c r="I1579" s="7">
        <f t="shared" si="98"/>
        <v>9.7534833869239019</v>
      </c>
      <c r="J1579" s="7">
        <f t="shared" si="99"/>
        <v>29.903536977491964</v>
      </c>
      <c r="K1579" s="7">
        <f t="shared" si="100"/>
        <v>30.332261521972132</v>
      </c>
    </row>
    <row r="1580" spans="1:11" x14ac:dyDescent="0.35">
      <c r="A1580">
        <v>2023</v>
      </c>
      <c r="B1580">
        <v>3133204</v>
      </c>
      <c r="C1580" t="str">
        <f>VLOOKUP(B1580,SAEB!$A:$B,2,0)</f>
        <v>Itanhomi</v>
      </c>
      <c r="D1580">
        <v>563</v>
      </c>
      <c r="E1580">
        <v>0</v>
      </c>
      <c r="F1580">
        <v>11</v>
      </c>
      <c r="G1580">
        <v>0</v>
      </c>
      <c r="H1580" s="7">
        <f t="shared" si="97"/>
        <v>98.083623693379792</v>
      </c>
      <c r="I1580" s="7">
        <f t="shared" si="98"/>
        <v>0</v>
      </c>
      <c r="J1580" s="7">
        <f t="shared" si="99"/>
        <v>1.9163763066202089</v>
      </c>
      <c r="K1580" s="7">
        <f t="shared" si="100"/>
        <v>0</v>
      </c>
    </row>
    <row r="1581" spans="1:11" x14ac:dyDescent="0.35">
      <c r="A1581">
        <v>2023</v>
      </c>
      <c r="B1581">
        <v>3133303</v>
      </c>
      <c r="C1581" t="str">
        <f>VLOOKUP(B1581,SAEB!$A:$B,2,0)</f>
        <v>Itaobim</v>
      </c>
      <c r="D1581">
        <v>780</v>
      </c>
      <c r="E1581">
        <v>97</v>
      </c>
      <c r="F1581">
        <v>105</v>
      </c>
      <c r="G1581">
        <v>80</v>
      </c>
      <c r="H1581" s="7">
        <f t="shared" si="97"/>
        <v>73.44632768361582</v>
      </c>
      <c r="I1581" s="7">
        <f t="shared" si="98"/>
        <v>9.1337099811676072</v>
      </c>
      <c r="J1581" s="7">
        <f t="shared" si="99"/>
        <v>9.8870056497175138</v>
      </c>
      <c r="K1581" s="7">
        <f t="shared" si="100"/>
        <v>7.5329566854990579</v>
      </c>
    </row>
    <row r="1582" spans="1:11" x14ac:dyDescent="0.35">
      <c r="A1582">
        <v>2023</v>
      </c>
      <c r="B1582">
        <v>3134004</v>
      </c>
      <c r="C1582" t="str">
        <f>VLOOKUP(B1582,SAEB!$A:$B,2,0)</f>
        <v>Itinga</v>
      </c>
      <c r="D1582">
        <v>272</v>
      </c>
      <c r="E1582">
        <v>0</v>
      </c>
      <c r="F1582">
        <v>252</v>
      </c>
      <c r="G1582">
        <v>248</v>
      </c>
      <c r="H1582" s="7">
        <f t="shared" si="97"/>
        <v>35.233160621761655</v>
      </c>
      <c r="I1582" s="7">
        <f t="shared" si="98"/>
        <v>0</v>
      </c>
      <c r="J1582" s="7">
        <f t="shared" si="99"/>
        <v>32.642487046632127</v>
      </c>
      <c r="K1582" s="7">
        <f t="shared" si="100"/>
        <v>32.124352331606218</v>
      </c>
    </row>
    <row r="1583" spans="1:11" x14ac:dyDescent="0.35">
      <c r="A1583">
        <v>2023</v>
      </c>
      <c r="B1583">
        <v>3134103</v>
      </c>
      <c r="C1583" t="str">
        <f>VLOOKUP(B1583,SAEB!$A:$B,2,0)</f>
        <v>Itueta</v>
      </c>
      <c r="D1583">
        <v>143</v>
      </c>
      <c r="E1583">
        <v>90</v>
      </c>
      <c r="F1583">
        <v>94</v>
      </c>
      <c r="G1583">
        <v>68</v>
      </c>
      <c r="H1583" s="7">
        <f t="shared" si="97"/>
        <v>36.202531645569621</v>
      </c>
      <c r="I1583" s="7">
        <f t="shared" si="98"/>
        <v>22.784810126582279</v>
      </c>
      <c r="J1583" s="7">
        <f t="shared" si="99"/>
        <v>23.797468354430379</v>
      </c>
      <c r="K1583" s="7">
        <f t="shared" si="100"/>
        <v>17.215189873417721</v>
      </c>
    </row>
    <row r="1584" spans="1:11" x14ac:dyDescent="0.35">
      <c r="A1584">
        <v>2023</v>
      </c>
      <c r="B1584">
        <v>3134707</v>
      </c>
      <c r="C1584" t="str">
        <f>VLOOKUP(B1584,SAEB!$A:$B,2,0)</f>
        <v>Jacinto</v>
      </c>
      <c r="D1584">
        <v>606</v>
      </c>
      <c r="E1584">
        <v>0</v>
      </c>
      <c r="F1584">
        <v>49</v>
      </c>
      <c r="G1584">
        <v>28</v>
      </c>
      <c r="H1584" s="7">
        <f t="shared" si="97"/>
        <v>88.726207906295755</v>
      </c>
      <c r="I1584" s="7">
        <f t="shared" si="98"/>
        <v>0</v>
      </c>
      <c r="J1584" s="7">
        <f t="shared" si="99"/>
        <v>7.1742313323572473</v>
      </c>
      <c r="K1584" s="7">
        <f t="shared" si="100"/>
        <v>4.0995607613469982</v>
      </c>
    </row>
    <row r="1585" spans="1:11" x14ac:dyDescent="0.35">
      <c r="A1585">
        <v>2023</v>
      </c>
      <c r="B1585">
        <v>3135050</v>
      </c>
      <c r="C1585" t="str">
        <f>VLOOKUP(B1585,SAEB!$A:$B,2,0)</f>
        <v>Jaíba</v>
      </c>
      <c r="D1585">
        <v>638</v>
      </c>
      <c r="E1585">
        <v>0</v>
      </c>
      <c r="F1585">
        <v>331</v>
      </c>
      <c r="G1585">
        <v>190</v>
      </c>
      <c r="H1585" s="7">
        <f t="shared" si="97"/>
        <v>55.047454702329588</v>
      </c>
      <c r="I1585" s="7">
        <f t="shared" si="98"/>
        <v>0</v>
      </c>
      <c r="J1585" s="7">
        <f t="shared" si="99"/>
        <v>28.559102674719583</v>
      </c>
      <c r="K1585" s="7">
        <f t="shared" si="100"/>
        <v>16.393442622950818</v>
      </c>
    </row>
    <row r="1586" spans="1:11" x14ac:dyDescent="0.35">
      <c r="A1586">
        <v>2023</v>
      </c>
      <c r="B1586">
        <v>3135100</v>
      </c>
      <c r="C1586" t="str">
        <f>VLOOKUP(B1586,SAEB!$A:$B,2,0)</f>
        <v>Janaúba</v>
      </c>
      <c r="D1586">
        <v>1514</v>
      </c>
      <c r="E1586">
        <v>466</v>
      </c>
      <c r="F1586">
        <v>137</v>
      </c>
      <c r="G1586">
        <v>0</v>
      </c>
      <c r="H1586" s="7">
        <f t="shared" si="97"/>
        <v>71.516296646197446</v>
      </c>
      <c r="I1586" s="7">
        <f t="shared" si="98"/>
        <v>22.012281530467643</v>
      </c>
      <c r="J1586" s="7">
        <f t="shared" si="99"/>
        <v>6.4714218233349081</v>
      </c>
      <c r="K1586" s="7">
        <f t="shared" si="100"/>
        <v>0</v>
      </c>
    </row>
    <row r="1587" spans="1:11" x14ac:dyDescent="0.35">
      <c r="A1587">
        <v>2023</v>
      </c>
      <c r="B1587">
        <v>3135209</v>
      </c>
      <c r="C1587" t="str">
        <f>VLOOKUP(B1587,SAEB!$A:$B,2,0)</f>
        <v>Januária</v>
      </c>
      <c r="D1587">
        <v>552</v>
      </c>
      <c r="E1587">
        <v>323</v>
      </c>
      <c r="F1587">
        <v>653</v>
      </c>
      <c r="G1587">
        <v>394</v>
      </c>
      <c r="H1587" s="7">
        <f t="shared" si="97"/>
        <v>28.720083246618106</v>
      </c>
      <c r="I1587" s="7">
        <f t="shared" si="98"/>
        <v>16.805411030176899</v>
      </c>
      <c r="J1587" s="7">
        <f t="shared" si="99"/>
        <v>33.975026014568158</v>
      </c>
      <c r="K1587" s="7">
        <f t="shared" si="100"/>
        <v>20.499479708636837</v>
      </c>
    </row>
    <row r="1588" spans="1:11" x14ac:dyDescent="0.35">
      <c r="A1588">
        <v>2023</v>
      </c>
      <c r="B1588">
        <v>3135357</v>
      </c>
      <c r="C1588" t="str">
        <f>VLOOKUP(B1588,SAEB!$A:$B,2,0)</f>
        <v>Japonvar</v>
      </c>
      <c r="D1588">
        <v>121</v>
      </c>
      <c r="E1588">
        <v>146</v>
      </c>
      <c r="F1588">
        <v>153</v>
      </c>
      <c r="G1588">
        <v>135</v>
      </c>
      <c r="H1588" s="7">
        <f t="shared" si="97"/>
        <v>21.801801801801801</v>
      </c>
      <c r="I1588" s="7">
        <f t="shared" si="98"/>
        <v>26.306306306306304</v>
      </c>
      <c r="J1588" s="7">
        <f t="shared" si="99"/>
        <v>27.567567567567568</v>
      </c>
      <c r="K1588" s="7">
        <f t="shared" si="100"/>
        <v>24.324324324324326</v>
      </c>
    </row>
    <row r="1589" spans="1:11" x14ac:dyDescent="0.35">
      <c r="A1589">
        <v>2023</v>
      </c>
      <c r="B1589">
        <v>3135605</v>
      </c>
      <c r="C1589" t="str">
        <f>VLOOKUP(B1589,SAEB!$A:$B,2,0)</f>
        <v>Jequitaí</v>
      </c>
      <c r="D1589">
        <v>407</v>
      </c>
      <c r="E1589">
        <v>0</v>
      </c>
      <c r="F1589">
        <v>8</v>
      </c>
      <c r="G1589">
        <v>0</v>
      </c>
      <c r="H1589" s="7">
        <f t="shared" si="97"/>
        <v>98.072289156626496</v>
      </c>
      <c r="I1589" s="7">
        <f t="shared" si="98"/>
        <v>0</v>
      </c>
      <c r="J1589" s="7">
        <f t="shared" si="99"/>
        <v>1.9277108433734942</v>
      </c>
      <c r="K1589" s="7">
        <f t="shared" si="100"/>
        <v>0</v>
      </c>
    </row>
    <row r="1590" spans="1:11" x14ac:dyDescent="0.35">
      <c r="A1590">
        <v>2023</v>
      </c>
      <c r="B1590">
        <v>3135803</v>
      </c>
      <c r="C1590" t="str">
        <f>VLOOKUP(B1590,SAEB!$A:$B,2,0)</f>
        <v>Jequitinhonha</v>
      </c>
      <c r="D1590">
        <v>676</v>
      </c>
      <c r="E1590">
        <v>0</v>
      </c>
      <c r="F1590">
        <v>155</v>
      </c>
      <c r="G1590">
        <v>100</v>
      </c>
      <c r="H1590" s="7">
        <f t="shared" si="97"/>
        <v>72.610096670247046</v>
      </c>
      <c r="I1590" s="7">
        <f t="shared" si="98"/>
        <v>0</v>
      </c>
      <c r="J1590" s="7">
        <f t="shared" si="99"/>
        <v>16.648764769065522</v>
      </c>
      <c r="K1590" s="7">
        <f t="shared" si="100"/>
        <v>10.741138560687432</v>
      </c>
    </row>
    <row r="1591" spans="1:11" x14ac:dyDescent="0.35">
      <c r="A1591">
        <v>2023</v>
      </c>
      <c r="B1591">
        <v>3136009</v>
      </c>
      <c r="C1591" t="str">
        <f>VLOOKUP(B1591,SAEB!$A:$B,2,0)</f>
        <v>Joaíma</v>
      </c>
      <c r="D1591">
        <v>614</v>
      </c>
      <c r="E1591">
        <v>309</v>
      </c>
      <c r="F1591">
        <v>175</v>
      </c>
      <c r="G1591">
        <v>109</v>
      </c>
      <c r="H1591" s="7">
        <f t="shared" si="97"/>
        <v>50.869925434962717</v>
      </c>
      <c r="I1591" s="7">
        <f t="shared" si="98"/>
        <v>25.600662800331399</v>
      </c>
      <c r="J1591" s="7">
        <f t="shared" si="99"/>
        <v>14.498757249378624</v>
      </c>
      <c r="K1591" s="7">
        <f t="shared" si="100"/>
        <v>9.0306545153272584</v>
      </c>
    </row>
    <row r="1592" spans="1:11" x14ac:dyDescent="0.35">
      <c r="A1592">
        <v>2023</v>
      </c>
      <c r="B1592">
        <v>3136405</v>
      </c>
      <c r="C1592" t="str">
        <f>VLOOKUP(B1592,SAEB!$A:$B,2,0)</f>
        <v>Joaquim Felício</v>
      </c>
      <c r="D1592">
        <v>243</v>
      </c>
      <c r="E1592">
        <v>227</v>
      </c>
      <c r="F1592">
        <v>0</v>
      </c>
      <c r="G1592">
        <v>0</v>
      </c>
      <c r="H1592" s="7">
        <f t="shared" si="97"/>
        <v>51.702127659574472</v>
      </c>
      <c r="I1592" s="7">
        <f t="shared" si="98"/>
        <v>48.297872340425528</v>
      </c>
      <c r="J1592" s="7">
        <f t="shared" si="99"/>
        <v>0</v>
      </c>
      <c r="K1592" s="7">
        <f t="shared" si="100"/>
        <v>0</v>
      </c>
    </row>
    <row r="1593" spans="1:11" x14ac:dyDescent="0.35">
      <c r="A1593">
        <v>2023</v>
      </c>
      <c r="B1593">
        <v>3136553</v>
      </c>
      <c r="C1593" t="str">
        <f>VLOOKUP(B1593,SAEB!$A:$B,2,0)</f>
        <v>José Raydan</v>
      </c>
      <c r="D1593">
        <v>199</v>
      </c>
      <c r="E1593">
        <v>0</v>
      </c>
      <c r="F1593">
        <v>91</v>
      </c>
      <c r="G1593">
        <v>0</v>
      </c>
      <c r="H1593" s="7">
        <f t="shared" si="97"/>
        <v>68.620689655172413</v>
      </c>
      <c r="I1593" s="7">
        <f t="shared" si="98"/>
        <v>0</v>
      </c>
      <c r="J1593" s="7">
        <f t="shared" si="99"/>
        <v>31.379310344827587</v>
      </c>
      <c r="K1593" s="7">
        <f t="shared" si="100"/>
        <v>0</v>
      </c>
    </row>
    <row r="1594" spans="1:11" x14ac:dyDescent="0.35">
      <c r="A1594">
        <v>2023</v>
      </c>
      <c r="B1594">
        <v>3136801</v>
      </c>
      <c r="C1594" t="str">
        <f>VLOOKUP(B1594,SAEB!$A:$B,2,0)</f>
        <v>Juramento</v>
      </c>
      <c r="D1594">
        <v>150</v>
      </c>
      <c r="E1594">
        <v>0</v>
      </c>
      <c r="F1594">
        <v>63</v>
      </c>
      <c r="G1594">
        <v>0</v>
      </c>
      <c r="H1594" s="7">
        <f t="shared" si="97"/>
        <v>70.422535211267601</v>
      </c>
      <c r="I1594" s="7">
        <f t="shared" si="98"/>
        <v>0</v>
      </c>
      <c r="J1594" s="7">
        <f t="shared" si="99"/>
        <v>29.577464788732392</v>
      </c>
      <c r="K1594" s="7">
        <f t="shared" si="100"/>
        <v>0</v>
      </c>
    </row>
    <row r="1595" spans="1:11" x14ac:dyDescent="0.35">
      <c r="A1595">
        <v>2023</v>
      </c>
      <c r="B1595">
        <v>3136959</v>
      </c>
      <c r="C1595" t="str">
        <f>VLOOKUP(B1595,SAEB!$A:$B,2,0)</f>
        <v>Juvenília</v>
      </c>
      <c r="D1595">
        <v>212</v>
      </c>
      <c r="E1595">
        <v>112</v>
      </c>
      <c r="F1595">
        <v>38</v>
      </c>
      <c r="G1595">
        <v>0</v>
      </c>
      <c r="H1595" s="7">
        <f t="shared" si="97"/>
        <v>58.563535911602202</v>
      </c>
      <c r="I1595" s="7">
        <f t="shared" si="98"/>
        <v>30.939226519337016</v>
      </c>
      <c r="J1595" s="7">
        <f t="shared" si="99"/>
        <v>10.497237569060774</v>
      </c>
      <c r="K1595" s="7">
        <f t="shared" si="100"/>
        <v>0</v>
      </c>
    </row>
    <row r="1596" spans="1:11" x14ac:dyDescent="0.35">
      <c r="A1596">
        <v>2023</v>
      </c>
      <c r="B1596">
        <v>3137007</v>
      </c>
      <c r="C1596" t="str">
        <f>VLOOKUP(B1596,SAEB!$A:$B,2,0)</f>
        <v>Ladainha</v>
      </c>
      <c r="D1596">
        <v>0</v>
      </c>
      <c r="E1596">
        <v>0</v>
      </c>
      <c r="F1596">
        <v>798</v>
      </c>
      <c r="G1596">
        <v>124</v>
      </c>
      <c r="H1596" s="7">
        <f t="shared" si="97"/>
        <v>0</v>
      </c>
      <c r="I1596" s="7">
        <f t="shared" si="98"/>
        <v>0</v>
      </c>
      <c r="J1596" s="7">
        <f t="shared" si="99"/>
        <v>86.550976138828631</v>
      </c>
      <c r="K1596" s="7">
        <f t="shared" si="100"/>
        <v>13.449023861171366</v>
      </c>
    </row>
    <row r="1597" spans="1:11" x14ac:dyDescent="0.35">
      <c r="A1597">
        <v>2023</v>
      </c>
      <c r="B1597">
        <v>3137304</v>
      </c>
      <c r="C1597" t="str">
        <f>VLOOKUP(B1597,SAEB!$A:$B,2,0)</f>
        <v>Lagoa dos Patos</v>
      </c>
      <c r="D1597">
        <v>218</v>
      </c>
      <c r="E1597">
        <v>0</v>
      </c>
      <c r="F1597">
        <v>0</v>
      </c>
      <c r="G1597">
        <v>0</v>
      </c>
      <c r="H1597" s="7">
        <f t="shared" si="97"/>
        <v>100</v>
      </c>
      <c r="I1597" s="7">
        <f t="shared" si="98"/>
        <v>0</v>
      </c>
      <c r="J1597" s="7">
        <f t="shared" si="99"/>
        <v>0</v>
      </c>
      <c r="K1597" s="7">
        <f t="shared" si="100"/>
        <v>0</v>
      </c>
    </row>
    <row r="1598" spans="1:11" x14ac:dyDescent="0.35">
      <c r="A1598">
        <v>2023</v>
      </c>
      <c r="B1598">
        <v>3138104</v>
      </c>
      <c r="C1598" t="str">
        <f>VLOOKUP(B1598,SAEB!$A:$B,2,0)</f>
        <v>Lassance</v>
      </c>
      <c r="D1598">
        <v>242</v>
      </c>
      <c r="E1598">
        <v>0</v>
      </c>
      <c r="F1598">
        <v>142</v>
      </c>
      <c r="G1598">
        <v>98</v>
      </c>
      <c r="H1598" s="7">
        <f t="shared" si="97"/>
        <v>50.207468879668049</v>
      </c>
      <c r="I1598" s="7">
        <f t="shared" si="98"/>
        <v>0</v>
      </c>
      <c r="J1598" s="7">
        <f t="shared" si="99"/>
        <v>29.460580912863072</v>
      </c>
      <c r="K1598" s="7">
        <f t="shared" si="100"/>
        <v>20.331950207468878</v>
      </c>
    </row>
    <row r="1599" spans="1:11" x14ac:dyDescent="0.35">
      <c r="A1599">
        <v>2023</v>
      </c>
      <c r="B1599">
        <v>3138351</v>
      </c>
      <c r="C1599" t="str">
        <f>VLOOKUP(B1599,SAEB!$A:$B,2,0)</f>
        <v>Leme do Prado</v>
      </c>
      <c r="D1599">
        <v>67</v>
      </c>
      <c r="E1599">
        <v>0</v>
      </c>
      <c r="F1599">
        <v>142</v>
      </c>
      <c r="G1599">
        <v>54</v>
      </c>
      <c r="H1599" s="7">
        <f t="shared" si="97"/>
        <v>25.475285171102662</v>
      </c>
      <c r="I1599" s="7">
        <f t="shared" si="98"/>
        <v>0</v>
      </c>
      <c r="J1599" s="7">
        <f t="shared" si="99"/>
        <v>53.992395437262353</v>
      </c>
      <c r="K1599" s="7">
        <f t="shared" si="100"/>
        <v>20.532319391634982</v>
      </c>
    </row>
    <row r="1600" spans="1:11" x14ac:dyDescent="0.35">
      <c r="A1600">
        <v>2023</v>
      </c>
      <c r="B1600">
        <v>3138658</v>
      </c>
      <c r="C1600" t="str">
        <f>VLOOKUP(B1600,SAEB!$A:$B,2,0)</f>
        <v>Lontra</v>
      </c>
      <c r="D1600">
        <v>559</v>
      </c>
      <c r="E1600">
        <v>203</v>
      </c>
      <c r="F1600">
        <v>28</v>
      </c>
      <c r="G1600">
        <v>0</v>
      </c>
      <c r="H1600" s="7">
        <f t="shared" si="97"/>
        <v>70.759493670886073</v>
      </c>
      <c r="I1600" s="7">
        <f t="shared" si="98"/>
        <v>25.696202531645568</v>
      </c>
      <c r="J1600" s="7">
        <f t="shared" si="99"/>
        <v>3.5443037974683547</v>
      </c>
      <c r="K1600" s="7">
        <f t="shared" si="100"/>
        <v>0</v>
      </c>
    </row>
    <row r="1601" spans="1:11" x14ac:dyDescent="0.35">
      <c r="A1601">
        <v>2023</v>
      </c>
      <c r="B1601">
        <v>3138906</v>
      </c>
      <c r="C1601" t="str">
        <f>VLOOKUP(B1601,SAEB!$A:$B,2,0)</f>
        <v>Machacalis</v>
      </c>
      <c r="D1601">
        <v>365</v>
      </c>
      <c r="E1601">
        <v>0</v>
      </c>
      <c r="F1601">
        <v>55</v>
      </c>
      <c r="G1601">
        <v>0</v>
      </c>
      <c r="H1601" s="7">
        <f t="shared" si="97"/>
        <v>86.904761904761912</v>
      </c>
      <c r="I1601" s="7">
        <f t="shared" si="98"/>
        <v>0</v>
      </c>
      <c r="J1601" s="7">
        <f t="shared" si="99"/>
        <v>13.095238095238097</v>
      </c>
      <c r="K1601" s="7">
        <f t="shared" si="100"/>
        <v>0</v>
      </c>
    </row>
    <row r="1602" spans="1:11" x14ac:dyDescent="0.35">
      <c r="A1602">
        <v>2023</v>
      </c>
      <c r="B1602">
        <v>3139201</v>
      </c>
      <c r="C1602" t="str">
        <f>VLOOKUP(B1602,SAEB!$A:$B,2,0)</f>
        <v>Malacacheta</v>
      </c>
      <c r="D1602">
        <v>212</v>
      </c>
      <c r="E1602">
        <v>0</v>
      </c>
      <c r="F1602">
        <v>147</v>
      </c>
      <c r="G1602">
        <v>127</v>
      </c>
      <c r="H1602" s="7">
        <f t="shared" si="97"/>
        <v>43.621399176954732</v>
      </c>
      <c r="I1602" s="7">
        <f t="shared" si="98"/>
        <v>0</v>
      </c>
      <c r="J1602" s="7">
        <f t="shared" si="99"/>
        <v>30.246913580246915</v>
      </c>
      <c r="K1602" s="7">
        <f t="shared" si="100"/>
        <v>26.13168724279835</v>
      </c>
    </row>
    <row r="1603" spans="1:11" x14ac:dyDescent="0.35">
      <c r="A1603">
        <v>2023</v>
      </c>
      <c r="B1603">
        <v>3139250</v>
      </c>
      <c r="C1603" t="str">
        <f>VLOOKUP(B1603,SAEB!$A:$B,2,0)</f>
        <v>Mamonas</v>
      </c>
      <c r="D1603">
        <v>288</v>
      </c>
      <c r="E1603">
        <v>0</v>
      </c>
      <c r="F1603">
        <v>17</v>
      </c>
      <c r="G1603">
        <v>0</v>
      </c>
      <c r="H1603" s="7">
        <f t="shared" ref="H1603:H1666" si="101">D1603/SUM($D1603:$G1603)*100</f>
        <v>94.426229508196727</v>
      </c>
      <c r="I1603" s="7">
        <f t="shared" ref="I1603:I1666" si="102">E1603/SUM($D1603:$G1603)*100</f>
        <v>0</v>
      </c>
      <c r="J1603" s="7">
        <f t="shared" ref="J1603:J1666" si="103">F1603/SUM($D1603:$G1603)*100</f>
        <v>5.5737704918032787</v>
      </c>
      <c r="K1603" s="7">
        <f t="shared" ref="K1603:K1666" si="104">G1603/SUM($D1603:$G1603)*100</f>
        <v>0</v>
      </c>
    </row>
    <row r="1604" spans="1:11" x14ac:dyDescent="0.35">
      <c r="A1604">
        <v>2023</v>
      </c>
      <c r="B1604">
        <v>3139300</v>
      </c>
      <c r="C1604" t="str">
        <f>VLOOKUP(B1604,SAEB!$A:$B,2,0)</f>
        <v>Manga</v>
      </c>
      <c r="D1604">
        <v>455</v>
      </c>
      <c r="E1604">
        <v>182</v>
      </c>
      <c r="F1604">
        <v>265</v>
      </c>
      <c r="G1604">
        <v>133</v>
      </c>
      <c r="H1604" s="7">
        <f t="shared" si="101"/>
        <v>43.961352657004831</v>
      </c>
      <c r="I1604" s="7">
        <f t="shared" si="102"/>
        <v>17.584541062801932</v>
      </c>
      <c r="J1604" s="7">
        <f t="shared" si="103"/>
        <v>25.60386473429952</v>
      </c>
      <c r="K1604" s="7">
        <f t="shared" si="104"/>
        <v>12.85024154589372</v>
      </c>
    </row>
    <row r="1605" spans="1:11" x14ac:dyDescent="0.35">
      <c r="A1605">
        <v>2023</v>
      </c>
      <c r="B1605">
        <v>3139607</v>
      </c>
      <c r="C1605" t="str">
        <f>VLOOKUP(B1605,SAEB!$A:$B,2,0)</f>
        <v>Mantena</v>
      </c>
      <c r="D1605">
        <v>1137</v>
      </c>
      <c r="E1605">
        <v>389</v>
      </c>
      <c r="F1605">
        <v>146</v>
      </c>
      <c r="G1605">
        <v>104</v>
      </c>
      <c r="H1605" s="7">
        <f t="shared" si="101"/>
        <v>64.020270270270274</v>
      </c>
      <c r="I1605" s="7">
        <f t="shared" si="102"/>
        <v>21.903153153153156</v>
      </c>
      <c r="J1605" s="7">
        <f t="shared" si="103"/>
        <v>8.2207207207207222</v>
      </c>
      <c r="K1605" s="7">
        <f t="shared" si="104"/>
        <v>5.8558558558558556</v>
      </c>
    </row>
    <row r="1606" spans="1:11" x14ac:dyDescent="0.35">
      <c r="A1606">
        <v>2023</v>
      </c>
      <c r="B1606">
        <v>3140100</v>
      </c>
      <c r="C1606" t="str">
        <f>VLOOKUP(B1606,SAEB!$A:$B,2,0)</f>
        <v>Marilac</v>
      </c>
      <c r="D1606">
        <v>276</v>
      </c>
      <c r="E1606">
        <v>0</v>
      </c>
      <c r="F1606">
        <v>0</v>
      </c>
      <c r="G1606">
        <v>0</v>
      </c>
      <c r="H1606" s="7">
        <f t="shared" si="101"/>
        <v>100</v>
      </c>
      <c r="I1606" s="7">
        <f t="shared" si="102"/>
        <v>0</v>
      </c>
      <c r="J1606" s="7">
        <f t="shared" si="103"/>
        <v>0</v>
      </c>
      <c r="K1606" s="7">
        <f t="shared" si="104"/>
        <v>0</v>
      </c>
    </row>
    <row r="1607" spans="1:11" x14ac:dyDescent="0.35">
      <c r="A1607">
        <v>2023</v>
      </c>
      <c r="B1607">
        <v>3140605</v>
      </c>
      <c r="C1607" t="str">
        <f>VLOOKUP(B1607,SAEB!$A:$B,2,0)</f>
        <v>Materlândia</v>
      </c>
      <c r="D1607">
        <v>168</v>
      </c>
      <c r="E1607">
        <v>0</v>
      </c>
      <c r="F1607">
        <v>77</v>
      </c>
      <c r="G1607">
        <v>36</v>
      </c>
      <c r="H1607" s="7">
        <f t="shared" si="101"/>
        <v>59.786476868327398</v>
      </c>
      <c r="I1607" s="7">
        <f t="shared" si="102"/>
        <v>0</v>
      </c>
      <c r="J1607" s="7">
        <f t="shared" si="103"/>
        <v>27.402135231316727</v>
      </c>
      <c r="K1607" s="7">
        <f t="shared" si="104"/>
        <v>12.811387900355871</v>
      </c>
    </row>
    <row r="1608" spans="1:11" x14ac:dyDescent="0.35">
      <c r="A1608">
        <v>2023</v>
      </c>
      <c r="B1608">
        <v>3171501</v>
      </c>
      <c r="C1608" t="str">
        <f>VLOOKUP(B1608,SAEB!$A:$B,2,0)</f>
        <v>Mathias Lobato</v>
      </c>
      <c r="D1608">
        <v>237</v>
      </c>
      <c r="E1608">
        <v>219</v>
      </c>
      <c r="F1608">
        <v>0</v>
      </c>
      <c r="G1608">
        <v>0</v>
      </c>
      <c r="H1608" s="7">
        <f t="shared" si="101"/>
        <v>51.973684210526315</v>
      </c>
      <c r="I1608" s="7">
        <f t="shared" si="102"/>
        <v>48.026315789473685</v>
      </c>
      <c r="J1608" s="7">
        <f t="shared" si="103"/>
        <v>0</v>
      </c>
      <c r="K1608" s="7">
        <f t="shared" si="104"/>
        <v>0</v>
      </c>
    </row>
    <row r="1609" spans="1:11" x14ac:dyDescent="0.35">
      <c r="A1609">
        <v>2023</v>
      </c>
      <c r="B1609">
        <v>3140852</v>
      </c>
      <c r="C1609" t="str">
        <f>VLOOKUP(B1609,SAEB!$A:$B,2,0)</f>
        <v>Matias Cardoso</v>
      </c>
      <c r="D1609">
        <v>553</v>
      </c>
      <c r="E1609">
        <v>330</v>
      </c>
      <c r="F1609">
        <v>168</v>
      </c>
      <c r="G1609">
        <v>0</v>
      </c>
      <c r="H1609" s="7">
        <f t="shared" si="101"/>
        <v>52.61655566127498</v>
      </c>
      <c r="I1609" s="7">
        <f t="shared" si="102"/>
        <v>31.398667935299713</v>
      </c>
      <c r="J1609" s="7">
        <f t="shared" si="103"/>
        <v>15.984776403425311</v>
      </c>
      <c r="K1609" s="7">
        <f t="shared" si="104"/>
        <v>0</v>
      </c>
    </row>
    <row r="1610" spans="1:11" x14ac:dyDescent="0.35">
      <c r="A1610">
        <v>2023</v>
      </c>
      <c r="B1610">
        <v>3141009</v>
      </c>
      <c r="C1610" t="str">
        <f>VLOOKUP(B1610,SAEB!$A:$B,2,0)</f>
        <v>Mato Verde</v>
      </c>
      <c r="D1610">
        <v>301</v>
      </c>
      <c r="E1610">
        <v>0</v>
      </c>
      <c r="F1610">
        <v>68</v>
      </c>
      <c r="G1610">
        <v>0</v>
      </c>
      <c r="H1610" s="7">
        <f t="shared" si="101"/>
        <v>81.571815718157183</v>
      </c>
      <c r="I1610" s="7">
        <f t="shared" si="102"/>
        <v>0</v>
      </c>
      <c r="J1610" s="7">
        <f t="shared" si="103"/>
        <v>18.428184281842817</v>
      </c>
      <c r="K1610" s="7">
        <f t="shared" si="104"/>
        <v>0</v>
      </c>
    </row>
    <row r="1611" spans="1:11" x14ac:dyDescent="0.35">
      <c r="A1611">
        <v>2023</v>
      </c>
      <c r="B1611">
        <v>3141405</v>
      </c>
      <c r="C1611" t="str">
        <f>VLOOKUP(B1611,SAEB!$A:$B,2,0)</f>
        <v>Medina</v>
      </c>
      <c r="D1611">
        <v>778</v>
      </c>
      <c r="E1611">
        <v>0</v>
      </c>
      <c r="F1611">
        <v>194</v>
      </c>
      <c r="G1611">
        <v>0</v>
      </c>
      <c r="H1611" s="7">
        <f t="shared" si="101"/>
        <v>80.041152263374485</v>
      </c>
      <c r="I1611" s="7">
        <f t="shared" si="102"/>
        <v>0</v>
      </c>
      <c r="J1611" s="7">
        <f t="shared" si="103"/>
        <v>19.958847736625515</v>
      </c>
      <c r="K1611" s="7">
        <f t="shared" si="104"/>
        <v>0</v>
      </c>
    </row>
    <row r="1612" spans="1:11" x14ac:dyDescent="0.35">
      <c r="A1612">
        <v>2023</v>
      </c>
      <c r="B1612">
        <v>3141504</v>
      </c>
      <c r="C1612" t="str">
        <f>VLOOKUP(B1612,SAEB!$A:$B,2,0)</f>
        <v>Mendes Pimentel</v>
      </c>
      <c r="D1612">
        <v>191</v>
      </c>
      <c r="E1612">
        <v>0</v>
      </c>
      <c r="F1612">
        <v>85</v>
      </c>
      <c r="G1612">
        <v>0</v>
      </c>
      <c r="H1612" s="7">
        <f t="shared" si="101"/>
        <v>69.20289855072464</v>
      </c>
      <c r="I1612" s="7">
        <f t="shared" si="102"/>
        <v>0</v>
      </c>
      <c r="J1612" s="7">
        <f t="shared" si="103"/>
        <v>30.79710144927536</v>
      </c>
      <c r="K1612" s="7">
        <f t="shared" si="104"/>
        <v>0</v>
      </c>
    </row>
    <row r="1613" spans="1:11" x14ac:dyDescent="0.35">
      <c r="A1613">
        <v>2023</v>
      </c>
      <c r="B1613">
        <v>3141801</v>
      </c>
      <c r="C1613" t="str">
        <f>VLOOKUP(B1613,SAEB!$A:$B,2,0)</f>
        <v>Minas Novas</v>
      </c>
      <c r="D1613">
        <v>836</v>
      </c>
      <c r="E1613">
        <v>236</v>
      </c>
      <c r="F1613">
        <v>673</v>
      </c>
      <c r="G1613">
        <v>120</v>
      </c>
      <c r="H1613" s="7">
        <f t="shared" si="101"/>
        <v>44.825737265415547</v>
      </c>
      <c r="I1613" s="7">
        <f t="shared" si="102"/>
        <v>12.654155495978554</v>
      </c>
      <c r="J1613" s="7">
        <f t="shared" si="103"/>
        <v>36.085790884718499</v>
      </c>
      <c r="K1613" s="7">
        <f t="shared" si="104"/>
        <v>6.4343163538873993</v>
      </c>
    </row>
    <row r="1614" spans="1:11" x14ac:dyDescent="0.35">
      <c r="A1614">
        <v>2023</v>
      </c>
      <c r="B1614">
        <v>3142007</v>
      </c>
      <c r="C1614" t="str">
        <f>VLOOKUP(B1614,SAEB!$A:$B,2,0)</f>
        <v>Mirabela</v>
      </c>
      <c r="D1614">
        <v>498</v>
      </c>
      <c r="E1614">
        <v>0</v>
      </c>
      <c r="F1614">
        <v>76</v>
      </c>
      <c r="G1614">
        <v>66</v>
      </c>
      <c r="H1614" s="7">
        <f t="shared" si="101"/>
        <v>77.8125</v>
      </c>
      <c r="I1614" s="7">
        <f t="shared" si="102"/>
        <v>0</v>
      </c>
      <c r="J1614" s="7">
        <f t="shared" si="103"/>
        <v>11.875</v>
      </c>
      <c r="K1614" s="7">
        <f t="shared" si="104"/>
        <v>10.3125</v>
      </c>
    </row>
    <row r="1615" spans="1:11" x14ac:dyDescent="0.35">
      <c r="A1615">
        <v>2023</v>
      </c>
      <c r="B1615">
        <v>3142254</v>
      </c>
      <c r="C1615" t="str">
        <f>VLOOKUP(B1615,SAEB!$A:$B,2,0)</f>
        <v>Miravânia</v>
      </c>
      <c r="D1615">
        <v>0</v>
      </c>
      <c r="E1615">
        <v>0</v>
      </c>
      <c r="F1615">
        <v>128</v>
      </c>
      <c r="G1615">
        <v>115</v>
      </c>
      <c r="H1615" s="7">
        <f t="shared" si="101"/>
        <v>0</v>
      </c>
      <c r="I1615" s="7">
        <f t="shared" si="102"/>
        <v>0</v>
      </c>
      <c r="J1615" s="7">
        <f t="shared" si="103"/>
        <v>52.674897119341566</v>
      </c>
      <c r="K1615" s="7">
        <f t="shared" si="104"/>
        <v>47.325102880658434</v>
      </c>
    </row>
    <row r="1616" spans="1:11" x14ac:dyDescent="0.35">
      <c r="A1616">
        <v>2023</v>
      </c>
      <c r="B1616">
        <v>3142502</v>
      </c>
      <c r="C1616" t="str">
        <f>VLOOKUP(B1616,SAEB!$A:$B,2,0)</f>
        <v>Monjolos</v>
      </c>
      <c r="D1616">
        <v>72</v>
      </c>
      <c r="E1616">
        <v>0</v>
      </c>
      <c r="F1616">
        <v>0</v>
      </c>
      <c r="G1616">
        <v>0</v>
      </c>
      <c r="H1616" s="7">
        <f t="shared" si="101"/>
        <v>100</v>
      </c>
      <c r="I1616" s="7">
        <f t="shared" si="102"/>
        <v>0</v>
      </c>
      <c r="J1616" s="7">
        <f t="shared" si="103"/>
        <v>0</v>
      </c>
      <c r="K1616" s="7">
        <f t="shared" si="104"/>
        <v>0</v>
      </c>
    </row>
    <row r="1617" spans="1:11" x14ac:dyDescent="0.35">
      <c r="A1617">
        <v>2023</v>
      </c>
      <c r="B1617">
        <v>3142700</v>
      </c>
      <c r="C1617" t="str">
        <f>VLOOKUP(B1617,SAEB!$A:$B,2,0)</f>
        <v>Montalvânia</v>
      </c>
      <c r="D1617">
        <v>304</v>
      </c>
      <c r="E1617">
        <v>72</v>
      </c>
      <c r="F1617">
        <v>150</v>
      </c>
      <c r="G1617">
        <v>22</v>
      </c>
      <c r="H1617" s="7">
        <f t="shared" si="101"/>
        <v>55.474452554744524</v>
      </c>
      <c r="I1617" s="7">
        <f t="shared" si="102"/>
        <v>13.138686131386862</v>
      </c>
      <c r="J1617" s="7">
        <f t="shared" si="103"/>
        <v>27.372262773722628</v>
      </c>
      <c r="K1617" s="7">
        <f t="shared" si="104"/>
        <v>4.0145985401459852</v>
      </c>
    </row>
    <row r="1618" spans="1:11" x14ac:dyDescent="0.35">
      <c r="A1618">
        <v>2023</v>
      </c>
      <c r="B1618">
        <v>3143153</v>
      </c>
      <c r="C1618" t="str">
        <f>VLOOKUP(B1618,SAEB!$A:$B,2,0)</f>
        <v>Monte Formoso</v>
      </c>
      <c r="D1618">
        <v>143</v>
      </c>
      <c r="E1618">
        <v>0</v>
      </c>
      <c r="F1618">
        <v>120</v>
      </c>
      <c r="G1618">
        <v>0</v>
      </c>
      <c r="H1618" s="7">
        <f t="shared" si="101"/>
        <v>54.372623574144484</v>
      </c>
      <c r="I1618" s="7">
        <f t="shared" si="102"/>
        <v>0</v>
      </c>
      <c r="J1618" s="7">
        <f t="shared" si="103"/>
        <v>45.627376425855516</v>
      </c>
      <c r="K1618" s="7">
        <f t="shared" si="104"/>
        <v>0</v>
      </c>
    </row>
    <row r="1619" spans="1:11" x14ac:dyDescent="0.35">
      <c r="A1619">
        <v>2023</v>
      </c>
      <c r="B1619">
        <v>3143302</v>
      </c>
      <c r="C1619" t="str">
        <f>VLOOKUP(B1619,SAEB!$A:$B,2,0)</f>
        <v>Montes Claros</v>
      </c>
      <c r="D1619">
        <v>10468</v>
      </c>
      <c r="E1619">
        <v>5971</v>
      </c>
      <c r="F1619">
        <v>1284</v>
      </c>
      <c r="G1619">
        <v>640</v>
      </c>
      <c r="H1619" s="7">
        <f t="shared" si="101"/>
        <v>57.005935849262102</v>
      </c>
      <c r="I1619" s="7">
        <f t="shared" si="102"/>
        <v>32.516473343135658</v>
      </c>
      <c r="J1619" s="7">
        <f t="shared" si="103"/>
        <v>6.992321516092141</v>
      </c>
      <c r="K1619" s="7">
        <f t="shared" si="104"/>
        <v>3.485269291510102</v>
      </c>
    </row>
    <row r="1620" spans="1:11" x14ac:dyDescent="0.35">
      <c r="A1620">
        <v>2023</v>
      </c>
      <c r="B1620">
        <v>3143450</v>
      </c>
      <c r="C1620" t="str">
        <f>VLOOKUP(B1620,SAEB!$A:$B,2,0)</f>
        <v>Montezuma</v>
      </c>
      <c r="D1620">
        <v>313</v>
      </c>
      <c r="E1620">
        <v>0</v>
      </c>
      <c r="F1620">
        <v>110</v>
      </c>
      <c r="G1620">
        <v>0</v>
      </c>
      <c r="H1620" s="7">
        <f t="shared" si="101"/>
        <v>73.995271867612288</v>
      </c>
      <c r="I1620" s="7">
        <f t="shared" si="102"/>
        <v>0</v>
      </c>
      <c r="J1620" s="7">
        <f t="shared" si="103"/>
        <v>26.004728132387704</v>
      </c>
      <c r="K1620" s="7">
        <f t="shared" si="104"/>
        <v>0</v>
      </c>
    </row>
    <row r="1621" spans="1:11" x14ac:dyDescent="0.35">
      <c r="A1621">
        <v>2023</v>
      </c>
      <c r="B1621">
        <v>3143609</v>
      </c>
      <c r="C1621" t="str">
        <f>VLOOKUP(B1621,SAEB!$A:$B,2,0)</f>
        <v>Morro da Garça</v>
      </c>
      <c r="D1621">
        <v>133</v>
      </c>
      <c r="E1621">
        <v>125</v>
      </c>
      <c r="F1621">
        <v>10</v>
      </c>
      <c r="G1621">
        <v>16</v>
      </c>
      <c r="H1621" s="7">
        <f t="shared" si="101"/>
        <v>46.83098591549296</v>
      </c>
      <c r="I1621" s="7">
        <f t="shared" si="102"/>
        <v>44.014084507042256</v>
      </c>
      <c r="J1621" s="7">
        <f t="shared" si="103"/>
        <v>3.5211267605633805</v>
      </c>
      <c r="K1621" s="7">
        <f t="shared" si="104"/>
        <v>5.6338028169014089</v>
      </c>
    </row>
    <row r="1622" spans="1:11" x14ac:dyDescent="0.35">
      <c r="A1622">
        <v>2023</v>
      </c>
      <c r="B1622">
        <v>3144003</v>
      </c>
      <c r="C1622" t="str">
        <f>VLOOKUP(B1622,SAEB!$A:$B,2,0)</f>
        <v>Mutum</v>
      </c>
      <c r="D1622">
        <v>448</v>
      </c>
      <c r="E1622">
        <v>0</v>
      </c>
      <c r="F1622">
        <v>309</v>
      </c>
      <c r="G1622">
        <v>130</v>
      </c>
      <c r="H1622" s="7">
        <f t="shared" si="101"/>
        <v>50.507328072153321</v>
      </c>
      <c r="I1622" s="7">
        <f t="shared" si="102"/>
        <v>0</v>
      </c>
      <c r="J1622" s="7">
        <f t="shared" si="103"/>
        <v>34.836527621195039</v>
      </c>
      <c r="K1622" s="7">
        <f t="shared" si="104"/>
        <v>14.656144306651633</v>
      </c>
    </row>
    <row r="1623" spans="1:11" x14ac:dyDescent="0.35">
      <c r="A1623">
        <v>2023</v>
      </c>
      <c r="B1623">
        <v>3144201</v>
      </c>
      <c r="C1623" t="str">
        <f>VLOOKUP(B1623,SAEB!$A:$B,2,0)</f>
        <v>Nacip Raydan</v>
      </c>
      <c r="D1623">
        <v>134</v>
      </c>
      <c r="E1623">
        <v>0</v>
      </c>
      <c r="F1623">
        <v>6</v>
      </c>
      <c r="G1623">
        <v>0</v>
      </c>
      <c r="H1623" s="7">
        <f t="shared" si="101"/>
        <v>95.714285714285722</v>
      </c>
      <c r="I1623" s="7">
        <f t="shared" si="102"/>
        <v>0</v>
      </c>
      <c r="J1623" s="7">
        <f t="shared" si="103"/>
        <v>4.2857142857142856</v>
      </c>
      <c r="K1623" s="7">
        <f t="shared" si="104"/>
        <v>0</v>
      </c>
    </row>
    <row r="1624" spans="1:11" x14ac:dyDescent="0.35">
      <c r="A1624">
        <v>2023</v>
      </c>
      <c r="B1624">
        <v>3144300</v>
      </c>
      <c r="C1624" t="str">
        <f>VLOOKUP(B1624,SAEB!$A:$B,2,0)</f>
        <v>Nanuque</v>
      </c>
      <c r="D1624">
        <v>474</v>
      </c>
      <c r="E1624">
        <v>231</v>
      </c>
      <c r="F1624">
        <v>98</v>
      </c>
      <c r="G1624">
        <v>98</v>
      </c>
      <c r="H1624" s="7">
        <f t="shared" si="101"/>
        <v>52.608213096559375</v>
      </c>
      <c r="I1624" s="7">
        <f t="shared" si="102"/>
        <v>25.638179800221977</v>
      </c>
      <c r="J1624" s="7">
        <f t="shared" si="103"/>
        <v>10.876803551609324</v>
      </c>
      <c r="K1624" s="7">
        <f t="shared" si="104"/>
        <v>10.876803551609324</v>
      </c>
    </row>
    <row r="1625" spans="1:11" x14ac:dyDescent="0.35">
      <c r="A1625">
        <v>2023</v>
      </c>
      <c r="B1625">
        <v>3144359</v>
      </c>
      <c r="C1625" t="str">
        <f>VLOOKUP(B1625,SAEB!$A:$B,2,0)</f>
        <v>Naque</v>
      </c>
      <c r="D1625">
        <v>476</v>
      </c>
      <c r="E1625">
        <v>0</v>
      </c>
      <c r="F1625">
        <v>0</v>
      </c>
      <c r="G1625">
        <v>0</v>
      </c>
      <c r="H1625" s="7">
        <f t="shared" si="101"/>
        <v>100</v>
      </c>
      <c r="I1625" s="7">
        <f t="shared" si="102"/>
        <v>0</v>
      </c>
      <c r="J1625" s="7">
        <f t="shared" si="103"/>
        <v>0</v>
      </c>
      <c r="K1625" s="7">
        <f t="shared" si="104"/>
        <v>0</v>
      </c>
    </row>
    <row r="1626" spans="1:11" x14ac:dyDescent="0.35">
      <c r="A1626">
        <v>2023</v>
      </c>
      <c r="B1626">
        <v>3144375</v>
      </c>
      <c r="C1626" t="str">
        <f>VLOOKUP(B1626,SAEB!$A:$B,2,0)</f>
        <v>Natalândia</v>
      </c>
      <c r="D1626">
        <v>244</v>
      </c>
      <c r="E1626">
        <v>0</v>
      </c>
      <c r="F1626">
        <v>0</v>
      </c>
      <c r="G1626">
        <v>0</v>
      </c>
      <c r="H1626" s="7">
        <f t="shared" si="101"/>
        <v>100</v>
      </c>
      <c r="I1626" s="7">
        <f t="shared" si="102"/>
        <v>0</v>
      </c>
      <c r="J1626" s="7">
        <f t="shared" si="103"/>
        <v>0</v>
      </c>
      <c r="K1626" s="7">
        <f t="shared" si="104"/>
        <v>0</v>
      </c>
    </row>
    <row r="1627" spans="1:11" x14ac:dyDescent="0.35">
      <c r="A1627">
        <v>2023</v>
      </c>
      <c r="B1627">
        <v>3144656</v>
      </c>
      <c r="C1627" t="str">
        <f>VLOOKUP(B1627,SAEB!$A:$B,2,0)</f>
        <v>Ninheira</v>
      </c>
      <c r="D1627">
        <v>301</v>
      </c>
      <c r="E1627">
        <v>0</v>
      </c>
      <c r="F1627">
        <v>265</v>
      </c>
      <c r="G1627">
        <v>0</v>
      </c>
      <c r="H1627" s="7">
        <f t="shared" si="101"/>
        <v>53.180212014134277</v>
      </c>
      <c r="I1627" s="7">
        <f t="shared" si="102"/>
        <v>0</v>
      </c>
      <c r="J1627" s="7">
        <f t="shared" si="103"/>
        <v>46.819787985865723</v>
      </c>
      <c r="K1627" s="7">
        <f t="shared" si="104"/>
        <v>0</v>
      </c>
    </row>
    <row r="1628" spans="1:11" x14ac:dyDescent="0.35">
      <c r="A1628">
        <v>2023</v>
      </c>
      <c r="B1628">
        <v>3144672</v>
      </c>
      <c r="C1628" t="str">
        <f>VLOOKUP(B1628,SAEB!$A:$B,2,0)</f>
        <v>Nova Belém</v>
      </c>
      <c r="D1628">
        <v>158</v>
      </c>
      <c r="E1628">
        <v>0</v>
      </c>
      <c r="F1628">
        <v>36</v>
      </c>
      <c r="G1628">
        <v>0</v>
      </c>
      <c r="H1628" s="7">
        <f t="shared" si="101"/>
        <v>81.44329896907216</v>
      </c>
      <c r="I1628" s="7">
        <f t="shared" si="102"/>
        <v>0</v>
      </c>
      <c r="J1628" s="7">
        <f t="shared" si="103"/>
        <v>18.556701030927837</v>
      </c>
      <c r="K1628" s="7">
        <f t="shared" si="104"/>
        <v>0</v>
      </c>
    </row>
    <row r="1629" spans="1:11" x14ac:dyDescent="0.35">
      <c r="A1629">
        <v>2023</v>
      </c>
      <c r="B1629">
        <v>3145059</v>
      </c>
      <c r="C1629" t="str">
        <f>VLOOKUP(B1629,SAEB!$A:$B,2,0)</f>
        <v>Nova Porteirinha</v>
      </c>
      <c r="D1629">
        <v>198</v>
      </c>
      <c r="E1629">
        <v>80</v>
      </c>
      <c r="F1629">
        <v>135</v>
      </c>
      <c r="G1629">
        <v>0</v>
      </c>
      <c r="H1629" s="7">
        <f t="shared" si="101"/>
        <v>47.941888619854723</v>
      </c>
      <c r="I1629" s="7">
        <f t="shared" si="102"/>
        <v>19.37046004842615</v>
      </c>
      <c r="J1629" s="7">
        <f t="shared" si="103"/>
        <v>32.687651331719131</v>
      </c>
      <c r="K1629" s="7">
        <f t="shared" si="104"/>
        <v>0</v>
      </c>
    </row>
    <row r="1630" spans="1:11" x14ac:dyDescent="0.35">
      <c r="A1630">
        <v>2023</v>
      </c>
      <c r="B1630">
        <v>3145356</v>
      </c>
      <c r="C1630" t="str">
        <f>VLOOKUP(B1630,SAEB!$A:$B,2,0)</f>
        <v>Novo Oriente de Minas</v>
      </c>
      <c r="D1630">
        <v>242</v>
      </c>
      <c r="E1630">
        <v>0</v>
      </c>
      <c r="F1630">
        <v>243</v>
      </c>
      <c r="G1630">
        <v>68</v>
      </c>
      <c r="H1630" s="7">
        <f t="shared" si="101"/>
        <v>43.761301989150091</v>
      </c>
      <c r="I1630" s="7">
        <f t="shared" si="102"/>
        <v>0</v>
      </c>
      <c r="J1630" s="7">
        <f t="shared" si="103"/>
        <v>43.942133815551536</v>
      </c>
      <c r="K1630" s="7">
        <f t="shared" si="104"/>
        <v>12.296564195298371</v>
      </c>
    </row>
    <row r="1631" spans="1:11" x14ac:dyDescent="0.35">
      <c r="A1631">
        <v>2023</v>
      </c>
      <c r="B1631">
        <v>3145372</v>
      </c>
      <c r="C1631" t="str">
        <f>VLOOKUP(B1631,SAEB!$A:$B,2,0)</f>
        <v>Novorizonte</v>
      </c>
      <c r="D1631">
        <v>0</v>
      </c>
      <c r="E1631">
        <v>0</v>
      </c>
      <c r="F1631">
        <v>274</v>
      </c>
      <c r="G1631">
        <v>56</v>
      </c>
      <c r="H1631" s="7">
        <f t="shared" si="101"/>
        <v>0</v>
      </c>
      <c r="I1631" s="7">
        <f t="shared" si="102"/>
        <v>0</v>
      </c>
      <c r="J1631" s="7">
        <f t="shared" si="103"/>
        <v>83.030303030303031</v>
      </c>
      <c r="K1631" s="7">
        <f t="shared" si="104"/>
        <v>16.969696969696972</v>
      </c>
    </row>
    <row r="1632" spans="1:11" x14ac:dyDescent="0.35">
      <c r="A1632">
        <v>2023</v>
      </c>
      <c r="B1632">
        <v>3145455</v>
      </c>
      <c r="C1632" t="str">
        <f>VLOOKUP(B1632,SAEB!$A:$B,2,0)</f>
        <v>Olhos-d'Água</v>
      </c>
      <c r="D1632">
        <v>320</v>
      </c>
      <c r="E1632">
        <v>0</v>
      </c>
      <c r="F1632">
        <v>64</v>
      </c>
      <c r="G1632">
        <v>0</v>
      </c>
      <c r="H1632" s="7">
        <f t="shared" si="101"/>
        <v>83.333333333333343</v>
      </c>
      <c r="I1632" s="7">
        <f t="shared" si="102"/>
        <v>0</v>
      </c>
      <c r="J1632" s="7">
        <f t="shared" si="103"/>
        <v>16.666666666666664</v>
      </c>
      <c r="K1632" s="7">
        <f t="shared" si="104"/>
        <v>0</v>
      </c>
    </row>
    <row r="1633" spans="1:11" x14ac:dyDescent="0.35">
      <c r="A1633">
        <v>2023</v>
      </c>
      <c r="B1633">
        <v>3146305</v>
      </c>
      <c r="C1633" t="str">
        <f>VLOOKUP(B1633,SAEB!$A:$B,2,0)</f>
        <v>Padre Paraíso</v>
      </c>
      <c r="D1633">
        <v>391</v>
      </c>
      <c r="E1633">
        <v>0</v>
      </c>
      <c r="F1633">
        <v>288</v>
      </c>
      <c r="G1633">
        <v>275</v>
      </c>
      <c r="H1633" s="7">
        <f t="shared" si="101"/>
        <v>40.985324947589099</v>
      </c>
      <c r="I1633" s="7">
        <f t="shared" si="102"/>
        <v>0</v>
      </c>
      <c r="J1633" s="7">
        <f t="shared" si="103"/>
        <v>30.188679245283019</v>
      </c>
      <c r="K1633" s="7">
        <f t="shared" si="104"/>
        <v>28.825995807127882</v>
      </c>
    </row>
    <row r="1634" spans="1:11" x14ac:dyDescent="0.35">
      <c r="A1634">
        <v>2023</v>
      </c>
      <c r="B1634">
        <v>3146552</v>
      </c>
      <c r="C1634" t="str">
        <f>VLOOKUP(B1634,SAEB!$A:$B,2,0)</f>
        <v>Pai Pedro</v>
      </c>
      <c r="D1634">
        <v>236</v>
      </c>
      <c r="E1634">
        <v>0</v>
      </c>
      <c r="F1634">
        <v>150</v>
      </c>
      <c r="G1634">
        <v>129</v>
      </c>
      <c r="H1634" s="7">
        <f t="shared" si="101"/>
        <v>45.825242718446603</v>
      </c>
      <c r="I1634" s="7">
        <f t="shared" si="102"/>
        <v>0</v>
      </c>
      <c r="J1634" s="7">
        <f t="shared" si="103"/>
        <v>29.126213592233007</v>
      </c>
      <c r="K1634" s="7">
        <f t="shared" si="104"/>
        <v>25.04854368932039</v>
      </c>
    </row>
    <row r="1635" spans="1:11" x14ac:dyDescent="0.35">
      <c r="A1635">
        <v>2023</v>
      </c>
      <c r="B1635">
        <v>3146750</v>
      </c>
      <c r="C1635" t="str">
        <f>VLOOKUP(B1635,SAEB!$A:$B,2,0)</f>
        <v>Palmópolis</v>
      </c>
      <c r="D1635">
        <v>265</v>
      </c>
      <c r="E1635">
        <v>32</v>
      </c>
      <c r="F1635">
        <v>0</v>
      </c>
      <c r="G1635">
        <v>0</v>
      </c>
      <c r="H1635" s="7">
        <f t="shared" si="101"/>
        <v>89.225589225589232</v>
      </c>
      <c r="I1635" s="7">
        <f t="shared" si="102"/>
        <v>10.774410774410773</v>
      </c>
      <c r="J1635" s="7">
        <f t="shared" si="103"/>
        <v>0</v>
      </c>
      <c r="K1635" s="7">
        <f t="shared" si="104"/>
        <v>0</v>
      </c>
    </row>
    <row r="1636" spans="1:11" x14ac:dyDescent="0.35">
      <c r="A1636">
        <v>2023</v>
      </c>
      <c r="B1636">
        <v>3147956</v>
      </c>
      <c r="C1636" t="str">
        <f>VLOOKUP(B1636,SAEB!$A:$B,2,0)</f>
        <v>Patis</v>
      </c>
      <c r="D1636">
        <v>167</v>
      </c>
      <c r="E1636">
        <v>144</v>
      </c>
      <c r="F1636">
        <v>50</v>
      </c>
      <c r="G1636">
        <v>57</v>
      </c>
      <c r="H1636" s="7">
        <f t="shared" si="101"/>
        <v>39.952153110047846</v>
      </c>
      <c r="I1636" s="7">
        <f t="shared" si="102"/>
        <v>34.449760765550238</v>
      </c>
      <c r="J1636" s="7">
        <f t="shared" si="103"/>
        <v>11.961722488038278</v>
      </c>
      <c r="K1636" s="7">
        <f t="shared" si="104"/>
        <v>13.636363636363635</v>
      </c>
    </row>
    <row r="1637" spans="1:11" x14ac:dyDescent="0.35">
      <c r="A1637">
        <v>2023</v>
      </c>
      <c r="B1637">
        <v>3148608</v>
      </c>
      <c r="C1637" t="str">
        <f>VLOOKUP(B1637,SAEB!$A:$B,2,0)</f>
        <v>Peçanha</v>
      </c>
      <c r="D1637">
        <v>6</v>
      </c>
      <c r="E1637">
        <v>0</v>
      </c>
      <c r="F1637">
        <v>297</v>
      </c>
      <c r="G1637">
        <v>221</v>
      </c>
      <c r="H1637" s="7">
        <f t="shared" si="101"/>
        <v>1.1450381679389312</v>
      </c>
      <c r="I1637" s="7">
        <f t="shared" si="102"/>
        <v>0</v>
      </c>
      <c r="J1637" s="7">
        <f t="shared" si="103"/>
        <v>56.679389312977101</v>
      </c>
      <c r="K1637" s="7">
        <f t="shared" si="104"/>
        <v>42.175572519083971</v>
      </c>
    </row>
    <row r="1638" spans="1:11" x14ac:dyDescent="0.35">
      <c r="A1638">
        <v>2023</v>
      </c>
      <c r="B1638">
        <v>3148707</v>
      </c>
      <c r="C1638" t="str">
        <f>VLOOKUP(B1638,SAEB!$A:$B,2,0)</f>
        <v>Pedra Azul</v>
      </c>
      <c r="D1638">
        <v>1245</v>
      </c>
      <c r="E1638">
        <v>129</v>
      </c>
      <c r="F1638">
        <v>52</v>
      </c>
      <c r="G1638">
        <v>0</v>
      </c>
      <c r="H1638" s="7">
        <f t="shared" si="101"/>
        <v>87.307152875175319</v>
      </c>
      <c r="I1638" s="7">
        <f t="shared" si="102"/>
        <v>9.0462833099579232</v>
      </c>
      <c r="J1638" s="7">
        <f t="shared" si="103"/>
        <v>3.6465638148667603</v>
      </c>
      <c r="K1638" s="7">
        <f t="shared" si="104"/>
        <v>0</v>
      </c>
    </row>
    <row r="1639" spans="1:11" x14ac:dyDescent="0.35">
      <c r="A1639">
        <v>2023</v>
      </c>
      <c r="B1639">
        <v>3149952</v>
      </c>
      <c r="C1639" t="str">
        <f>VLOOKUP(B1639,SAEB!$A:$B,2,0)</f>
        <v>Periquito</v>
      </c>
      <c r="D1639">
        <v>495</v>
      </c>
      <c r="E1639">
        <v>431</v>
      </c>
      <c r="F1639">
        <v>0</v>
      </c>
      <c r="G1639">
        <v>0</v>
      </c>
      <c r="H1639" s="7">
        <f t="shared" si="101"/>
        <v>53.45572354211663</v>
      </c>
      <c r="I1639" s="7">
        <f t="shared" si="102"/>
        <v>46.54427645788337</v>
      </c>
      <c r="J1639" s="7">
        <f t="shared" si="103"/>
        <v>0</v>
      </c>
      <c r="K1639" s="7">
        <f t="shared" si="104"/>
        <v>0</v>
      </c>
    </row>
    <row r="1640" spans="1:11" x14ac:dyDescent="0.35">
      <c r="A1640">
        <v>2023</v>
      </c>
      <c r="B1640">
        <v>3150158</v>
      </c>
      <c r="C1640" t="str">
        <f>VLOOKUP(B1640,SAEB!$A:$B,2,0)</f>
        <v>Piedade de Caratinga</v>
      </c>
      <c r="D1640">
        <v>552</v>
      </c>
      <c r="E1640">
        <v>0</v>
      </c>
      <c r="F1640">
        <v>71</v>
      </c>
      <c r="G1640">
        <v>0</v>
      </c>
      <c r="H1640" s="7">
        <f t="shared" si="101"/>
        <v>88.603531300160512</v>
      </c>
      <c r="I1640" s="7">
        <f t="shared" si="102"/>
        <v>0</v>
      </c>
      <c r="J1640" s="7">
        <f t="shared" si="103"/>
        <v>11.396468699839486</v>
      </c>
      <c r="K1640" s="7">
        <f t="shared" si="104"/>
        <v>0</v>
      </c>
    </row>
    <row r="1641" spans="1:11" x14ac:dyDescent="0.35">
      <c r="A1641">
        <v>2023</v>
      </c>
      <c r="B1641">
        <v>3150570</v>
      </c>
      <c r="C1641" t="str">
        <f>VLOOKUP(B1641,SAEB!$A:$B,2,0)</f>
        <v>Pintópolis</v>
      </c>
      <c r="D1641">
        <v>344</v>
      </c>
      <c r="E1641">
        <v>0</v>
      </c>
      <c r="F1641">
        <v>77</v>
      </c>
      <c r="G1641">
        <v>0</v>
      </c>
      <c r="H1641" s="7">
        <f t="shared" si="101"/>
        <v>81.710213776722085</v>
      </c>
      <c r="I1641" s="7">
        <f t="shared" si="102"/>
        <v>0</v>
      </c>
      <c r="J1641" s="7">
        <f t="shared" si="103"/>
        <v>18.289786223277911</v>
      </c>
      <c r="K1641" s="7">
        <f t="shared" si="104"/>
        <v>0</v>
      </c>
    </row>
    <row r="1642" spans="1:11" x14ac:dyDescent="0.35">
      <c r="A1642">
        <v>2023</v>
      </c>
      <c r="B1642">
        <v>3151206</v>
      </c>
      <c r="C1642" t="str">
        <f>VLOOKUP(B1642,SAEB!$A:$B,2,0)</f>
        <v>Pirapora</v>
      </c>
      <c r="D1642">
        <v>2796</v>
      </c>
      <c r="E1642">
        <v>78</v>
      </c>
      <c r="F1642">
        <v>0</v>
      </c>
      <c r="G1642">
        <v>0</v>
      </c>
      <c r="H1642" s="7">
        <f t="shared" si="101"/>
        <v>97.28601252609603</v>
      </c>
      <c r="I1642" s="7">
        <f t="shared" si="102"/>
        <v>2.7139874739039667</v>
      </c>
      <c r="J1642" s="7">
        <f t="shared" si="103"/>
        <v>0</v>
      </c>
      <c r="K1642" s="7">
        <f t="shared" si="104"/>
        <v>0</v>
      </c>
    </row>
    <row r="1643" spans="1:11" x14ac:dyDescent="0.35">
      <c r="A1643">
        <v>2023</v>
      </c>
      <c r="B1643">
        <v>3152170</v>
      </c>
      <c r="C1643" t="str">
        <f>VLOOKUP(B1643,SAEB!$A:$B,2,0)</f>
        <v>Ponto dos Volantes</v>
      </c>
      <c r="D1643">
        <v>437</v>
      </c>
      <c r="E1643">
        <v>253</v>
      </c>
      <c r="F1643">
        <v>310</v>
      </c>
      <c r="G1643">
        <v>273</v>
      </c>
      <c r="H1643" s="7">
        <f t="shared" si="101"/>
        <v>34.328358208955223</v>
      </c>
      <c r="I1643" s="7">
        <f t="shared" si="102"/>
        <v>19.874312647289866</v>
      </c>
      <c r="J1643" s="7">
        <f t="shared" si="103"/>
        <v>24.351924587588375</v>
      </c>
      <c r="K1643" s="7">
        <f t="shared" si="104"/>
        <v>21.445404556166537</v>
      </c>
    </row>
    <row r="1644" spans="1:11" x14ac:dyDescent="0.35">
      <c r="A1644">
        <v>2023</v>
      </c>
      <c r="B1644">
        <v>3152402</v>
      </c>
      <c r="C1644" t="str">
        <f>VLOOKUP(B1644,SAEB!$A:$B,2,0)</f>
        <v>Poté</v>
      </c>
      <c r="D1644">
        <v>437</v>
      </c>
      <c r="E1644">
        <v>284</v>
      </c>
      <c r="F1644">
        <v>44</v>
      </c>
      <c r="G1644">
        <v>0</v>
      </c>
      <c r="H1644" s="7">
        <f t="shared" si="101"/>
        <v>57.124183006535944</v>
      </c>
      <c r="I1644" s="7">
        <f t="shared" si="102"/>
        <v>37.124183006535951</v>
      </c>
      <c r="J1644" s="7">
        <f t="shared" si="103"/>
        <v>5.7516339869281046</v>
      </c>
      <c r="K1644" s="7">
        <f t="shared" si="104"/>
        <v>0</v>
      </c>
    </row>
    <row r="1645" spans="1:11" x14ac:dyDescent="0.35">
      <c r="A1645">
        <v>2023</v>
      </c>
      <c r="B1645">
        <v>3153301</v>
      </c>
      <c r="C1645" t="str">
        <f>VLOOKUP(B1645,SAEB!$A:$B,2,0)</f>
        <v>Presidente Kubitschek</v>
      </c>
      <c r="D1645">
        <v>231</v>
      </c>
      <c r="E1645">
        <v>0</v>
      </c>
      <c r="F1645">
        <v>0</v>
      </c>
      <c r="G1645">
        <v>0</v>
      </c>
      <c r="H1645" s="7">
        <f t="shared" si="101"/>
        <v>100</v>
      </c>
      <c r="I1645" s="7">
        <f t="shared" si="102"/>
        <v>0</v>
      </c>
      <c r="J1645" s="7">
        <f t="shared" si="103"/>
        <v>0</v>
      </c>
      <c r="K1645" s="7">
        <f t="shared" si="104"/>
        <v>0</v>
      </c>
    </row>
    <row r="1646" spans="1:11" x14ac:dyDescent="0.35">
      <c r="A1646">
        <v>2023</v>
      </c>
      <c r="B1646">
        <v>3154309</v>
      </c>
      <c r="C1646" t="str">
        <f>VLOOKUP(B1646,SAEB!$A:$B,2,0)</f>
        <v>Resplendor</v>
      </c>
      <c r="D1646">
        <v>764</v>
      </c>
      <c r="E1646">
        <v>547</v>
      </c>
      <c r="F1646">
        <v>0</v>
      </c>
      <c r="G1646">
        <v>0</v>
      </c>
      <c r="H1646" s="7">
        <f t="shared" si="101"/>
        <v>58.276125095347062</v>
      </c>
      <c r="I1646" s="7">
        <f t="shared" si="102"/>
        <v>41.723874904652938</v>
      </c>
      <c r="J1646" s="7">
        <f t="shared" si="103"/>
        <v>0</v>
      </c>
      <c r="K1646" s="7">
        <f t="shared" si="104"/>
        <v>0</v>
      </c>
    </row>
    <row r="1647" spans="1:11" x14ac:dyDescent="0.35">
      <c r="A1647">
        <v>2023</v>
      </c>
      <c r="B1647">
        <v>3155108</v>
      </c>
      <c r="C1647" t="str">
        <f>VLOOKUP(B1647,SAEB!$A:$B,2,0)</f>
        <v>Rio do Prado</v>
      </c>
      <c r="D1647">
        <v>0</v>
      </c>
      <c r="E1647">
        <v>0</v>
      </c>
      <c r="F1647">
        <v>118</v>
      </c>
      <c r="G1647">
        <v>116</v>
      </c>
      <c r="H1647" s="7">
        <f t="shared" si="101"/>
        <v>0</v>
      </c>
      <c r="I1647" s="7">
        <f t="shared" si="102"/>
        <v>0</v>
      </c>
      <c r="J1647" s="7">
        <f t="shared" si="103"/>
        <v>50.427350427350426</v>
      </c>
      <c r="K1647" s="7">
        <f t="shared" si="104"/>
        <v>49.572649572649574</v>
      </c>
    </row>
    <row r="1648" spans="1:11" x14ac:dyDescent="0.35">
      <c r="A1648">
        <v>2023</v>
      </c>
      <c r="B1648">
        <v>3155603</v>
      </c>
      <c r="C1648" t="str">
        <f>VLOOKUP(B1648,SAEB!$A:$B,2,0)</f>
        <v>Rio Pardo de Minas</v>
      </c>
      <c r="D1648">
        <v>751</v>
      </c>
      <c r="E1648">
        <v>216</v>
      </c>
      <c r="F1648">
        <v>423</v>
      </c>
      <c r="G1648">
        <v>318</v>
      </c>
      <c r="H1648" s="7">
        <f t="shared" si="101"/>
        <v>43.969555035128806</v>
      </c>
      <c r="I1648" s="7">
        <f t="shared" si="102"/>
        <v>12.646370023419204</v>
      </c>
      <c r="J1648" s="7">
        <f t="shared" si="103"/>
        <v>24.765807962529273</v>
      </c>
      <c r="K1648" s="7">
        <f t="shared" si="104"/>
        <v>18.618266978922719</v>
      </c>
    </row>
    <row r="1649" spans="1:11" x14ac:dyDescent="0.35">
      <c r="A1649">
        <v>2023</v>
      </c>
      <c r="B1649">
        <v>3156502</v>
      </c>
      <c r="C1649" t="str">
        <f>VLOOKUP(B1649,SAEB!$A:$B,2,0)</f>
        <v>Rubelita</v>
      </c>
      <c r="D1649">
        <v>207</v>
      </c>
      <c r="E1649">
        <v>0</v>
      </c>
      <c r="F1649">
        <v>94</v>
      </c>
      <c r="G1649">
        <v>0</v>
      </c>
      <c r="H1649" s="7">
        <f t="shared" si="101"/>
        <v>68.770764119601324</v>
      </c>
      <c r="I1649" s="7">
        <f t="shared" si="102"/>
        <v>0</v>
      </c>
      <c r="J1649" s="7">
        <f t="shared" si="103"/>
        <v>31.229235880398669</v>
      </c>
      <c r="K1649" s="7">
        <f t="shared" si="104"/>
        <v>0</v>
      </c>
    </row>
    <row r="1650" spans="1:11" x14ac:dyDescent="0.35">
      <c r="A1650">
        <v>2023</v>
      </c>
      <c r="B1650">
        <v>3156601</v>
      </c>
      <c r="C1650" t="str">
        <f>VLOOKUP(B1650,SAEB!$A:$B,2,0)</f>
        <v>Rubim</v>
      </c>
      <c r="D1650">
        <v>403</v>
      </c>
      <c r="E1650">
        <v>386</v>
      </c>
      <c r="F1650">
        <v>64</v>
      </c>
      <c r="G1650">
        <v>0</v>
      </c>
      <c r="H1650" s="7">
        <f t="shared" si="101"/>
        <v>47.245017584994137</v>
      </c>
      <c r="I1650" s="7">
        <f t="shared" si="102"/>
        <v>45.252051582649472</v>
      </c>
      <c r="J1650" s="7">
        <f t="shared" si="103"/>
        <v>7.5029308323563884</v>
      </c>
      <c r="K1650" s="7">
        <f t="shared" si="104"/>
        <v>0</v>
      </c>
    </row>
    <row r="1651" spans="1:11" x14ac:dyDescent="0.35">
      <c r="A1651">
        <v>2023</v>
      </c>
      <c r="B1651">
        <v>3156809</v>
      </c>
      <c r="C1651" t="str">
        <f>VLOOKUP(B1651,SAEB!$A:$B,2,0)</f>
        <v>Sabinópolis</v>
      </c>
      <c r="D1651">
        <v>184</v>
      </c>
      <c r="E1651">
        <v>0</v>
      </c>
      <c r="F1651">
        <v>104</v>
      </c>
      <c r="G1651">
        <v>0</v>
      </c>
      <c r="H1651" s="7">
        <f t="shared" si="101"/>
        <v>63.888888888888886</v>
      </c>
      <c r="I1651" s="7">
        <f t="shared" si="102"/>
        <v>0</v>
      </c>
      <c r="J1651" s="7">
        <f t="shared" si="103"/>
        <v>36.111111111111107</v>
      </c>
      <c r="K1651" s="7">
        <f t="shared" si="104"/>
        <v>0</v>
      </c>
    </row>
    <row r="1652" spans="1:11" x14ac:dyDescent="0.35">
      <c r="A1652">
        <v>2023</v>
      </c>
      <c r="B1652">
        <v>3157005</v>
      </c>
      <c r="C1652" t="str">
        <f>VLOOKUP(B1652,SAEB!$A:$B,2,0)</f>
        <v>Salinas</v>
      </c>
      <c r="D1652">
        <v>1843</v>
      </c>
      <c r="E1652">
        <v>0</v>
      </c>
      <c r="F1652">
        <v>192</v>
      </c>
      <c r="G1652">
        <v>64</v>
      </c>
      <c r="H1652" s="7">
        <f t="shared" si="101"/>
        <v>87.803716055264417</v>
      </c>
      <c r="I1652" s="7">
        <f t="shared" si="102"/>
        <v>0</v>
      </c>
      <c r="J1652" s="7">
        <f t="shared" si="103"/>
        <v>9.147212958551691</v>
      </c>
      <c r="K1652" s="7">
        <f t="shared" si="104"/>
        <v>3.0490709861838972</v>
      </c>
    </row>
    <row r="1653" spans="1:11" x14ac:dyDescent="0.35">
      <c r="A1653">
        <v>2023</v>
      </c>
      <c r="B1653">
        <v>3157104</v>
      </c>
      <c r="C1653" t="str">
        <f>VLOOKUP(B1653,SAEB!$A:$B,2,0)</f>
        <v>Salto da Divisa</v>
      </c>
      <c r="D1653">
        <v>396</v>
      </c>
      <c r="E1653">
        <v>0</v>
      </c>
      <c r="F1653">
        <v>15</v>
      </c>
      <c r="G1653">
        <v>0</v>
      </c>
      <c r="H1653" s="7">
        <f t="shared" si="101"/>
        <v>96.350364963503651</v>
      </c>
      <c r="I1653" s="7">
        <f t="shared" si="102"/>
        <v>0</v>
      </c>
      <c r="J1653" s="7">
        <f t="shared" si="103"/>
        <v>3.6496350364963499</v>
      </c>
      <c r="K1653" s="7">
        <f t="shared" si="104"/>
        <v>0</v>
      </c>
    </row>
    <row r="1654" spans="1:11" x14ac:dyDescent="0.35">
      <c r="A1654">
        <v>2023</v>
      </c>
      <c r="B1654">
        <v>3157252</v>
      </c>
      <c r="C1654" t="str">
        <f>VLOOKUP(B1654,SAEB!$A:$B,2,0)</f>
        <v>Santa Bárbara do Leste</v>
      </c>
      <c r="D1654">
        <v>309</v>
      </c>
      <c r="E1654">
        <v>46</v>
      </c>
      <c r="F1654">
        <v>188</v>
      </c>
      <c r="G1654">
        <v>73</v>
      </c>
      <c r="H1654" s="7">
        <f t="shared" si="101"/>
        <v>50.162337662337663</v>
      </c>
      <c r="I1654" s="7">
        <f t="shared" si="102"/>
        <v>7.4675324675324672</v>
      </c>
      <c r="J1654" s="7">
        <f t="shared" si="103"/>
        <v>30.519480519480517</v>
      </c>
      <c r="K1654" s="7">
        <f t="shared" si="104"/>
        <v>11.85064935064935</v>
      </c>
    </row>
    <row r="1655" spans="1:11" x14ac:dyDescent="0.35">
      <c r="A1655">
        <v>2023</v>
      </c>
      <c r="B1655">
        <v>3157377</v>
      </c>
      <c r="C1655" t="str">
        <f>VLOOKUP(B1655,SAEB!$A:$B,2,0)</f>
        <v>Santa Cruz de Salinas</v>
      </c>
      <c r="D1655">
        <v>134</v>
      </c>
      <c r="E1655">
        <v>0</v>
      </c>
      <c r="F1655">
        <v>88</v>
      </c>
      <c r="G1655">
        <v>21</v>
      </c>
      <c r="H1655" s="7">
        <f t="shared" si="101"/>
        <v>55.144032921810705</v>
      </c>
      <c r="I1655" s="7">
        <f t="shared" si="102"/>
        <v>0</v>
      </c>
      <c r="J1655" s="7">
        <f t="shared" si="103"/>
        <v>36.213991769547327</v>
      </c>
      <c r="K1655" s="7">
        <f t="shared" si="104"/>
        <v>8.6419753086419746</v>
      </c>
    </row>
    <row r="1656" spans="1:11" x14ac:dyDescent="0.35">
      <c r="A1656">
        <v>2023</v>
      </c>
      <c r="B1656">
        <v>3157500</v>
      </c>
      <c r="C1656" t="str">
        <f>VLOOKUP(B1656,SAEB!$A:$B,2,0)</f>
        <v>Santa Efigênia de Minas</v>
      </c>
      <c r="D1656">
        <v>253</v>
      </c>
      <c r="E1656">
        <v>0</v>
      </c>
      <c r="F1656">
        <v>29</v>
      </c>
      <c r="G1656">
        <v>0</v>
      </c>
      <c r="H1656" s="7">
        <f t="shared" si="101"/>
        <v>89.716312056737593</v>
      </c>
      <c r="I1656" s="7">
        <f t="shared" si="102"/>
        <v>0</v>
      </c>
      <c r="J1656" s="7">
        <f t="shared" si="103"/>
        <v>10.283687943262411</v>
      </c>
      <c r="K1656" s="7">
        <f t="shared" si="104"/>
        <v>0</v>
      </c>
    </row>
    <row r="1657" spans="1:11" x14ac:dyDescent="0.35">
      <c r="A1657">
        <v>2023</v>
      </c>
      <c r="B1657">
        <v>3157658</v>
      </c>
      <c r="C1657" t="str">
        <f>VLOOKUP(B1657,SAEB!$A:$B,2,0)</f>
        <v>Santa Helena de Minas</v>
      </c>
      <c r="D1657">
        <v>202</v>
      </c>
      <c r="E1657">
        <v>47</v>
      </c>
      <c r="F1657">
        <v>0</v>
      </c>
      <c r="G1657">
        <v>0</v>
      </c>
      <c r="H1657" s="7">
        <f t="shared" si="101"/>
        <v>81.124497991967871</v>
      </c>
      <c r="I1657" s="7">
        <f t="shared" si="102"/>
        <v>18.875502008032129</v>
      </c>
      <c r="J1657" s="7">
        <f t="shared" si="103"/>
        <v>0</v>
      </c>
      <c r="K1657" s="7">
        <f t="shared" si="104"/>
        <v>0</v>
      </c>
    </row>
    <row r="1658" spans="1:11" x14ac:dyDescent="0.35">
      <c r="A1658">
        <v>2023</v>
      </c>
      <c r="B1658">
        <v>3158201</v>
      </c>
      <c r="C1658" t="str">
        <f>VLOOKUP(B1658,SAEB!$A:$B,2,0)</f>
        <v>Santa Maria do Suaçuí</v>
      </c>
      <c r="D1658">
        <v>308</v>
      </c>
      <c r="E1658">
        <v>13</v>
      </c>
      <c r="F1658">
        <v>41</v>
      </c>
      <c r="G1658">
        <v>0</v>
      </c>
      <c r="H1658" s="7">
        <f t="shared" si="101"/>
        <v>85.082872928176798</v>
      </c>
      <c r="I1658" s="7">
        <f t="shared" si="102"/>
        <v>3.5911602209944751</v>
      </c>
      <c r="J1658" s="7">
        <f t="shared" si="103"/>
        <v>11.325966850828729</v>
      </c>
      <c r="K1658" s="7">
        <f t="shared" si="104"/>
        <v>0</v>
      </c>
    </row>
    <row r="1659" spans="1:11" x14ac:dyDescent="0.35">
      <c r="A1659">
        <v>2023</v>
      </c>
      <c r="B1659">
        <v>3159357</v>
      </c>
      <c r="C1659" t="str">
        <f>VLOOKUP(B1659,SAEB!$A:$B,2,0)</f>
        <v>Santa Rita de Minas</v>
      </c>
      <c r="D1659">
        <v>403</v>
      </c>
      <c r="E1659">
        <v>0</v>
      </c>
      <c r="F1659">
        <v>43</v>
      </c>
      <c r="G1659">
        <v>0</v>
      </c>
      <c r="H1659" s="7">
        <f t="shared" si="101"/>
        <v>90.358744394618839</v>
      </c>
      <c r="I1659" s="7">
        <f t="shared" si="102"/>
        <v>0</v>
      </c>
      <c r="J1659" s="7">
        <f t="shared" si="103"/>
        <v>9.6412556053811667</v>
      </c>
      <c r="K1659" s="7">
        <f t="shared" si="104"/>
        <v>0</v>
      </c>
    </row>
    <row r="1660" spans="1:11" x14ac:dyDescent="0.35">
      <c r="A1660">
        <v>2023</v>
      </c>
      <c r="B1660">
        <v>3159506</v>
      </c>
      <c r="C1660" t="str">
        <f>VLOOKUP(B1660,SAEB!$A:$B,2,0)</f>
        <v>Santa Rita do Itueto</v>
      </c>
      <c r="D1660">
        <v>126</v>
      </c>
      <c r="E1660">
        <v>0</v>
      </c>
      <c r="F1660">
        <v>250</v>
      </c>
      <c r="G1660">
        <v>92</v>
      </c>
      <c r="H1660" s="7">
        <f t="shared" si="101"/>
        <v>26.923076923076923</v>
      </c>
      <c r="I1660" s="7">
        <f t="shared" si="102"/>
        <v>0</v>
      </c>
      <c r="J1660" s="7">
        <f t="shared" si="103"/>
        <v>53.418803418803421</v>
      </c>
      <c r="K1660" s="7">
        <f t="shared" si="104"/>
        <v>19.658119658119659</v>
      </c>
    </row>
    <row r="1661" spans="1:11" x14ac:dyDescent="0.35">
      <c r="A1661">
        <v>2023</v>
      </c>
      <c r="B1661">
        <v>3160454</v>
      </c>
      <c r="C1661" t="str">
        <f>VLOOKUP(B1661,SAEB!$A:$B,2,0)</f>
        <v>Santo Antônio do Retiro</v>
      </c>
      <c r="D1661">
        <v>284</v>
      </c>
      <c r="E1661">
        <v>179</v>
      </c>
      <c r="F1661">
        <v>110</v>
      </c>
      <c r="G1661">
        <v>136</v>
      </c>
      <c r="H1661" s="7">
        <f t="shared" si="101"/>
        <v>40.056417489421719</v>
      </c>
      <c r="I1661" s="7">
        <f t="shared" si="102"/>
        <v>25.246826516220029</v>
      </c>
      <c r="J1661" s="7">
        <f t="shared" si="103"/>
        <v>15.514809590973202</v>
      </c>
      <c r="K1661" s="7">
        <f t="shared" si="104"/>
        <v>19.181946403385052</v>
      </c>
    </row>
    <row r="1662" spans="1:11" x14ac:dyDescent="0.35">
      <c r="A1662">
        <v>2023</v>
      </c>
      <c r="B1662">
        <v>3160603</v>
      </c>
      <c r="C1662" t="str">
        <f>VLOOKUP(B1662,SAEB!$A:$B,2,0)</f>
        <v>Santo Hipólito</v>
      </c>
      <c r="D1662">
        <v>145</v>
      </c>
      <c r="E1662">
        <v>0</v>
      </c>
      <c r="F1662">
        <v>6</v>
      </c>
      <c r="G1662">
        <v>0</v>
      </c>
      <c r="H1662" s="7">
        <f t="shared" si="101"/>
        <v>96.026490066225165</v>
      </c>
      <c r="I1662" s="7">
        <f t="shared" si="102"/>
        <v>0</v>
      </c>
      <c r="J1662" s="7">
        <f t="shared" si="103"/>
        <v>3.9735099337748347</v>
      </c>
      <c r="K1662" s="7">
        <f t="shared" si="104"/>
        <v>0</v>
      </c>
    </row>
    <row r="1663" spans="1:11" x14ac:dyDescent="0.35">
      <c r="A1663">
        <v>2023</v>
      </c>
      <c r="B1663">
        <v>3160959</v>
      </c>
      <c r="C1663" t="str">
        <f>VLOOKUP(B1663,SAEB!$A:$B,2,0)</f>
        <v>São Domingos das Dores</v>
      </c>
      <c r="D1663">
        <v>266</v>
      </c>
      <c r="E1663">
        <v>0</v>
      </c>
      <c r="F1663">
        <v>141</v>
      </c>
      <c r="G1663">
        <v>148</v>
      </c>
      <c r="H1663" s="7">
        <f t="shared" si="101"/>
        <v>47.927927927927925</v>
      </c>
      <c r="I1663" s="7">
        <f t="shared" si="102"/>
        <v>0</v>
      </c>
      <c r="J1663" s="7">
        <f t="shared" si="103"/>
        <v>25.405405405405407</v>
      </c>
      <c r="K1663" s="7">
        <f t="shared" si="104"/>
        <v>26.666666666666668</v>
      </c>
    </row>
    <row r="1664" spans="1:11" x14ac:dyDescent="0.35">
      <c r="A1664">
        <v>2023</v>
      </c>
      <c r="B1664">
        <v>3161601</v>
      </c>
      <c r="C1664" t="str">
        <f>VLOOKUP(B1664,SAEB!$A:$B,2,0)</f>
        <v>São Geraldo da Piedade</v>
      </c>
      <c r="D1664">
        <v>86</v>
      </c>
      <c r="E1664">
        <v>0</v>
      </c>
      <c r="F1664">
        <v>119</v>
      </c>
      <c r="G1664">
        <v>56</v>
      </c>
      <c r="H1664" s="7">
        <f t="shared" si="101"/>
        <v>32.950191570881223</v>
      </c>
      <c r="I1664" s="7">
        <f t="shared" si="102"/>
        <v>0</v>
      </c>
      <c r="J1664" s="7">
        <f t="shared" si="103"/>
        <v>45.593869731800766</v>
      </c>
      <c r="K1664" s="7">
        <f t="shared" si="104"/>
        <v>21.455938697318008</v>
      </c>
    </row>
    <row r="1665" spans="1:11" x14ac:dyDescent="0.35">
      <c r="A1665">
        <v>2023</v>
      </c>
      <c r="B1665">
        <v>3125507</v>
      </c>
      <c r="C1665" t="str">
        <f>VLOOKUP(B1665,SAEB!$A:$B,2,0)</f>
        <v>São Gonçalo do Rio Preto</v>
      </c>
      <c r="D1665">
        <v>149</v>
      </c>
      <c r="E1665">
        <v>0</v>
      </c>
      <c r="F1665">
        <v>0</v>
      </c>
      <c r="G1665">
        <v>0</v>
      </c>
      <c r="H1665" s="7">
        <f t="shared" si="101"/>
        <v>100</v>
      </c>
      <c r="I1665" s="7">
        <f t="shared" si="102"/>
        <v>0</v>
      </c>
      <c r="J1665" s="7">
        <f t="shared" si="103"/>
        <v>0</v>
      </c>
      <c r="K1665" s="7">
        <f t="shared" si="104"/>
        <v>0</v>
      </c>
    </row>
    <row r="1666" spans="1:11" x14ac:dyDescent="0.35">
      <c r="A1666">
        <v>2023</v>
      </c>
      <c r="B1666">
        <v>3162252</v>
      </c>
      <c r="C1666" t="str">
        <f>VLOOKUP(B1666,SAEB!$A:$B,2,0)</f>
        <v>São João da Lagoa</v>
      </c>
      <c r="D1666">
        <v>247</v>
      </c>
      <c r="E1666">
        <v>0</v>
      </c>
      <c r="F1666">
        <v>49</v>
      </c>
      <c r="G1666">
        <v>63</v>
      </c>
      <c r="H1666" s="7">
        <f t="shared" si="101"/>
        <v>68.80222841225627</v>
      </c>
      <c r="I1666" s="7">
        <f t="shared" si="102"/>
        <v>0</v>
      </c>
      <c r="J1666" s="7">
        <f t="shared" si="103"/>
        <v>13.649025069637883</v>
      </c>
      <c r="K1666" s="7">
        <f t="shared" si="104"/>
        <v>17.548746518105848</v>
      </c>
    </row>
    <row r="1667" spans="1:11" x14ac:dyDescent="0.35">
      <c r="A1667">
        <v>2023</v>
      </c>
      <c r="B1667">
        <v>3162401</v>
      </c>
      <c r="C1667" t="str">
        <f>VLOOKUP(B1667,SAEB!$A:$B,2,0)</f>
        <v>São João da Ponte</v>
      </c>
      <c r="D1667">
        <v>737</v>
      </c>
      <c r="E1667">
        <v>322</v>
      </c>
      <c r="F1667">
        <v>659</v>
      </c>
      <c r="G1667">
        <v>1030</v>
      </c>
      <c r="H1667" s="7">
        <f t="shared" ref="H1667:H1730" si="105">D1667/SUM($D1667:$G1667)*100</f>
        <v>26.819505094614264</v>
      </c>
      <c r="I1667" s="7">
        <f t="shared" ref="I1667:I1730" si="106">E1667/SUM($D1667:$G1667)*100</f>
        <v>11.717612809315867</v>
      </c>
      <c r="J1667" s="7">
        <f t="shared" ref="J1667:J1730" si="107">F1667/SUM($D1667:$G1667)*100</f>
        <v>23.981077147016013</v>
      </c>
      <c r="K1667" s="7">
        <f t="shared" ref="K1667:K1730" si="108">G1667/SUM($D1667:$G1667)*100</f>
        <v>37.48180494905386</v>
      </c>
    </row>
    <row r="1668" spans="1:11" x14ac:dyDescent="0.35">
      <c r="A1668">
        <v>2023</v>
      </c>
      <c r="B1668">
        <v>3162575</v>
      </c>
      <c r="C1668" t="str">
        <f>VLOOKUP(B1668,SAEB!$A:$B,2,0)</f>
        <v>São João do Manteninha</v>
      </c>
      <c r="D1668">
        <v>214</v>
      </c>
      <c r="E1668">
        <v>0</v>
      </c>
      <c r="F1668">
        <v>117</v>
      </c>
      <c r="G1668">
        <v>0</v>
      </c>
      <c r="H1668" s="7">
        <f t="shared" si="105"/>
        <v>64.652567975830806</v>
      </c>
      <c r="I1668" s="7">
        <f t="shared" si="106"/>
        <v>0</v>
      </c>
      <c r="J1668" s="7">
        <f t="shared" si="107"/>
        <v>35.347432024169187</v>
      </c>
      <c r="K1668" s="7">
        <f t="shared" si="108"/>
        <v>0</v>
      </c>
    </row>
    <row r="1669" spans="1:11" x14ac:dyDescent="0.35">
      <c r="A1669">
        <v>2023</v>
      </c>
      <c r="B1669">
        <v>3162807</v>
      </c>
      <c r="C1669" t="str">
        <f>VLOOKUP(B1669,SAEB!$A:$B,2,0)</f>
        <v>São João Evangelista</v>
      </c>
      <c r="D1669">
        <v>782</v>
      </c>
      <c r="E1669">
        <v>0</v>
      </c>
      <c r="F1669">
        <v>82</v>
      </c>
      <c r="G1669">
        <v>44</v>
      </c>
      <c r="H1669" s="7">
        <f t="shared" si="105"/>
        <v>86.123348017621154</v>
      </c>
      <c r="I1669" s="7">
        <f t="shared" si="106"/>
        <v>0</v>
      </c>
      <c r="J1669" s="7">
        <f t="shared" si="107"/>
        <v>9.030837004405285</v>
      </c>
      <c r="K1669" s="7">
        <f t="shared" si="108"/>
        <v>4.8458149779735686</v>
      </c>
    </row>
    <row r="1670" spans="1:11" x14ac:dyDescent="0.35">
      <c r="A1670">
        <v>2023</v>
      </c>
      <c r="B1670">
        <v>3163508</v>
      </c>
      <c r="C1670" t="str">
        <f>VLOOKUP(B1670,SAEB!$A:$B,2,0)</f>
        <v>São José do Jacuri</v>
      </c>
      <c r="D1670">
        <v>212</v>
      </c>
      <c r="E1670">
        <v>0</v>
      </c>
      <c r="F1670">
        <v>131</v>
      </c>
      <c r="G1670">
        <v>112</v>
      </c>
      <c r="H1670" s="7">
        <f t="shared" si="105"/>
        <v>46.593406593406591</v>
      </c>
      <c r="I1670" s="7">
        <f t="shared" si="106"/>
        <v>0</v>
      </c>
      <c r="J1670" s="7">
        <f t="shared" si="107"/>
        <v>28.791208791208788</v>
      </c>
      <c r="K1670" s="7">
        <f t="shared" si="108"/>
        <v>24.615384615384617</v>
      </c>
    </row>
    <row r="1671" spans="1:11" x14ac:dyDescent="0.35">
      <c r="A1671">
        <v>2023</v>
      </c>
      <c r="B1671">
        <v>3164100</v>
      </c>
      <c r="C1671" t="str">
        <f>VLOOKUP(B1671,SAEB!$A:$B,2,0)</f>
        <v>São Pedro do Suaçuí</v>
      </c>
      <c r="D1671">
        <v>196</v>
      </c>
      <c r="E1671">
        <v>0</v>
      </c>
      <c r="F1671">
        <v>45</v>
      </c>
      <c r="G1671">
        <v>0</v>
      </c>
      <c r="H1671" s="7">
        <f t="shared" si="105"/>
        <v>81.327800829875514</v>
      </c>
      <c r="I1671" s="7">
        <f t="shared" si="106"/>
        <v>0</v>
      </c>
      <c r="J1671" s="7">
        <f t="shared" si="107"/>
        <v>18.672199170124482</v>
      </c>
      <c r="K1671" s="7">
        <f t="shared" si="108"/>
        <v>0</v>
      </c>
    </row>
    <row r="1672" spans="1:11" x14ac:dyDescent="0.35">
      <c r="A1672">
        <v>2023</v>
      </c>
      <c r="B1672">
        <v>3164472</v>
      </c>
      <c r="C1672" t="str">
        <f>VLOOKUP(B1672,SAEB!$A:$B,2,0)</f>
        <v>São Sebastião do Anta</v>
      </c>
      <c r="D1672">
        <v>396</v>
      </c>
      <c r="E1672">
        <v>311</v>
      </c>
      <c r="F1672">
        <v>0</v>
      </c>
      <c r="G1672">
        <v>0</v>
      </c>
      <c r="H1672" s="7">
        <f t="shared" si="105"/>
        <v>56.011315417256014</v>
      </c>
      <c r="I1672" s="7">
        <f t="shared" si="106"/>
        <v>43.988684582743986</v>
      </c>
      <c r="J1672" s="7">
        <f t="shared" si="107"/>
        <v>0</v>
      </c>
      <c r="K1672" s="7">
        <f t="shared" si="108"/>
        <v>0</v>
      </c>
    </row>
    <row r="1673" spans="1:11" x14ac:dyDescent="0.35">
      <c r="A1673">
        <v>2023</v>
      </c>
      <c r="B1673">
        <v>3165503</v>
      </c>
      <c r="C1673" t="str">
        <f>VLOOKUP(B1673,SAEB!$A:$B,2,0)</f>
        <v>Sardoá</v>
      </c>
      <c r="D1673">
        <v>214</v>
      </c>
      <c r="E1673">
        <v>0</v>
      </c>
      <c r="F1673">
        <v>118</v>
      </c>
      <c r="G1673">
        <v>94</v>
      </c>
      <c r="H1673" s="7">
        <f t="shared" si="105"/>
        <v>50.23474178403756</v>
      </c>
      <c r="I1673" s="7">
        <f t="shared" si="106"/>
        <v>0</v>
      </c>
      <c r="J1673" s="7">
        <f t="shared" si="107"/>
        <v>27.699530516431924</v>
      </c>
      <c r="K1673" s="7">
        <f t="shared" si="108"/>
        <v>22.065727699530516</v>
      </c>
    </row>
    <row r="1674" spans="1:11" x14ac:dyDescent="0.35">
      <c r="A1674">
        <v>2023</v>
      </c>
      <c r="B1674">
        <v>3165909</v>
      </c>
      <c r="C1674" t="str">
        <f>VLOOKUP(B1674,SAEB!$A:$B,2,0)</f>
        <v>Senador Modestino Gonçalves</v>
      </c>
      <c r="D1674">
        <v>168</v>
      </c>
      <c r="E1674">
        <v>0</v>
      </c>
      <c r="F1674">
        <v>47</v>
      </c>
      <c r="G1674">
        <v>0</v>
      </c>
      <c r="H1674" s="7">
        <f t="shared" si="105"/>
        <v>78.139534883720927</v>
      </c>
      <c r="I1674" s="7">
        <f t="shared" si="106"/>
        <v>0</v>
      </c>
      <c r="J1674" s="7">
        <f t="shared" si="107"/>
        <v>21.86046511627907</v>
      </c>
      <c r="K1674" s="7">
        <f t="shared" si="108"/>
        <v>0</v>
      </c>
    </row>
    <row r="1675" spans="1:11" x14ac:dyDescent="0.35">
      <c r="A1675">
        <v>2023</v>
      </c>
      <c r="B1675">
        <v>3166105</v>
      </c>
      <c r="C1675" t="str">
        <f>VLOOKUP(B1675,SAEB!$A:$B,2,0)</f>
        <v>Senhora do Porto</v>
      </c>
      <c r="D1675">
        <v>171</v>
      </c>
      <c r="E1675">
        <v>0</v>
      </c>
      <c r="F1675">
        <v>17</v>
      </c>
      <c r="G1675">
        <v>0</v>
      </c>
      <c r="H1675" s="7">
        <f t="shared" si="105"/>
        <v>90.957446808510639</v>
      </c>
      <c r="I1675" s="7">
        <f t="shared" si="106"/>
        <v>0</v>
      </c>
      <c r="J1675" s="7">
        <f t="shared" si="107"/>
        <v>9.0425531914893629</v>
      </c>
      <c r="K1675" s="7">
        <f t="shared" si="108"/>
        <v>0</v>
      </c>
    </row>
    <row r="1676" spans="1:11" x14ac:dyDescent="0.35">
      <c r="A1676">
        <v>2023</v>
      </c>
      <c r="B1676">
        <v>3166709</v>
      </c>
      <c r="C1676" t="str">
        <f>VLOOKUP(B1676,SAEB!$A:$B,2,0)</f>
        <v>Serra dos Aimorés</v>
      </c>
      <c r="D1676">
        <v>250</v>
      </c>
      <c r="E1676">
        <v>0</v>
      </c>
      <c r="F1676">
        <v>88</v>
      </c>
      <c r="G1676">
        <v>0</v>
      </c>
      <c r="H1676" s="7">
        <f t="shared" si="105"/>
        <v>73.964497041420117</v>
      </c>
      <c r="I1676" s="7">
        <f t="shared" si="106"/>
        <v>0</v>
      </c>
      <c r="J1676" s="7">
        <f t="shared" si="107"/>
        <v>26.035502958579883</v>
      </c>
      <c r="K1676" s="7">
        <f t="shared" si="108"/>
        <v>0</v>
      </c>
    </row>
    <row r="1677" spans="1:11" x14ac:dyDescent="0.35">
      <c r="A1677">
        <v>2023</v>
      </c>
      <c r="B1677">
        <v>3166956</v>
      </c>
      <c r="C1677" t="str">
        <f>VLOOKUP(B1677,SAEB!$A:$B,2,0)</f>
        <v>Serranópolis de Minas</v>
      </c>
      <c r="D1677">
        <v>145</v>
      </c>
      <c r="E1677">
        <v>0</v>
      </c>
      <c r="F1677">
        <v>108</v>
      </c>
      <c r="G1677">
        <v>86</v>
      </c>
      <c r="H1677" s="7">
        <f t="shared" si="105"/>
        <v>42.772861356932154</v>
      </c>
      <c r="I1677" s="7">
        <f t="shared" si="106"/>
        <v>0</v>
      </c>
      <c r="J1677" s="7">
        <f t="shared" si="107"/>
        <v>31.858407079646017</v>
      </c>
      <c r="K1677" s="7">
        <f t="shared" si="108"/>
        <v>25.368731563421832</v>
      </c>
    </row>
    <row r="1678" spans="1:11" x14ac:dyDescent="0.35">
      <c r="A1678">
        <v>2023</v>
      </c>
      <c r="B1678">
        <v>3168002</v>
      </c>
      <c r="C1678" t="str">
        <f>VLOOKUP(B1678,SAEB!$A:$B,2,0)</f>
        <v>Taiobeiras</v>
      </c>
      <c r="D1678">
        <v>1751</v>
      </c>
      <c r="E1678">
        <v>144</v>
      </c>
      <c r="F1678">
        <v>105</v>
      </c>
      <c r="G1678">
        <v>88</v>
      </c>
      <c r="H1678" s="7">
        <f t="shared" si="105"/>
        <v>83.86015325670499</v>
      </c>
      <c r="I1678" s="7">
        <f t="shared" si="106"/>
        <v>6.8965517241379306</v>
      </c>
      <c r="J1678" s="7">
        <f t="shared" si="107"/>
        <v>5.0287356321839081</v>
      </c>
      <c r="K1678" s="7">
        <f t="shared" si="108"/>
        <v>4.2145593869731801</v>
      </c>
    </row>
    <row r="1679" spans="1:11" x14ac:dyDescent="0.35">
      <c r="A1679">
        <v>2023</v>
      </c>
      <c r="B1679">
        <v>3168051</v>
      </c>
      <c r="C1679" t="str">
        <f>VLOOKUP(B1679,SAEB!$A:$B,2,0)</f>
        <v>Taparuba</v>
      </c>
      <c r="D1679">
        <v>181</v>
      </c>
      <c r="E1679">
        <v>48</v>
      </c>
      <c r="F1679">
        <v>36</v>
      </c>
      <c r="G1679">
        <v>0</v>
      </c>
      <c r="H1679" s="7">
        <f t="shared" si="105"/>
        <v>68.301886792452819</v>
      </c>
      <c r="I1679" s="7">
        <f t="shared" si="106"/>
        <v>18.113207547169811</v>
      </c>
      <c r="J1679" s="7">
        <f t="shared" si="107"/>
        <v>13.584905660377359</v>
      </c>
      <c r="K1679" s="7">
        <f t="shared" si="108"/>
        <v>0</v>
      </c>
    </row>
    <row r="1680" spans="1:11" x14ac:dyDescent="0.35">
      <c r="A1680">
        <v>2023</v>
      </c>
      <c r="B1680">
        <v>3168408</v>
      </c>
      <c r="C1680" t="str">
        <f>VLOOKUP(B1680,SAEB!$A:$B,2,0)</f>
        <v>Tarumirim</v>
      </c>
      <c r="D1680">
        <v>162</v>
      </c>
      <c r="E1680">
        <v>77</v>
      </c>
      <c r="F1680">
        <v>12</v>
      </c>
      <c r="G1680">
        <v>0</v>
      </c>
      <c r="H1680" s="7">
        <f t="shared" si="105"/>
        <v>64.541832669322702</v>
      </c>
      <c r="I1680" s="7">
        <f t="shared" si="106"/>
        <v>30.677290836653388</v>
      </c>
      <c r="J1680" s="7">
        <f t="shared" si="107"/>
        <v>4.7808764940239046</v>
      </c>
      <c r="K1680" s="7">
        <f t="shared" si="108"/>
        <v>0</v>
      </c>
    </row>
    <row r="1681" spans="1:11" x14ac:dyDescent="0.35">
      <c r="A1681">
        <v>2023</v>
      </c>
      <c r="B1681">
        <v>3168606</v>
      </c>
      <c r="C1681" t="str">
        <f>VLOOKUP(B1681,SAEB!$A:$B,2,0)</f>
        <v>Teófilo Otoni</v>
      </c>
      <c r="D1681">
        <v>3126</v>
      </c>
      <c r="E1681">
        <v>1681</v>
      </c>
      <c r="F1681">
        <v>618</v>
      </c>
      <c r="G1681">
        <v>176</v>
      </c>
      <c r="H1681" s="7">
        <f t="shared" si="105"/>
        <v>55.811462238885909</v>
      </c>
      <c r="I1681" s="7">
        <f t="shared" si="106"/>
        <v>30.01249776825567</v>
      </c>
      <c r="J1681" s="7">
        <f t="shared" si="107"/>
        <v>11.033743974290305</v>
      </c>
      <c r="K1681" s="7">
        <f t="shared" si="108"/>
        <v>3.1422960185681128</v>
      </c>
    </row>
    <row r="1682" spans="1:11" x14ac:dyDescent="0.35">
      <c r="A1682">
        <v>2023</v>
      </c>
      <c r="B1682">
        <v>3169505</v>
      </c>
      <c r="C1682" t="str">
        <f>VLOOKUP(B1682,SAEB!$A:$B,2,0)</f>
        <v>Tumiritinga</v>
      </c>
      <c r="D1682">
        <v>349</v>
      </c>
      <c r="E1682">
        <v>0</v>
      </c>
      <c r="F1682">
        <v>13</v>
      </c>
      <c r="G1682">
        <v>0</v>
      </c>
      <c r="H1682" s="7">
        <f t="shared" si="105"/>
        <v>96.408839779005532</v>
      </c>
      <c r="I1682" s="7">
        <f t="shared" si="106"/>
        <v>0</v>
      </c>
      <c r="J1682" s="7">
        <f t="shared" si="107"/>
        <v>3.5911602209944751</v>
      </c>
      <c r="K1682" s="7">
        <f t="shared" si="108"/>
        <v>0</v>
      </c>
    </row>
    <row r="1683" spans="1:11" x14ac:dyDescent="0.35">
      <c r="A1683">
        <v>2023</v>
      </c>
      <c r="B1683">
        <v>3169703</v>
      </c>
      <c r="C1683" t="str">
        <f>VLOOKUP(B1683,SAEB!$A:$B,2,0)</f>
        <v>Turmalina</v>
      </c>
      <c r="D1683">
        <v>373</v>
      </c>
      <c r="E1683">
        <v>0</v>
      </c>
      <c r="F1683">
        <v>126</v>
      </c>
      <c r="G1683">
        <v>111</v>
      </c>
      <c r="H1683" s="7">
        <f t="shared" si="105"/>
        <v>61.147540983606554</v>
      </c>
      <c r="I1683" s="7">
        <f t="shared" si="106"/>
        <v>0</v>
      </c>
      <c r="J1683" s="7">
        <f t="shared" si="107"/>
        <v>20.655737704918035</v>
      </c>
      <c r="K1683" s="7">
        <f t="shared" si="108"/>
        <v>18.196721311475411</v>
      </c>
    </row>
    <row r="1684" spans="1:11" x14ac:dyDescent="0.35">
      <c r="A1684">
        <v>2023</v>
      </c>
      <c r="B1684">
        <v>3170057</v>
      </c>
      <c r="C1684" t="str">
        <f>VLOOKUP(B1684,SAEB!$A:$B,2,0)</f>
        <v>Ubaporanga</v>
      </c>
      <c r="D1684">
        <v>396</v>
      </c>
      <c r="E1684">
        <v>0</v>
      </c>
      <c r="F1684">
        <v>72</v>
      </c>
      <c r="G1684">
        <v>0</v>
      </c>
      <c r="H1684" s="7">
        <f t="shared" si="105"/>
        <v>84.615384615384613</v>
      </c>
      <c r="I1684" s="7">
        <f t="shared" si="106"/>
        <v>0</v>
      </c>
      <c r="J1684" s="7">
        <f t="shared" si="107"/>
        <v>15.384615384615385</v>
      </c>
      <c r="K1684" s="7">
        <f t="shared" si="108"/>
        <v>0</v>
      </c>
    </row>
    <row r="1685" spans="1:11" x14ac:dyDescent="0.35">
      <c r="A1685">
        <v>2023</v>
      </c>
      <c r="B1685">
        <v>3170305</v>
      </c>
      <c r="C1685" t="str">
        <f>VLOOKUP(B1685,SAEB!$A:$B,2,0)</f>
        <v>Umburatiba</v>
      </c>
      <c r="D1685">
        <v>130</v>
      </c>
      <c r="E1685">
        <v>0</v>
      </c>
      <c r="F1685">
        <v>51</v>
      </c>
      <c r="G1685">
        <v>61</v>
      </c>
      <c r="H1685" s="7">
        <f t="shared" si="105"/>
        <v>53.719008264462808</v>
      </c>
      <c r="I1685" s="7">
        <f t="shared" si="106"/>
        <v>0</v>
      </c>
      <c r="J1685" s="7">
        <f t="shared" si="107"/>
        <v>21.074380165289256</v>
      </c>
      <c r="K1685" s="7">
        <f t="shared" si="108"/>
        <v>25.206611570247933</v>
      </c>
    </row>
    <row r="1686" spans="1:11" x14ac:dyDescent="0.35">
      <c r="A1686">
        <v>2023</v>
      </c>
      <c r="B1686">
        <v>3170479</v>
      </c>
      <c r="C1686" t="str">
        <f>VLOOKUP(B1686,SAEB!$A:$B,2,0)</f>
        <v>Uruana de Minas</v>
      </c>
      <c r="D1686">
        <v>247</v>
      </c>
      <c r="E1686">
        <v>200</v>
      </c>
      <c r="F1686">
        <v>0</v>
      </c>
      <c r="G1686">
        <v>0</v>
      </c>
      <c r="H1686" s="7">
        <f t="shared" si="105"/>
        <v>55.257270693512304</v>
      </c>
      <c r="I1686" s="7">
        <f t="shared" si="106"/>
        <v>44.742729306487696</v>
      </c>
      <c r="J1686" s="7">
        <f t="shared" si="107"/>
        <v>0</v>
      </c>
      <c r="K1686" s="7">
        <f t="shared" si="108"/>
        <v>0</v>
      </c>
    </row>
    <row r="1687" spans="1:11" x14ac:dyDescent="0.35">
      <c r="A1687">
        <v>2023</v>
      </c>
      <c r="B1687">
        <v>3170529</v>
      </c>
      <c r="C1687" t="str">
        <f>VLOOKUP(B1687,SAEB!$A:$B,2,0)</f>
        <v>Urucuia</v>
      </c>
      <c r="D1687">
        <v>442</v>
      </c>
      <c r="E1687">
        <v>391</v>
      </c>
      <c r="F1687">
        <v>182</v>
      </c>
      <c r="G1687">
        <v>157</v>
      </c>
      <c r="H1687" s="7">
        <f t="shared" si="105"/>
        <v>37.713310580204777</v>
      </c>
      <c r="I1687" s="7">
        <f t="shared" si="106"/>
        <v>33.361774744027308</v>
      </c>
      <c r="J1687" s="7">
        <f t="shared" si="107"/>
        <v>15.529010238907851</v>
      </c>
      <c r="K1687" s="7">
        <f t="shared" si="108"/>
        <v>13.395904436860068</v>
      </c>
    </row>
    <row r="1688" spans="1:11" x14ac:dyDescent="0.35">
      <c r="A1688">
        <v>2023</v>
      </c>
      <c r="B1688">
        <v>3170651</v>
      </c>
      <c r="C1688" t="str">
        <f>VLOOKUP(B1688,SAEB!$A:$B,2,0)</f>
        <v>Vargem Grande do Rio Pardo</v>
      </c>
      <c r="D1688">
        <v>220</v>
      </c>
      <c r="E1688">
        <v>0</v>
      </c>
      <c r="F1688">
        <v>49</v>
      </c>
      <c r="G1688">
        <v>0</v>
      </c>
      <c r="H1688" s="7">
        <f t="shared" si="105"/>
        <v>81.784386617100367</v>
      </c>
      <c r="I1688" s="7">
        <f t="shared" si="106"/>
        <v>0</v>
      </c>
      <c r="J1688" s="7">
        <f t="shared" si="107"/>
        <v>18.21561338289963</v>
      </c>
      <c r="K1688" s="7">
        <f t="shared" si="108"/>
        <v>0</v>
      </c>
    </row>
    <row r="1689" spans="1:11" x14ac:dyDescent="0.35">
      <c r="A1689">
        <v>2023</v>
      </c>
      <c r="B1689">
        <v>3170800</v>
      </c>
      <c r="C1689" t="str">
        <f>VLOOKUP(B1689,SAEB!$A:$B,2,0)</f>
        <v>Várzea da Palma</v>
      </c>
      <c r="D1689">
        <v>1748</v>
      </c>
      <c r="E1689">
        <v>0</v>
      </c>
      <c r="F1689">
        <v>140</v>
      </c>
      <c r="G1689">
        <v>90</v>
      </c>
      <c r="H1689" s="7">
        <f t="shared" si="105"/>
        <v>88.372093023255815</v>
      </c>
      <c r="I1689" s="7">
        <f t="shared" si="106"/>
        <v>0</v>
      </c>
      <c r="J1689" s="7">
        <f t="shared" si="107"/>
        <v>7.0778564206268966</v>
      </c>
      <c r="K1689" s="7">
        <f t="shared" si="108"/>
        <v>4.5500505561172906</v>
      </c>
    </row>
    <row r="1690" spans="1:11" x14ac:dyDescent="0.35">
      <c r="A1690">
        <v>2023</v>
      </c>
      <c r="B1690">
        <v>3171071</v>
      </c>
      <c r="C1690" t="str">
        <f>VLOOKUP(B1690,SAEB!$A:$B,2,0)</f>
        <v>Veredinha</v>
      </c>
      <c r="D1690">
        <v>318</v>
      </c>
      <c r="E1690">
        <v>0</v>
      </c>
      <c r="F1690">
        <v>0</v>
      </c>
      <c r="G1690">
        <v>0</v>
      </c>
      <c r="H1690" s="7">
        <f t="shared" si="105"/>
        <v>100</v>
      </c>
      <c r="I1690" s="7">
        <f t="shared" si="106"/>
        <v>0</v>
      </c>
      <c r="J1690" s="7">
        <f t="shared" si="107"/>
        <v>0</v>
      </c>
      <c r="K1690" s="7">
        <f t="shared" si="108"/>
        <v>0</v>
      </c>
    </row>
    <row r="1691" spans="1:11" x14ac:dyDescent="0.35">
      <c r="A1691">
        <v>2023</v>
      </c>
      <c r="B1691">
        <v>3171600</v>
      </c>
      <c r="C1691" t="str">
        <f>VLOOKUP(B1691,SAEB!$A:$B,2,0)</f>
        <v>Virgem da Lapa</v>
      </c>
      <c r="D1691">
        <v>464</v>
      </c>
      <c r="E1691">
        <v>458</v>
      </c>
      <c r="F1691">
        <v>65</v>
      </c>
      <c r="G1691">
        <v>0</v>
      </c>
      <c r="H1691" s="7">
        <f t="shared" si="105"/>
        <v>47.011144883485308</v>
      </c>
      <c r="I1691" s="7">
        <f t="shared" si="106"/>
        <v>46.403242147923002</v>
      </c>
      <c r="J1691" s="7">
        <f t="shared" si="107"/>
        <v>6.5856129685916915</v>
      </c>
      <c r="K1691" s="7">
        <f t="shared" si="108"/>
        <v>0</v>
      </c>
    </row>
    <row r="1692" spans="1:11" x14ac:dyDescent="0.35">
      <c r="A1692">
        <v>2023</v>
      </c>
      <c r="B1692">
        <v>3171808</v>
      </c>
      <c r="C1692" t="str">
        <f>VLOOKUP(B1692,SAEB!$A:$B,2,0)</f>
        <v>Virginópolis</v>
      </c>
      <c r="D1692">
        <v>509</v>
      </c>
      <c r="E1692">
        <v>0</v>
      </c>
      <c r="F1692">
        <v>137</v>
      </c>
      <c r="G1692">
        <v>0</v>
      </c>
      <c r="H1692" s="7">
        <f t="shared" si="105"/>
        <v>78.792569659442719</v>
      </c>
      <c r="I1692" s="7">
        <f t="shared" si="106"/>
        <v>0</v>
      </c>
      <c r="J1692" s="7">
        <f t="shared" si="107"/>
        <v>21.207430340557277</v>
      </c>
      <c r="K1692" s="7">
        <f t="shared" si="108"/>
        <v>0</v>
      </c>
    </row>
    <row r="1693" spans="1:11" x14ac:dyDescent="0.35">
      <c r="A1693">
        <v>2023</v>
      </c>
      <c r="B1693">
        <v>3171907</v>
      </c>
      <c r="C1693" t="str">
        <f>VLOOKUP(B1693,SAEB!$A:$B,2,0)</f>
        <v>Virgolândia</v>
      </c>
      <c r="D1693">
        <v>232</v>
      </c>
      <c r="E1693">
        <v>0</v>
      </c>
      <c r="F1693">
        <v>0</v>
      </c>
      <c r="G1693">
        <v>0</v>
      </c>
      <c r="H1693" s="7">
        <f t="shared" si="105"/>
        <v>100</v>
      </c>
      <c r="I1693" s="7">
        <f t="shared" si="106"/>
        <v>0</v>
      </c>
      <c r="J1693" s="7">
        <f t="shared" si="107"/>
        <v>0</v>
      </c>
      <c r="K1693" s="7">
        <f t="shared" si="108"/>
        <v>0</v>
      </c>
    </row>
    <row r="1694" spans="1:11" x14ac:dyDescent="0.35">
      <c r="A1694">
        <v>2024</v>
      </c>
      <c r="B1694">
        <v>3101003</v>
      </c>
      <c r="C1694" t="str">
        <f>VLOOKUP(B1694,SAEB!$A:$B,2,0)</f>
        <v>Águas Vermelhas</v>
      </c>
      <c r="D1694">
        <v>703</v>
      </c>
      <c r="E1694">
        <v>0</v>
      </c>
      <c r="F1694">
        <v>100</v>
      </c>
      <c r="G1694">
        <v>0</v>
      </c>
      <c r="H1694" s="7">
        <f t="shared" si="105"/>
        <v>87.546699875466999</v>
      </c>
      <c r="I1694" s="7">
        <f t="shared" si="106"/>
        <v>0</v>
      </c>
      <c r="J1694" s="7">
        <f t="shared" si="107"/>
        <v>12.453300124533001</v>
      </c>
      <c r="K1694" s="7">
        <f t="shared" si="108"/>
        <v>0</v>
      </c>
    </row>
    <row r="1695" spans="1:11" x14ac:dyDescent="0.35">
      <c r="A1695">
        <v>2024</v>
      </c>
      <c r="B1695">
        <v>3101102</v>
      </c>
      <c r="C1695" t="str">
        <f>VLOOKUP(B1695,SAEB!$A:$B,2,0)</f>
        <v>Aimorés</v>
      </c>
      <c r="D1695">
        <v>605</v>
      </c>
      <c r="E1695">
        <v>388</v>
      </c>
      <c r="F1695">
        <v>53</v>
      </c>
      <c r="G1695">
        <v>0</v>
      </c>
      <c r="H1695" s="7">
        <f t="shared" si="105"/>
        <v>57.839388145315482</v>
      </c>
      <c r="I1695" s="7">
        <f t="shared" si="106"/>
        <v>37.093690248565963</v>
      </c>
      <c r="J1695" s="7">
        <f t="shared" si="107"/>
        <v>5.0669216061185471</v>
      </c>
      <c r="K1695" s="7">
        <f t="shared" si="108"/>
        <v>0</v>
      </c>
    </row>
    <row r="1696" spans="1:11" x14ac:dyDescent="0.35">
      <c r="A1696">
        <v>2024</v>
      </c>
      <c r="B1696">
        <v>3101706</v>
      </c>
      <c r="C1696" t="str">
        <f>VLOOKUP(B1696,SAEB!$A:$B,2,0)</f>
        <v>Almenara</v>
      </c>
      <c r="D1696">
        <v>2145</v>
      </c>
      <c r="E1696">
        <v>485</v>
      </c>
      <c r="F1696">
        <v>276</v>
      </c>
      <c r="G1696">
        <v>146</v>
      </c>
      <c r="H1696" s="7">
        <f t="shared" si="105"/>
        <v>70.281782437745747</v>
      </c>
      <c r="I1696" s="7">
        <f t="shared" si="106"/>
        <v>15.891218872870249</v>
      </c>
      <c r="J1696" s="7">
        <f t="shared" si="107"/>
        <v>9.0432503276539968</v>
      </c>
      <c r="K1696" s="7">
        <f t="shared" si="108"/>
        <v>4.7837483617300132</v>
      </c>
    </row>
    <row r="1697" spans="1:11" x14ac:dyDescent="0.35">
      <c r="A1697">
        <v>2024</v>
      </c>
      <c r="B1697">
        <v>3101805</v>
      </c>
      <c r="C1697" t="str">
        <f>VLOOKUP(B1697,SAEB!$A:$B,2,0)</f>
        <v>Alpercata</v>
      </c>
      <c r="D1697">
        <v>323</v>
      </c>
      <c r="E1697">
        <v>142</v>
      </c>
      <c r="F1697">
        <v>78</v>
      </c>
      <c r="G1697">
        <v>0</v>
      </c>
      <c r="H1697" s="7">
        <f t="shared" si="105"/>
        <v>59.484346224677722</v>
      </c>
      <c r="I1697" s="7">
        <f t="shared" si="106"/>
        <v>26.151012891344383</v>
      </c>
      <c r="J1697" s="7">
        <f t="shared" si="107"/>
        <v>14.3646408839779</v>
      </c>
      <c r="K1697" s="7">
        <f t="shared" si="108"/>
        <v>0</v>
      </c>
    </row>
    <row r="1698" spans="1:11" x14ac:dyDescent="0.35">
      <c r="A1698">
        <v>2024</v>
      </c>
      <c r="B1698">
        <v>3102852</v>
      </c>
      <c r="C1698" t="str">
        <f>VLOOKUP(B1698,SAEB!$A:$B,2,0)</f>
        <v>Angelândia</v>
      </c>
      <c r="D1698">
        <v>526</v>
      </c>
      <c r="E1698">
        <v>0</v>
      </c>
      <c r="F1698">
        <v>32</v>
      </c>
      <c r="G1698">
        <v>0</v>
      </c>
      <c r="H1698" s="7">
        <f t="shared" si="105"/>
        <v>94.26523297491039</v>
      </c>
      <c r="I1698" s="7">
        <f t="shared" si="106"/>
        <v>0</v>
      </c>
      <c r="J1698" s="7">
        <f t="shared" si="107"/>
        <v>5.7347670250896057</v>
      </c>
      <c r="K1698" s="7">
        <f t="shared" si="108"/>
        <v>0</v>
      </c>
    </row>
    <row r="1699" spans="1:11" x14ac:dyDescent="0.35">
      <c r="A1699">
        <v>2024</v>
      </c>
      <c r="B1699">
        <v>3103405</v>
      </c>
      <c r="C1699" t="str">
        <f>VLOOKUP(B1699,SAEB!$A:$B,2,0)</f>
        <v>Araçuaí</v>
      </c>
      <c r="D1699">
        <v>383</v>
      </c>
      <c r="E1699">
        <v>0</v>
      </c>
      <c r="F1699">
        <v>278</v>
      </c>
      <c r="G1699">
        <v>190</v>
      </c>
      <c r="H1699" s="7">
        <f t="shared" si="105"/>
        <v>45.005875440658052</v>
      </c>
      <c r="I1699" s="7">
        <f t="shared" si="106"/>
        <v>0</v>
      </c>
      <c r="J1699" s="7">
        <f t="shared" si="107"/>
        <v>32.667450058754405</v>
      </c>
      <c r="K1699" s="7">
        <f t="shared" si="108"/>
        <v>22.326674500587544</v>
      </c>
    </row>
    <row r="1700" spans="1:11" x14ac:dyDescent="0.35">
      <c r="A1700">
        <v>2024</v>
      </c>
      <c r="B1700">
        <v>3104452</v>
      </c>
      <c r="C1700" t="str">
        <f>VLOOKUP(B1700,SAEB!$A:$B,2,0)</f>
        <v>Aricanduva</v>
      </c>
      <c r="D1700">
        <v>230</v>
      </c>
      <c r="E1700">
        <v>0</v>
      </c>
      <c r="F1700">
        <v>15</v>
      </c>
      <c r="G1700">
        <v>0</v>
      </c>
      <c r="H1700" s="7">
        <f t="shared" si="105"/>
        <v>93.877551020408163</v>
      </c>
      <c r="I1700" s="7">
        <f t="shared" si="106"/>
        <v>0</v>
      </c>
      <c r="J1700" s="7">
        <f t="shared" si="107"/>
        <v>6.1224489795918364</v>
      </c>
      <c r="K1700" s="7">
        <f t="shared" si="108"/>
        <v>0</v>
      </c>
    </row>
    <row r="1701" spans="1:11" x14ac:dyDescent="0.35">
      <c r="A1701">
        <v>2024</v>
      </c>
      <c r="B1701">
        <v>3104502</v>
      </c>
      <c r="C1701" t="str">
        <f>VLOOKUP(B1701,SAEB!$A:$B,2,0)</f>
        <v>Arinos</v>
      </c>
      <c r="D1701">
        <v>396</v>
      </c>
      <c r="E1701">
        <v>97</v>
      </c>
      <c r="F1701">
        <v>241</v>
      </c>
      <c r="G1701">
        <v>147</v>
      </c>
      <c r="H1701" s="7">
        <f t="shared" si="105"/>
        <v>44.948921679909191</v>
      </c>
      <c r="I1701" s="7">
        <f t="shared" si="106"/>
        <v>11.01021566401816</v>
      </c>
      <c r="J1701" s="7">
        <f t="shared" si="107"/>
        <v>27.355278093076052</v>
      </c>
      <c r="K1701" s="7">
        <f t="shared" si="108"/>
        <v>16.685584562996596</v>
      </c>
    </row>
    <row r="1702" spans="1:11" x14ac:dyDescent="0.35">
      <c r="A1702">
        <v>2024</v>
      </c>
      <c r="B1702">
        <v>3104700</v>
      </c>
      <c r="C1702" t="str">
        <f>VLOOKUP(B1702,SAEB!$A:$B,2,0)</f>
        <v>Ataléia</v>
      </c>
      <c r="D1702">
        <v>160</v>
      </c>
      <c r="E1702">
        <v>37</v>
      </c>
      <c r="F1702">
        <v>292</v>
      </c>
      <c r="G1702">
        <v>0</v>
      </c>
      <c r="H1702" s="7">
        <f t="shared" si="105"/>
        <v>32.719836400817996</v>
      </c>
      <c r="I1702" s="7">
        <f t="shared" si="106"/>
        <v>7.5664621676891617</v>
      </c>
      <c r="J1702" s="7">
        <f t="shared" si="107"/>
        <v>59.713701431492836</v>
      </c>
      <c r="K1702" s="7">
        <f t="shared" si="108"/>
        <v>0</v>
      </c>
    </row>
    <row r="1703" spans="1:11" x14ac:dyDescent="0.35">
      <c r="A1703">
        <v>2024</v>
      </c>
      <c r="B1703">
        <v>3105202</v>
      </c>
      <c r="C1703" t="str">
        <f>VLOOKUP(B1703,SAEB!$A:$B,2,0)</f>
        <v>Bandeira</v>
      </c>
      <c r="D1703">
        <v>138</v>
      </c>
      <c r="E1703">
        <v>0</v>
      </c>
      <c r="F1703">
        <v>46</v>
      </c>
      <c r="G1703">
        <v>36</v>
      </c>
      <c r="H1703" s="7">
        <f t="shared" si="105"/>
        <v>62.727272727272734</v>
      </c>
      <c r="I1703" s="7">
        <f t="shared" si="106"/>
        <v>0</v>
      </c>
      <c r="J1703" s="7">
        <f t="shared" si="107"/>
        <v>20.909090909090907</v>
      </c>
      <c r="K1703" s="7">
        <f t="shared" si="108"/>
        <v>16.363636363636363</v>
      </c>
    </row>
    <row r="1704" spans="1:11" x14ac:dyDescent="0.35">
      <c r="A1704">
        <v>2024</v>
      </c>
      <c r="B1704">
        <v>3106655</v>
      </c>
      <c r="C1704" t="str">
        <f>VLOOKUP(B1704,SAEB!$A:$B,2,0)</f>
        <v>Berizal</v>
      </c>
      <c r="D1704">
        <v>159</v>
      </c>
      <c r="E1704">
        <v>0</v>
      </c>
      <c r="F1704">
        <v>63</v>
      </c>
      <c r="G1704">
        <v>0</v>
      </c>
      <c r="H1704" s="7">
        <f t="shared" si="105"/>
        <v>71.621621621621628</v>
      </c>
      <c r="I1704" s="7">
        <f t="shared" si="106"/>
        <v>0</v>
      </c>
      <c r="J1704" s="7">
        <f t="shared" si="107"/>
        <v>28.378378378378379</v>
      </c>
      <c r="K1704" s="7">
        <f t="shared" si="108"/>
        <v>0</v>
      </c>
    </row>
    <row r="1705" spans="1:11" x14ac:dyDescent="0.35">
      <c r="A1705">
        <v>2024</v>
      </c>
      <c r="B1705">
        <v>3107307</v>
      </c>
      <c r="C1705" t="str">
        <f>VLOOKUP(B1705,SAEB!$A:$B,2,0)</f>
        <v>Bocaiúva</v>
      </c>
      <c r="D1705">
        <v>365</v>
      </c>
      <c r="E1705">
        <v>259</v>
      </c>
      <c r="F1705">
        <v>232</v>
      </c>
      <c r="G1705">
        <v>157</v>
      </c>
      <c r="H1705" s="7">
        <f t="shared" si="105"/>
        <v>36.031589338598224</v>
      </c>
      <c r="I1705" s="7">
        <f t="shared" si="106"/>
        <v>25.567620927936822</v>
      </c>
      <c r="J1705" s="7">
        <f t="shared" si="107"/>
        <v>22.902270483711749</v>
      </c>
      <c r="K1705" s="7">
        <f t="shared" si="108"/>
        <v>15.49851924975321</v>
      </c>
    </row>
    <row r="1706" spans="1:11" x14ac:dyDescent="0.35">
      <c r="A1706">
        <v>2024</v>
      </c>
      <c r="B1706">
        <v>3108206</v>
      </c>
      <c r="C1706" t="str">
        <f>VLOOKUP(B1706,SAEB!$A:$B,2,0)</f>
        <v>Bonfinópolis de Minas</v>
      </c>
      <c r="D1706">
        <v>225</v>
      </c>
      <c r="E1706">
        <v>160</v>
      </c>
      <c r="F1706">
        <v>23</v>
      </c>
      <c r="G1706">
        <v>0</v>
      </c>
      <c r="H1706" s="7">
        <f t="shared" si="105"/>
        <v>55.147058823529413</v>
      </c>
      <c r="I1706" s="7">
        <f t="shared" si="106"/>
        <v>39.215686274509807</v>
      </c>
      <c r="J1706" s="7">
        <f t="shared" si="107"/>
        <v>5.6372549019607847</v>
      </c>
      <c r="K1706" s="7">
        <f t="shared" si="108"/>
        <v>0</v>
      </c>
    </row>
    <row r="1707" spans="1:11" x14ac:dyDescent="0.35">
      <c r="A1707">
        <v>2024</v>
      </c>
      <c r="B1707">
        <v>3108602</v>
      </c>
      <c r="C1707" t="str">
        <f>VLOOKUP(B1707,SAEB!$A:$B,2,0)</f>
        <v>Brasília de Minas</v>
      </c>
      <c r="D1707">
        <v>229</v>
      </c>
      <c r="E1707">
        <v>113</v>
      </c>
      <c r="F1707">
        <v>180</v>
      </c>
      <c r="G1707">
        <v>82</v>
      </c>
      <c r="H1707" s="7">
        <f t="shared" si="105"/>
        <v>37.913907284768214</v>
      </c>
      <c r="I1707" s="7">
        <f t="shared" si="106"/>
        <v>18.70860927152318</v>
      </c>
      <c r="J1707" s="7">
        <f t="shared" si="107"/>
        <v>29.80132450331126</v>
      </c>
      <c r="K1707" s="7">
        <f t="shared" si="108"/>
        <v>13.576158940397351</v>
      </c>
    </row>
    <row r="1708" spans="1:11" x14ac:dyDescent="0.35">
      <c r="A1708">
        <v>2024</v>
      </c>
      <c r="B1708">
        <v>3109204</v>
      </c>
      <c r="C1708" t="str">
        <f>VLOOKUP(B1708,SAEB!$A:$B,2,0)</f>
        <v>Buenópolis</v>
      </c>
      <c r="D1708">
        <v>519</v>
      </c>
      <c r="E1708">
        <v>0</v>
      </c>
      <c r="F1708">
        <v>33</v>
      </c>
      <c r="G1708">
        <v>0</v>
      </c>
      <c r="H1708" s="7">
        <f t="shared" si="105"/>
        <v>94.021739130434781</v>
      </c>
      <c r="I1708" s="7">
        <f t="shared" si="106"/>
        <v>0</v>
      </c>
      <c r="J1708" s="7">
        <f t="shared" si="107"/>
        <v>5.9782608695652177</v>
      </c>
      <c r="K1708" s="7">
        <f t="shared" si="108"/>
        <v>0</v>
      </c>
    </row>
    <row r="1709" spans="1:11" x14ac:dyDescent="0.35">
      <c r="A1709">
        <v>2024</v>
      </c>
      <c r="B1709">
        <v>3109402</v>
      </c>
      <c r="C1709" t="str">
        <f>VLOOKUP(B1709,SAEB!$A:$B,2,0)</f>
        <v>Buritizeiro</v>
      </c>
      <c r="D1709">
        <v>1487</v>
      </c>
      <c r="E1709">
        <v>0</v>
      </c>
      <c r="F1709">
        <v>154</v>
      </c>
      <c r="G1709">
        <v>0</v>
      </c>
      <c r="H1709" s="7">
        <f t="shared" si="105"/>
        <v>90.615478366849473</v>
      </c>
      <c r="I1709" s="7">
        <f t="shared" si="106"/>
        <v>0</v>
      </c>
      <c r="J1709" s="7">
        <f t="shared" si="107"/>
        <v>9.3845216331505181</v>
      </c>
      <c r="K1709" s="7">
        <f t="shared" si="108"/>
        <v>0</v>
      </c>
    </row>
    <row r="1710" spans="1:11" x14ac:dyDescent="0.35">
      <c r="A1710">
        <v>2024</v>
      </c>
      <c r="B1710">
        <v>3102704</v>
      </c>
      <c r="C1710" t="str">
        <f>VLOOKUP(B1710,SAEB!$A:$B,2,0)</f>
        <v>Cachoeira de Pajeú</v>
      </c>
      <c r="D1710">
        <v>177</v>
      </c>
      <c r="E1710">
        <v>0</v>
      </c>
      <c r="F1710">
        <v>255</v>
      </c>
      <c r="G1710">
        <v>66</v>
      </c>
      <c r="H1710" s="7">
        <f t="shared" si="105"/>
        <v>35.542168674698793</v>
      </c>
      <c r="I1710" s="7">
        <f t="shared" si="106"/>
        <v>0</v>
      </c>
      <c r="J1710" s="7">
        <f t="shared" si="107"/>
        <v>51.204819277108435</v>
      </c>
      <c r="K1710" s="7">
        <f t="shared" si="108"/>
        <v>13.253012048192772</v>
      </c>
    </row>
    <row r="1711" spans="1:11" x14ac:dyDescent="0.35">
      <c r="A1711">
        <v>2024</v>
      </c>
      <c r="B1711">
        <v>3110806</v>
      </c>
      <c r="C1711" t="str">
        <f>VLOOKUP(B1711,SAEB!$A:$B,2,0)</f>
        <v>Campanário</v>
      </c>
      <c r="D1711">
        <v>197</v>
      </c>
      <c r="E1711">
        <v>0</v>
      </c>
      <c r="F1711">
        <v>0</v>
      </c>
      <c r="G1711">
        <v>0</v>
      </c>
      <c r="H1711" s="7">
        <f t="shared" si="105"/>
        <v>100</v>
      </c>
      <c r="I1711" s="7">
        <f t="shared" si="106"/>
        <v>0</v>
      </c>
      <c r="J1711" s="7">
        <f t="shared" si="107"/>
        <v>0</v>
      </c>
      <c r="K1711" s="7">
        <f t="shared" si="108"/>
        <v>0</v>
      </c>
    </row>
    <row r="1712" spans="1:11" x14ac:dyDescent="0.35">
      <c r="A1712">
        <v>2024</v>
      </c>
      <c r="B1712">
        <v>3111150</v>
      </c>
      <c r="C1712" t="str">
        <f>VLOOKUP(B1712,SAEB!$A:$B,2,0)</f>
        <v>Campo Azul</v>
      </c>
      <c r="D1712">
        <v>129</v>
      </c>
      <c r="E1712">
        <v>0</v>
      </c>
      <c r="F1712">
        <v>103</v>
      </c>
      <c r="G1712">
        <v>45</v>
      </c>
      <c r="H1712" s="7">
        <f t="shared" si="105"/>
        <v>46.570397111913358</v>
      </c>
      <c r="I1712" s="7">
        <f t="shared" si="106"/>
        <v>0</v>
      </c>
      <c r="J1712" s="7">
        <f t="shared" si="107"/>
        <v>37.184115523465707</v>
      </c>
      <c r="K1712" s="7">
        <f t="shared" si="108"/>
        <v>16.245487364620939</v>
      </c>
    </row>
    <row r="1713" spans="1:11" x14ac:dyDescent="0.35">
      <c r="A1713">
        <v>2024</v>
      </c>
      <c r="B1713">
        <v>3112059</v>
      </c>
      <c r="C1713" t="str">
        <f>VLOOKUP(B1713,SAEB!$A:$B,2,0)</f>
        <v>Cantagalo</v>
      </c>
      <c r="D1713">
        <v>219</v>
      </c>
      <c r="E1713">
        <v>0</v>
      </c>
      <c r="F1713">
        <v>48</v>
      </c>
      <c r="G1713">
        <v>0</v>
      </c>
      <c r="H1713" s="7">
        <f t="shared" si="105"/>
        <v>82.022471910112358</v>
      </c>
      <c r="I1713" s="7">
        <f t="shared" si="106"/>
        <v>0</v>
      </c>
      <c r="J1713" s="7">
        <f t="shared" si="107"/>
        <v>17.977528089887642</v>
      </c>
      <c r="K1713" s="7">
        <f t="shared" si="108"/>
        <v>0</v>
      </c>
    </row>
    <row r="1714" spans="1:11" x14ac:dyDescent="0.35">
      <c r="A1714">
        <v>2024</v>
      </c>
      <c r="B1714">
        <v>3112307</v>
      </c>
      <c r="C1714" t="str">
        <f>VLOOKUP(B1714,SAEB!$A:$B,2,0)</f>
        <v>Capelinha</v>
      </c>
      <c r="D1714">
        <v>1009</v>
      </c>
      <c r="E1714">
        <v>0</v>
      </c>
      <c r="F1714">
        <v>254</v>
      </c>
      <c r="G1714">
        <v>0</v>
      </c>
      <c r="H1714" s="7">
        <f t="shared" si="105"/>
        <v>79.88915281076801</v>
      </c>
      <c r="I1714" s="7">
        <f t="shared" si="106"/>
        <v>0</v>
      </c>
      <c r="J1714" s="7">
        <f t="shared" si="107"/>
        <v>20.110847189231986</v>
      </c>
      <c r="K1714" s="7">
        <f t="shared" si="108"/>
        <v>0</v>
      </c>
    </row>
    <row r="1715" spans="1:11" x14ac:dyDescent="0.35">
      <c r="A1715">
        <v>2024</v>
      </c>
      <c r="B1715">
        <v>3112703</v>
      </c>
      <c r="C1715" t="str">
        <f>VLOOKUP(B1715,SAEB!$A:$B,2,0)</f>
        <v>Capitão Enéas</v>
      </c>
      <c r="D1715">
        <v>723</v>
      </c>
      <c r="E1715">
        <v>182</v>
      </c>
      <c r="F1715">
        <v>192</v>
      </c>
      <c r="G1715">
        <v>30</v>
      </c>
      <c r="H1715" s="7">
        <f t="shared" si="105"/>
        <v>64.15261756876663</v>
      </c>
      <c r="I1715" s="7">
        <f t="shared" si="106"/>
        <v>16.149068322981368</v>
      </c>
      <c r="J1715" s="7">
        <f t="shared" si="107"/>
        <v>17.036379769299025</v>
      </c>
      <c r="K1715" s="7">
        <f t="shared" si="108"/>
        <v>2.6619343389529724</v>
      </c>
    </row>
    <row r="1716" spans="1:11" x14ac:dyDescent="0.35">
      <c r="A1716">
        <v>2024</v>
      </c>
      <c r="B1716">
        <v>3113008</v>
      </c>
      <c r="C1716" t="str">
        <f>VLOOKUP(B1716,SAEB!$A:$B,2,0)</f>
        <v>Caraí</v>
      </c>
      <c r="D1716">
        <v>51</v>
      </c>
      <c r="E1716">
        <v>129</v>
      </c>
      <c r="F1716">
        <v>439</v>
      </c>
      <c r="G1716">
        <v>242</v>
      </c>
      <c r="H1716" s="7">
        <f t="shared" si="105"/>
        <v>5.9233449477351918</v>
      </c>
      <c r="I1716" s="7">
        <f t="shared" si="106"/>
        <v>14.982578397212542</v>
      </c>
      <c r="J1716" s="7">
        <f t="shared" si="107"/>
        <v>50.987224157955865</v>
      </c>
      <c r="K1716" s="7">
        <f t="shared" si="108"/>
        <v>28.106852497096401</v>
      </c>
    </row>
    <row r="1717" spans="1:11" x14ac:dyDescent="0.35">
      <c r="A1717">
        <v>2024</v>
      </c>
      <c r="B1717">
        <v>3113503</v>
      </c>
      <c r="C1717" t="str">
        <f>VLOOKUP(B1717,SAEB!$A:$B,2,0)</f>
        <v>Carbonita</v>
      </c>
      <c r="D1717">
        <v>467</v>
      </c>
      <c r="E1717">
        <v>0</v>
      </c>
      <c r="F1717">
        <v>47</v>
      </c>
      <c r="G1717">
        <v>21</v>
      </c>
      <c r="H1717" s="7">
        <f t="shared" si="105"/>
        <v>87.289719626168221</v>
      </c>
      <c r="I1717" s="7">
        <f t="shared" si="106"/>
        <v>0</v>
      </c>
      <c r="J1717" s="7">
        <f t="shared" si="107"/>
        <v>8.7850467289719631</v>
      </c>
      <c r="K1717" s="7">
        <f t="shared" si="108"/>
        <v>3.9252336448598131</v>
      </c>
    </row>
    <row r="1718" spans="1:11" x14ac:dyDescent="0.35">
      <c r="A1718">
        <v>2024</v>
      </c>
      <c r="B1718">
        <v>3113701</v>
      </c>
      <c r="C1718" t="str">
        <f>VLOOKUP(B1718,SAEB!$A:$B,2,0)</f>
        <v>Carlos Chagas</v>
      </c>
      <c r="D1718">
        <v>747</v>
      </c>
      <c r="E1718">
        <v>196</v>
      </c>
      <c r="F1718">
        <v>220</v>
      </c>
      <c r="G1718">
        <v>143</v>
      </c>
      <c r="H1718" s="7">
        <f t="shared" si="105"/>
        <v>57.197549770290969</v>
      </c>
      <c r="I1718" s="7">
        <f t="shared" si="106"/>
        <v>15.007656967840735</v>
      </c>
      <c r="J1718" s="7">
        <f t="shared" si="107"/>
        <v>16.845329249617151</v>
      </c>
      <c r="K1718" s="7">
        <f t="shared" si="108"/>
        <v>10.949464012251148</v>
      </c>
    </row>
    <row r="1719" spans="1:11" x14ac:dyDescent="0.35">
      <c r="A1719">
        <v>2024</v>
      </c>
      <c r="B1719">
        <v>3113800</v>
      </c>
      <c r="C1719" t="str">
        <f>VLOOKUP(B1719,SAEB!$A:$B,2,0)</f>
        <v>Carmésia</v>
      </c>
      <c r="D1719">
        <v>146</v>
      </c>
      <c r="E1719">
        <v>135</v>
      </c>
      <c r="F1719">
        <v>0</v>
      </c>
      <c r="G1719">
        <v>0</v>
      </c>
      <c r="H1719" s="7">
        <f t="shared" si="105"/>
        <v>51.957295373665481</v>
      </c>
      <c r="I1719" s="7">
        <f t="shared" si="106"/>
        <v>48.042704626334519</v>
      </c>
      <c r="J1719" s="7">
        <f t="shared" si="107"/>
        <v>0</v>
      </c>
      <c r="K1719" s="7">
        <f t="shared" si="108"/>
        <v>0</v>
      </c>
    </row>
    <row r="1720" spans="1:11" x14ac:dyDescent="0.35">
      <c r="A1720">
        <v>2024</v>
      </c>
      <c r="B1720">
        <v>3115458</v>
      </c>
      <c r="C1720" t="str">
        <f>VLOOKUP(B1720,SAEB!$A:$B,2,0)</f>
        <v>Catuji</v>
      </c>
      <c r="D1720">
        <v>256</v>
      </c>
      <c r="E1720">
        <v>0</v>
      </c>
      <c r="F1720">
        <v>252</v>
      </c>
      <c r="G1720">
        <v>0</v>
      </c>
      <c r="H1720" s="7">
        <f t="shared" si="105"/>
        <v>50.393700787401571</v>
      </c>
      <c r="I1720" s="7">
        <f t="shared" si="106"/>
        <v>0</v>
      </c>
      <c r="J1720" s="7">
        <f t="shared" si="107"/>
        <v>49.606299212598429</v>
      </c>
      <c r="K1720" s="7">
        <f t="shared" si="108"/>
        <v>0</v>
      </c>
    </row>
    <row r="1721" spans="1:11" x14ac:dyDescent="0.35">
      <c r="A1721">
        <v>2024</v>
      </c>
      <c r="B1721">
        <v>3115474</v>
      </c>
      <c r="C1721" t="str">
        <f>VLOOKUP(B1721,SAEB!$A:$B,2,0)</f>
        <v>Catuti</v>
      </c>
      <c r="D1721">
        <v>212</v>
      </c>
      <c r="E1721">
        <v>0</v>
      </c>
      <c r="F1721">
        <v>59</v>
      </c>
      <c r="G1721">
        <v>72</v>
      </c>
      <c r="H1721" s="7">
        <f t="shared" si="105"/>
        <v>61.807580174927111</v>
      </c>
      <c r="I1721" s="7">
        <f t="shared" si="106"/>
        <v>0</v>
      </c>
      <c r="J1721" s="7">
        <f t="shared" si="107"/>
        <v>17.201166180758019</v>
      </c>
      <c r="K1721" s="7">
        <f t="shared" si="108"/>
        <v>20.99125364431487</v>
      </c>
    </row>
    <row r="1722" spans="1:11" x14ac:dyDescent="0.35">
      <c r="A1722">
        <v>2024</v>
      </c>
      <c r="B1722">
        <v>3116100</v>
      </c>
      <c r="C1722" t="str">
        <f>VLOOKUP(B1722,SAEB!$A:$B,2,0)</f>
        <v>Chapada do Norte</v>
      </c>
      <c r="D1722">
        <v>259</v>
      </c>
      <c r="E1722">
        <v>0</v>
      </c>
      <c r="F1722">
        <v>270</v>
      </c>
      <c r="G1722">
        <v>0</v>
      </c>
      <c r="H1722" s="7">
        <f t="shared" si="105"/>
        <v>48.960302457466923</v>
      </c>
      <c r="I1722" s="7">
        <f t="shared" si="106"/>
        <v>0</v>
      </c>
      <c r="J1722" s="7">
        <f t="shared" si="107"/>
        <v>51.039697542533077</v>
      </c>
      <c r="K1722" s="7">
        <f t="shared" si="108"/>
        <v>0</v>
      </c>
    </row>
    <row r="1723" spans="1:11" x14ac:dyDescent="0.35">
      <c r="A1723">
        <v>2024</v>
      </c>
      <c r="B1723">
        <v>3116159</v>
      </c>
      <c r="C1723" t="str">
        <f>VLOOKUP(B1723,SAEB!$A:$B,2,0)</f>
        <v>Chapada Gaúcha</v>
      </c>
      <c r="D1723">
        <v>0</v>
      </c>
      <c r="E1723">
        <v>0</v>
      </c>
      <c r="F1723">
        <v>292</v>
      </c>
      <c r="G1723">
        <v>207</v>
      </c>
      <c r="H1723" s="7">
        <f t="shared" si="105"/>
        <v>0</v>
      </c>
      <c r="I1723" s="7">
        <f t="shared" si="106"/>
        <v>0</v>
      </c>
      <c r="J1723" s="7">
        <f t="shared" si="107"/>
        <v>58.517034068136276</v>
      </c>
      <c r="K1723" s="7">
        <f t="shared" si="108"/>
        <v>41.482965931863731</v>
      </c>
    </row>
    <row r="1724" spans="1:11" x14ac:dyDescent="0.35">
      <c r="A1724">
        <v>2024</v>
      </c>
      <c r="B1724">
        <v>3116506</v>
      </c>
      <c r="C1724" t="str">
        <f>VLOOKUP(B1724,SAEB!$A:$B,2,0)</f>
        <v>Claro dos Poções</v>
      </c>
      <c r="D1724">
        <v>385</v>
      </c>
      <c r="E1724">
        <v>0</v>
      </c>
      <c r="F1724">
        <v>17</v>
      </c>
      <c r="G1724">
        <v>0</v>
      </c>
      <c r="H1724" s="7">
        <f t="shared" si="105"/>
        <v>95.771144278606968</v>
      </c>
      <c r="I1724" s="7">
        <f t="shared" si="106"/>
        <v>0</v>
      </c>
      <c r="J1724" s="7">
        <f t="shared" si="107"/>
        <v>4.2288557213930353</v>
      </c>
      <c r="K1724" s="7">
        <f t="shared" si="108"/>
        <v>0</v>
      </c>
    </row>
    <row r="1725" spans="1:11" x14ac:dyDescent="0.35">
      <c r="A1725">
        <v>2024</v>
      </c>
      <c r="B1725">
        <v>3116803</v>
      </c>
      <c r="C1725" t="str">
        <f>VLOOKUP(B1725,SAEB!$A:$B,2,0)</f>
        <v>Coluna</v>
      </c>
      <c r="D1725">
        <v>243</v>
      </c>
      <c r="E1725">
        <v>0</v>
      </c>
      <c r="F1725">
        <v>135</v>
      </c>
      <c r="G1725">
        <v>0</v>
      </c>
      <c r="H1725" s="7">
        <f t="shared" si="105"/>
        <v>64.285714285714292</v>
      </c>
      <c r="I1725" s="7">
        <f t="shared" si="106"/>
        <v>0</v>
      </c>
      <c r="J1725" s="7">
        <f t="shared" si="107"/>
        <v>35.714285714285715</v>
      </c>
      <c r="K1725" s="7">
        <f t="shared" si="108"/>
        <v>0</v>
      </c>
    </row>
    <row r="1726" spans="1:11" x14ac:dyDescent="0.35">
      <c r="A1726">
        <v>2024</v>
      </c>
      <c r="B1726">
        <v>3117009</v>
      </c>
      <c r="C1726" t="str">
        <f>VLOOKUP(B1726,SAEB!$A:$B,2,0)</f>
        <v>Comercinho</v>
      </c>
      <c r="D1726">
        <v>191</v>
      </c>
      <c r="E1726">
        <v>0</v>
      </c>
      <c r="F1726">
        <v>162</v>
      </c>
      <c r="G1726">
        <v>66</v>
      </c>
      <c r="H1726" s="7">
        <f t="shared" si="105"/>
        <v>45.584725536992842</v>
      </c>
      <c r="I1726" s="7">
        <f t="shared" si="106"/>
        <v>0</v>
      </c>
      <c r="J1726" s="7">
        <f t="shared" si="107"/>
        <v>38.663484486873507</v>
      </c>
      <c r="K1726" s="7">
        <f t="shared" si="108"/>
        <v>15.751789976133651</v>
      </c>
    </row>
    <row r="1727" spans="1:11" x14ac:dyDescent="0.35">
      <c r="A1727">
        <v>2024</v>
      </c>
      <c r="B1727">
        <v>3118403</v>
      </c>
      <c r="C1727" t="str">
        <f>VLOOKUP(B1727,SAEB!$A:$B,2,0)</f>
        <v>Conselheiro Pena</v>
      </c>
      <c r="D1727">
        <v>860</v>
      </c>
      <c r="E1727">
        <v>89</v>
      </c>
      <c r="F1727">
        <v>80</v>
      </c>
      <c r="G1727">
        <v>50</v>
      </c>
      <c r="H1727" s="7">
        <f t="shared" si="105"/>
        <v>79.703429101019466</v>
      </c>
      <c r="I1727" s="7">
        <f t="shared" si="106"/>
        <v>8.2483781278961992</v>
      </c>
      <c r="J1727" s="7">
        <f t="shared" si="107"/>
        <v>7.4142724745134378</v>
      </c>
      <c r="K1727" s="7">
        <f t="shared" si="108"/>
        <v>4.6339202965708992</v>
      </c>
    </row>
    <row r="1728" spans="1:11" x14ac:dyDescent="0.35">
      <c r="A1728">
        <v>2024</v>
      </c>
      <c r="B1728">
        <v>3119104</v>
      </c>
      <c r="C1728" t="str">
        <f>VLOOKUP(B1728,SAEB!$A:$B,2,0)</f>
        <v>Corinto</v>
      </c>
      <c r="D1728">
        <v>1216</v>
      </c>
      <c r="E1728">
        <v>341</v>
      </c>
      <c r="F1728">
        <v>16</v>
      </c>
      <c r="G1728">
        <v>0</v>
      </c>
      <c r="H1728" s="7">
        <f t="shared" si="105"/>
        <v>77.304513668150037</v>
      </c>
      <c r="I1728" s="7">
        <f t="shared" si="106"/>
        <v>21.678321678321677</v>
      </c>
      <c r="J1728" s="7">
        <f t="shared" si="107"/>
        <v>1.0171646535282899</v>
      </c>
      <c r="K1728" s="7">
        <f t="shared" si="108"/>
        <v>0</v>
      </c>
    </row>
    <row r="1729" spans="1:11" x14ac:dyDescent="0.35">
      <c r="A1729">
        <v>2024</v>
      </c>
      <c r="B1729">
        <v>3119203</v>
      </c>
      <c r="C1729" t="str">
        <f>VLOOKUP(B1729,SAEB!$A:$B,2,0)</f>
        <v>Coroaci</v>
      </c>
      <c r="D1729">
        <v>331</v>
      </c>
      <c r="E1729">
        <v>45</v>
      </c>
      <c r="F1729">
        <v>112</v>
      </c>
      <c r="G1729">
        <v>84</v>
      </c>
      <c r="H1729" s="7">
        <f t="shared" si="105"/>
        <v>57.867132867132867</v>
      </c>
      <c r="I1729" s="7">
        <f t="shared" si="106"/>
        <v>7.8671328671328675</v>
      </c>
      <c r="J1729" s="7">
        <f t="shared" si="107"/>
        <v>19.58041958041958</v>
      </c>
      <c r="K1729" s="7">
        <f t="shared" si="108"/>
        <v>14.685314685314685</v>
      </c>
    </row>
    <row r="1730" spans="1:11" x14ac:dyDescent="0.35">
      <c r="A1730">
        <v>2024</v>
      </c>
      <c r="B1730">
        <v>3119500</v>
      </c>
      <c r="C1730" t="str">
        <f>VLOOKUP(B1730,SAEB!$A:$B,2,0)</f>
        <v>Coronel Murta</v>
      </c>
      <c r="D1730">
        <v>448</v>
      </c>
      <c r="E1730">
        <v>277</v>
      </c>
      <c r="F1730">
        <v>39</v>
      </c>
      <c r="G1730">
        <v>0</v>
      </c>
      <c r="H1730" s="7">
        <f t="shared" si="105"/>
        <v>58.638743455497377</v>
      </c>
      <c r="I1730" s="7">
        <f t="shared" si="106"/>
        <v>36.2565445026178</v>
      </c>
      <c r="J1730" s="7">
        <f t="shared" si="107"/>
        <v>5.1047120418848166</v>
      </c>
      <c r="K1730" s="7">
        <f t="shared" si="108"/>
        <v>0</v>
      </c>
    </row>
    <row r="1731" spans="1:11" x14ac:dyDescent="0.35">
      <c r="A1731">
        <v>2024</v>
      </c>
      <c r="B1731">
        <v>3120151</v>
      </c>
      <c r="C1731" t="str">
        <f>VLOOKUP(B1731,SAEB!$A:$B,2,0)</f>
        <v>Crisólita</v>
      </c>
      <c r="D1731">
        <v>338</v>
      </c>
      <c r="E1731">
        <v>93</v>
      </c>
      <c r="F1731">
        <v>0</v>
      </c>
      <c r="G1731">
        <v>0</v>
      </c>
      <c r="H1731" s="7">
        <f t="shared" ref="H1731:H1794" si="109">D1731/SUM($D1731:$G1731)*100</f>
        <v>78.422273781902547</v>
      </c>
      <c r="I1731" s="7">
        <f t="shared" ref="I1731:I1794" si="110">E1731/SUM($D1731:$G1731)*100</f>
        <v>21.57772621809745</v>
      </c>
      <c r="J1731" s="7">
        <f t="shared" ref="J1731:J1794" si="111">F1731/SUM($D1731:$G1731)*100</f>
        <v>0</v>
      </c>
      <c r="K1731" s="7">
        <f t="shared" ref="K1731:K1794" si="112">G1731/SUM($D1731:$G1731)*100</f>
        <v>0</v>
      </c>
    </row>
    <row r="1732" spans="1:11" x14ac:dyDescent="0.35">
      <c r="A1732">
        <v>2024</v>
      </c>
      <c r="B1732">
        <v>3120870</v>
      </c>
      <c r="C1732" t="str">
        <f>VLOOKUP(B1732,SAEB!$A:$B,2,0)</f>
        <v>Curral de Dentro</v>
      </c>
      <c r="D1732">
        <v>381</v>
      </c>
      <c r="E1732">
        <v>0</v>
      </c>
      <c r="F1732">
        <v>149</v>
      </c>
      <c r="G1732">
        <v>0</v>
      </c>
      <c r="H1732" s="7">
        <f t="shared" si="109"/>
        <v>71.886792452830178</v>
      </c>
      <c r="I1732" s="7">
        <f t="shared" si="110"/>
        <v>0</v>
      </c>
      <c r="J1732" s="7">
        <f t="shared" si="111"/>
        <v>28.113207547169811</v>
      </c>
      <c r="K1732" s="7">
        <f t="shared" si="112"/>
        <v>0</v>
      </c>
    </row>
    <row r="1733" spans="1:11" x14ac:dyDescent="0.35">
      <c r="A1733">
        <v>2024</v>
      </c>
      <c r="B1733">
        <v>3120904</v>
      </c>
      <c r="C1733" t="str">
        <f>VLOOKUP(B1733,SAEB!$A:$B,2,0)</f>
        <v>Curvelo</v>
      </c>
      <c r="D1733">
        <v>3632</v>
      </c>
      <c r="E1733">
        <v>0</v>
      </c>
      <c r="F1733">
        <v>406</v>
      </c>
      <c r="G1733">
        <v>0</v>
      </c>
      <c r="H1733" s="7">
        <f t="shared" si="109"/>
        <v>89.94551758296187</v>
      </c>
      <c r="I1733" s="7">
        <f t="shared" si="110"/>
        <v>0</v>
      </c>
      <c r="J1733" s="7">
        <f t="shared" si="111"/>
        <v>10.054482417038137</v>
      </c>
      <c r="K1733" s="7">
        <f t="shared" si="112"/>
        <v>0</v>
      </c>
    </row>
    <row r="1734" spans="1:11" x14ac:dyDescent="0.35">
      <c r="A1734">
        <v>2024</v>
      </c>
      <c r="B1734">
        <v>3121001</v>
      </c>
      <c r="C1734" t="str">
        <f>VLOOKUP(B1734,SAEB!$A:$B,2,0)</f>
        <v>Datas</v>
      </c>
      <c r="D1734">
        <v>295</v>
      </c>
      <c r="E1734">
        <v>0</v>
      </c>
      <c r="F1734">
        <v>139</v>
      </c>
      <c r="G1734">
        <v>0</v>
      </c>
      <c r="H1734" s="7">
        <f t="shared" si="109"/>
        <v>67.972350230414747</v>
      </c>
      <c r="I1734" s="7">
        <f t="shared" si="110"/>
        <v>0</v>
      </c>
      <c r="J1734" s="7">
        <f t="shared" si="111"/>
        <v>32.027649769585253</v>
      </c>
      <c r="K1734" s="7">
        <f t="shared" si="112"/>
        <v>0</v>
      </c>
    </row>
    <row r="1735" spans="1:11" x14ac:dyDescent="0.35">
      <c r="A1735">
        <v>2024</v>
      </c>
      <c r="B1735">
        <v>3121605</v>
      </c>
      <c r="C1735" t="str">
        <f>VLOOKUP(B1735,SAEB!$A:$B,2,0)</f>
        <v>Diamantina</v>
      </c>
      <c r="D1735">
        <v>748</v>
      </c>
      <c r="E1735">
        <v>54</v>
      </c>
      <c r="F1735">
        <v>263</v>
      </c>
      <c r="G1735">
        <v>54</v>
      </c>
      <c r="H1735" s="7">
        <f t="shared" si="109"/>
        <v>66.845397676496873</v>
      </c>
      <c r="I1735" s="7">
        <f t="shared" si="110"/>
        <v>4.8257372654155493</v>
      </c>
      <c r="J1735" s="7">
        <f t="shared" si="111"/>
        <v>23.503127792672029</v>
      </c>
      <c r="K1735" s="7">
        <f t="shared" si="112"/>
        <v>4.8257372654155493</v>
      </c>
    </row>
    <row r="1736" spans="1:11" x14ac:dyDescent="0.35">
      <c r="A1736">
        <v>2024</v>
      </c>
      <c r="B1736">
        <v>3122108</v>
      </c>
      <c r="C1736" t="str">
        <f>VLOOKUP(B1736,SAEB!$A:$B,2,0)</f>
        <v>Divino das Laranjeiras</v>
      </c>
      <c r="D1736">
        <v>135</v>
      </c>
      <c r="E1736">
        <v>0</v>
      </c>
      <c r="F1736">
        <v>0</v>
      </c>
      <c r="G1736">
        <v>0</v>
      </c>
      <c r="H1736" s="7">
        <f t="shared" si="109"/>
        <v>100</v>
      </c>
      <c r="I1736" s="7">
        <f t="shared" si="110"/>
        <v>0</v>
      </c>
      <c r="J1736" s="7">
        <f t="shared" si="111"/>
        <v>0</v>
      </c>
      <c r="K1736" s="7">
        <f t="shared" si="112"/>
        <v>0</v>
      </c>
    </row>
    <row r="1737" spans="1:11" x14ac:dyDescent="0.35">
      <c r="A1737">
        <v>2024</v>
      </c>
      <c r="B1737">
        <v>3122207</v>
      </c>
      <c r="C1737" t="str">
        <f>VLOOKUP(B1737,SAEB!$A:$B,2,0)</f>
        <v>Divinolândia de Minas</v>
      </c>
      <c r="D1737">
        <v>354</v>
      </c>
      <c r="E1737">
        <v>0</v>
      </c>
      <c r="F1737">
        <v>136</v>
      </c>
      <c r="G1737">
        <v>0</v>
      </c>
      <c r="H1737" s="7">
        <f t="shared" si="109"/>
        <v>72.244897959183675</v>
      </c>
      <c r="I1737" s="7">
        <f t="shared" si="110"/>
        <v>0</v>
      </c>
      <c r="J1737" s="7">
        <f t="shared" si="111"/>
        <v>27.755102040816325</v>
      </c>
      <c r="K1737" s="7">
        <f t="shared" si="112"/>
        <v>0</v>
      </c>
    </row>
    <row r="1738" spans="1:11" x14ac:dyDescent="0.35">
      <c r="A1738">
        <v>2024</v>
      </c>
      <c r="B1738">
        <v>3122454</v>
      </c>
      <c r="C1738" t="str">
        <f>VLOOKUP(B1738,SAEB!$A:$B,2,0)</f>
        <v>Divisópolis</v>
      </c>
      <c r="D1738">
        <v>461</v>
      </c>
      <c r="E1738">
        <v>0</v>
      </c>
      <c r="F1738">
        <v>50</v>
      </c>
      <c r="G1738">
        <v>0</v>
      </c>
      <c r="H1738" s="7">
        <f t="shared" si="109"/>
        <v>90.215264187866921</v>
      </c>
      <c r="I1738" s="7">
        <f t="shared" si="110"/>
        <v>0</v>
      </c>
      <c r="J1738" s="7">
        <f t="shared" si="111"/>
        <v>9.7847358121330714</v>
      </c>
      <c r="K1738" s="7">
        <f t="shared" si="112"/>
        <v>0</v>
      </c>
    </row>
    <row r="1739" spans="1:11" x14ac:dyDescent="0.35">
      <c r="A1739">
        <v>2024</v>
      </c>
      <c r="B1739">
        <v>3122470</v>
      </c>
      <c r="C1739" t="str">
        <f>VLOOKUP(B1739,SAEB!$A:$B,2,0)</f>
        <v>Dom Bosco</v>
      </c>
      <c r="D1739">
        <v>42</v>
      </c>
      <c r="E1739">
        <v>41</v>
      </c>
      <c r="F1739">
        <v>103</v>
      </c>
      <c r="G1739">
        <v>0</v>
      </c>
      <c r="H1739" s="7">
        <f t="shared" si="109"/>
        <v>22.58064516129032</v>
      </c>
      <c r="I1739" s="7">
        <f t="shared" si="110"/>
        <v>22.043010752688172</v>
      </c>
      <c r="J1739" s="7">
        <f t="shared" si="111"/>
        <v>55.376344086021504</v>
      </c>
      <c r="K1739" s="7">
        <f t="shared" si="112"/>
        <v>0</v>
      </c>
    </row>
    <row r="1740" spans="1:11" x14ac:dyDescent="0.35">
      <c r="A1740">
        <v>2024</v>
      </c>
      <c r="B1740">
        <v>3123106</v>
      </c>
      <c r="C1740" t="str">
        <f>VLOOKUP(B1740,SAEB!$A:$B,2,0)</f>
        <v>Dores de Guanhães</v>
      </c>
      <c r="D1740">
        <v>233</v>
      </c>
      <c r="E1740">
        <v>0</v>
      </c>
      <c r="F1740">
        <v>81</v>
      </c>
      <c r="G1740">
        <v>0</v>
      </c>
      <c r="H1740" s="7">
        <f t="shared" si="109"/>
        <v>74.203821656050948</v>
      </c>
      <c r="I1740" s="7">
        <f t="shared" si="110"/>
        <v>0</v>
      </c>
      <c r="J1740" s="7">
        <f t="shared" si="111"/>
        <v>25.796178343949045</v>
      </c>
      <c r="K1740" s="7">
        <f t="shared" si="112"/>
        <v>0</v>
      </c>
    </row>
    <row r="1741" spans="1:11" x14ac:dyDescent="0.35">
      <c r="A1741">
        <v>2024</v>
      </c>
      <c r="B1741">
        <v>3123700</v>
      </c>
      <c r="C1741" t="str">
        <f>VLOOKUP(B1741,SAEB!$A:$B,2,0)</f>
        <v>Engenheiro Caldas</v>
      </c>
      <c r="D1741">
        <v>545</v>
      </c>
      <c r="E1741">
        <v>96</v>
      </c>
      <c r="F1741">
        <v>0</v>
      </c>
      <c r="G1741">
        <v>0</v>
      </c>
      <c r="H1741" s="7">
        <f t="shared" si="109"/>
        <v>85.023400936037447</v>
      </c>
      <c r="I1741" s="7">
        <f t="shared" si="110"/>
        <v>14.97659906396256</v>
      </c>
      <c r="J1741" s="7">
        <f t="shared" si="111"/>
        <v>0</v>
      </c>
      <c r="K1741" s="7">
        <f t="shared" si="112"/>
        <v>0</v>
      </c>
    </row>
    <row r="1742" spans="1:11" x14ac:dyDescent="0.35">
      <c r="A1742">
        <v>2024</v>
      </c>
      <c r="B1742">
        <v>3123809</v>
      </c>
      <c r="C1742" t="str">
        <f>VLOOKUP(B1742,SAEB!$A:$B,2,0)</f>
        <v>Engenheiro Navarro</v>
      </c>
      <c r="D1742">
        <v>331</v>
      </c>
      <c r="E1742">
        <v>0</v>
      </c>
      <c r="F1742">
        <v>41</v>
      </c>
      <c r="G1742">
        <v>0</v>
      </c>
      <c r="H1742" s="7">
        <f t="shared" si="109"/>
        <v>88.978494623655919</v>
      </c>
      <c r="I1742" s="7">
        <f t="shared" si="110"/>
        <v>0</v>
      </c>
      <c r="J1742" s="7">
        <f t="shared" si="111"/>
        <v>11.021505376344086</v>
      </c>
      <c r="K1742" s="7">
        <f t="shared" si="112"/>
        <v>0</v>
      </c>
    </row>
    <row r="1743" spans="1:11" x14ac:dyDescent="0.35">
      <c r="A1743">
        <v>2024</v>
      </c>
      <c r="B1743">
        <v>3124302</v>
      </c>
      <c r="C1743" t="str">
        <f>VLOOKUP(B1743,SAEB!$A:$B,2,0)</f>
        <v>Espinosa</v>
      </c>
      <c r="D1743">
        <v>417</v>
      </c>
      <c r="E1743">
        <v>0</v>
      </c>
      <c r="F1743">
        <v>410</v>
      </c>
      <c r="G1743">
        <v>0</v>
      </c>
      <c r="H1743" s="7">
        <f t="shared" si="109"/>
        <v>50.423216444981868</v>
      </c>
      <c r="I1743" s="7">
        <f t="shared" si="110"/>
        <v>0</v>
      </c>
      <c r="J1743" s="7">
        <f t="shared" si="111"/>
        <v>49.576783555018139</v>
      </c>
      <c r="K1743" s="7">
        <f t="shared" si="112"/>
        <v>0</v>
      </c>
    </row>
    <row r="1744" spans="1:11" x14ac:dyDescent="0.35">
      <c r="A1744">
        <v>2024</v>
      </c>
      <c r="B1744">
        <v>3125408</v>
      </c>
      <c r="C1744" t="str">
        <f>VLOOKUP(B1744,SAEB!$A:$B,2,0)</f>
        <v>Felício dos Santos</v>
      </c>
      <c r="D1744">
        <v>340</v>
      </c>
      <c r="E1744">
        <v>0</v>
      </c>
      <c r="F1744">
        <v>0</v>
      </c>
      <c r="G1744">
        <v>0</v>
      </c>
      <c r="H1744" s="7">
        <f t="shared" si="109"/>
        <v>100</v>
      </c>
      <c r="I1744" s="7">
        <f t="shared" si="110"/>
        <v>0</v>
      </c>
      <c r="J1744" s="7">
        <f t="shared" si="111"/>
        <v>0</v>
      </c>
      <c r="K1744" s="7">
        <f t="shared" si="112"/>
        <v>0</v>
      </c>
    </row>
    <row r="1745" spans="1:11" x14ac:dyDescent="0.35">
      <c r="A1745">
        <v>2024</v>
      </c>
      <c r="B1745">
        <v>3125705</v>
      </c>
      <c r="C1745" t="str">
        <f>VLOOKUP(B1745,SAEB!$A:$B,2,0)</f>
        <v>Felixlândia</v>
      </c>
      <c r="D1745">
        <v>577</v>
      </c>
      <c r="E1745">
        <v>365</v>
      </c>
      <c r="F1745">
        <v>54</v>
      </c>
      <c r="G1745">
        <v>0</v>
      </c>
      <c r="H1745" s="7">
        <f t="shared" si="109"/>
        <v>57.931726907630519</v>
      </c>
      <c r="I1745" s="7">
        <f t="shared" si="110"/>
        <v>36.646586345381529</v>
      </c>
      <c r="J1745" s="7">
        <f t="shared" si="111"/>
        <v>5.4216867469879517</v>
      </c>
      <c r="K1745" s="7">
        <f t="shared" si="112"/>
        <v>0</v>
      </c>
    </row>
    <row r="1746" spans="1:11" x14ac:dyDescent="0.35">
      <c r="A1746">
        <v>2024</v>
      </c>
      <c r="B1746">
        <v>3126604</v>
      </c>
      <c r="C1746" t="str">
        <f>VLOOKUP(B1746,SAEB!$A:$B,2,0)</f>
        <v>Francisco Dumont</v>
      </c>
      <c r="D1746">
        <v>263</v>
      </c>
      <c r="E1746">
        <v>0</v>
      </c>
      <c r="F1746">
        <v>27</v>
      </c>
      <c r="G1746">
        <v>40</v>
      </c>
      <c r="H1746" s="7">
        <f t="shared" si="109"/>
        <v>79.696969696969703</v>
      </c>
      <c r="I1746" s="7">
        <f t="shared" si="110"/>
        <v>0</v>
      </c>
      <c r="J1746" s="7">
        <f t="shared" si="111"/>
        <v>8.1818181818181817</v>
      </c>
      <c r="K1746" s="7">
        <f t="shared" si="112"/>
        <v>12.121212121212121</v>
      </c>
    </row>
    <row r="1747" spans="1:11" x14ac:dyDescent="0.35">
      <c r="A1747">
        <v>2024</v>
      </c>
      <c r="B1747">
        <v>3126703</v>
      </c>
      <c r="C1747" t="str">
        <f>VLOOKUP(B1747,SAEB!$A:$B,2,0)</f>
        <v>Francisco Sá</v>
      </c>
      <c r="D1747">
        <v>568</v>
      </c>
      <c r="E1747">
        <v>109</v>
      </c>
      <c r="F1747">
        <v>228</v>
      </c>
      <c r="G1747">
        <v>67</v>
      </c>
      <c r="H1747" s="7">
        <f t="shared" si="109"/>
        <v>58.436213991769549</v>
      </c>
      <c r="I1747" s="7">
        <f t="shared" si="110"/>
        <v>11.213991769547325</v>
      </c>
      <c r="J1747" s="7">
        <f t="shared" si="111"/>
        <v>23.456790123456788</v>
      </c>
      <c r="K1747" s="7">
        <f t="shared" si="112"/>
        <v>6.8930041152263382</v>
      </c>
    </row>
    <row r="1748" spans="1:11" x14ac:dyDescent="0.35">
      <c r="A1748">
        <v>2024</v>
      </c>
      <c r="B1748">
        <v>3126901</v>
      </c>
      <c r="C1748" t="str">
        <f>VLOOKUP(B1748,SAEB!$A:$B,2,0)</f>
        <v>Frei Inocêncio</v>
      </c>
      <c r="D1748">
        <v>453</v>
      </c>
      <c r="E1748">
        <v>0</v>
      </c>
      <c r="F1748">
        <v>52</v>
      </c>
      <c r="G1748">
        <v>0</v>
      </c>
      <c r="H1748" s="7">
        <f t="shared" si="109"/>
        <v>89.702970297029708</v>
      </c>
      <c r="I1748" s="7">
        <f t="shared" si="110"/>
        <v>0</v>
      </c>
      <c r="J1748" s="7">
        <f t="shared" si="111"/>
        <v>10.297029702970297</v>
      </c>
      <c r="K1748" s="7">
        <f t="shared" si="112"/>
        <v>0</v>
      </c>
    </row>
    <row r="1749" spans="1:11" x14ac:dyDescent="0.35">
      <c r="A1749">
        <v>2024</v>
      </c>
      <c r="B1749">
        <v>3127073</v>
      </c>
      <c r="C1749" t="str">
        <f>VLOOKUP(B1749,SAEB!$A:$B,2,0)</f>
        <v>Fruta de Leite</v>
      </c>
      <c r="D1749">
        <v>213</v>
      </c>
      <c r="E1749">
        <v>0</v>
      </c>
      <c r="F1749">
        <v>27</v>
      </c>
      <c r="G1749">
        <v>0</v>
      </c>
      <c r="H1749" s="7">
        <f t="shared" si="109"/>
        <v>88.75</v>
      </c>
      <c r="I1749" s="7">
        <f t="shared" si="110"/>
        <v>0</v>
      </c>
      <c r="J1749" s="7">
        <f t="shared" si="111"/>
        <v>11.25</v>
      </c>
      <c r="K1749" s="7">
        <f t="shared" si="112"/>
        <v>0</v>
      </c>
    </row>
    <row r="1750" spans="1:11" x14ac:dyDescent="0.35">
      <c r="A1750">
        <v>2024</v>
      </c>
      <c r="B1750">
        <v>3127354</v>
      </c>
      <c r="C1750" t="str">
        <f>VLOOKUP(B1750,SAEB!$A:$B,2,0)</f>
        <v>Glaucilândia</v>
      </c>
      <c r="D1750">
        <v>94</v>
      </c>
      <c r="E1750">
        <v>0</v>
      </c>
      <c r="F1750">
        <v>53</v>
      </c>
      <c r="G1750">
        <v>0</v>
      </c>
      <c r="H1750" s="7">
        <f t="shared" si="109"/>
        <v>63.945578231292522</v>
      </c>
      <c r="I1750" s="7">
        <f t="shared" si="110"/>
        <v>0</v>
      </c>
      <c r="J1750" s="7">
        <f t="shared" si="111"/>
        <v>36.054421768707485</v>
      </c>
      <c r="K1750" s="7">
        <f t="shared" si="112"/>
        <v>0</v>
      </c>
    </row>
    <row r="1751" spans="1:11" x14ac:dyDescent="0.35">
      <c r="A1751">
        <v>2024</v>
      </c>
      <c r="B1751">
        <v>3127503</v>
      </c>
      <c r="C1751" t="str">
        <f>VLOOKUP(B1751,SAEB!$A:$B,2,0)</f>
        <v>Gonzaga</v>
      </c>
      <c r="D1751">
        <v>246</v>
      </c>
      <c r="E1751">
        <v>0</v>
      </c>
      <c r="F1751">
        <v>91</v>
      </c>
      <c r="G1751">
        <v>0</v>
      </c>
      <c r="H1751" s="7">
        <f t="shared" si="109"/>
        <v>72.997032640949556</v>
      </c>
      <c r="I1751" s="7">
        <f t="shared" si="110"/>
        <v>0</v>
      </c>
      <c r="J1751" s="7">
        <f t="shared" si="111"/>
        <v>27.002967359050444</v>
      </c>
      <c r="K1751" s="7">
        <f t="shared" si="112"/>
        <v>0</v>
      </c>
    </row>
    <row r="1752" spans="1:11" x14ac:dyDescent="0.35">
      <c r="A1752">
        <v>2024</v>
      </c>
      <c r="B1752">
        <v>3127602</v>
      </c>
      <c r="C1752" t="str">
        <f>VLOOKUP(B1752,SAEB!$A:$B,2,0)</f>
        <v>Gouveia</v>
      </c>
      <c r="D1752">
        <v>644</v>
      </c>
      <c r="E1752">
        <v>0</v>
      </c>
      <c r="F1752">
        <v>50</v>
      </c>
      <c r="G1752">
        <v>33</v>
      </c>
      <c r="H1752" s="7">
        <f t="shared" si="109"/>
        <v>88.583218707015135</v>
      </c>
      <c r="I1752" s="7">
        <f t="shared" si="110"/>
        <v>0</v>
      </c>
      <c r="J1752" s="7">
        <f t="shared" si="111"/>
        <v>6.8775790921595599</v>
      </c>
      <c r="K1752" s="7">
        <f t="shared" si="112"/>
        <v>4.5392022008253097</v>
      </c>
    </row>
    <row r="1753" spans="1:11" x14ac:dyDescent="0.35">
      <c r="A1753">
        <v>2024</v>
      </c>
      <c r="B1753">
        <v>3127701</v>
      </c>
      <c r="C1753" t="str">
        <f>VLOOKUP(B1753,SAEB!$A:$B,2,0)</f>
        <v>Governador Valadares</v>
      </c>
      <c r="D1753">
        <v>6273</v>
      </c>
      <c r="E1753">
        <v>1787</v>
      </c>
      <c r="F1753">
        <v>340</v>
      </c>
      <c r="G1753">
        <v>245</v>
      </c>
      <c r="H1753" s="7">
        <f t="shared" si="109"/>
        <v>72.56217466743783</v>
      </c>
      <c r="I1753" s="7">
        <f t="shared" si="110"/>
        <v>20.670908039329092</v>
      </c>
      <c r="J1753" s="7">
        <f t="shared" si="111"/>
        <v>3.9329091960670906</v>
      </c>
      <c r="K1753" s="7">
        <f t="shared" si="112"/>
        <v>2.834008097165992</v>
      </c>
    </row>
    <row r="1754" spans="1:11" x14ac:dyDescent="0.35">
      <c r="A1754">
        <v>2024</v>
      </c>
      <c r="B1754">
        <v>3128006</v>
      </c>
      <c r="C1754" t="str">
        <f>VLOOKUP(B1754,SAEB!$A:$B,2,0)</f>
        <v>Guanhães</v>
      </c>
      <c r="D1754">
        <v>1223</v>
      </c>
      <c r="E1754">
        <v>0</v>
      </c>
      <c r="F1754">
        <v>34</v>
      </c>
      <c r="G1754">
        <v>0</v>
      </c>
      <c r="H1754" s="7">
        <f t="shared" si="109"/>
        <v>97.29514717581543</v>
      </c>
      <c r="I1754" s="7">
        <f t="shared" si="110"/>
        <v>0</v>
      </c>
      <c r="J1754" s="7">
        <f t="shared" si="111"/>
        <v>2.7048528241845662</v>
      </c>
      <c r="K1754" s="7">
        <f t="shared" si="112"/>
        <v>0</v>
      </c>
    </row>
    <row r="1755" spans="1:11" x14ac:dyDescent="0.35">
      <c r="A1755">
        <v>2024</v>
      </c>
      <c r="B1755">
        <v>3128253</v>
      </c>
      <c r="C1755" t="str">
        <f>VLOOKUP(B1755,SAEB!$A:$B,2,0)</f>
        <v>Guaraciama</v>
      </c>
      <c r="D1755">
        <v>322</v>
      </c>
      <c r="E1755">
        <v>0</v>
      </c>
      <c r="F1755">
        <v>0</v>
      </c>
      <c r="G1755">
        <v>0</v>
      </c>
      <c r="H1755" s="7">
        <f t="shared" si="109"/>
        <v>100</v>
      </c>
      <c r="I1755" s="7">
        <f t="shared" si="110"/>
        <v>0</v>
      </c>
      <c r="J1755" s="7">
        <f t="shared" si="111"/>
        <v>0</v>
      </c>
      <c r="K1755" s="7">
        <f t="shared" si="112"/>
        <v>0</v>
      </c>
    </row>
    <row r="1756" spans="1:11" x14ac:dyDescent="0.35">
      <c r="A1756">
        <v>2024</v>
      </c>
      <c r="B1756">
        <v>3129657</v>
      </c>
      <c r="C1756" t="str">
        <f>VLOOKUP(B1756,SAEB!$A:$B,2,0)</f>
        <v>Ibiracatu</v>
      </c>
      <c r="D1756">
        <v>95</v>
      </c>
      <c r="E1756">
        <v>87</v>
      </c>
      <c r="F1756">
        <v>120</v>
      </c>
      <c r="G1756">
        <v>34</v>
      </c>
      <c r="H1756" s="7">
        <f t="shared" si="109"/>
        <v>28.273809523809522</v>
      </c>
      <c r="I1756" s="7">
        <f t="shared" si="110"/>
        <v>25.892857142857146</v>
      </c>
      <c r="J1756" s="7">
        <f t="shared" si="111"/>
        <v>35.714285714285715</v>
      </c>
      <c r="K1756" s="7">
        <f t="shared" si="112"/>
        <v>10.119047619047619</v>
      </c>
    </row>
    <row r="1757" spans="1:11" x14ac:dyDescent="0.35">
      <c r="A1757">
        <v>2024</v>
      </c>
      <c r="B1757">
        <v>3130051</v>
      </c>
      <c r="C1757" t="str">
        <f>VLOOKUP(B1757,SAEB!$A:$B,2,0)</f>
        <v>Icaraí de Minas</v>
      </c>
      <c r="D1757">
        <v>311</v>
      </c>
      <c r="E1757">
        <v>0</v>
      </c>
      <c r="F1757">
        <v>71</v>
      </c>
      <c r="G1757">
        <v>0</v>
      </c>
      <c r="H1757" s="7">
        <f t="shared" si="109"/>
        <v>81.413612565445021</v>
      </c>
      <c r="I1757" s="7">
        <f t="shared" si="110"/>
        <v>0</v>
      </c>
      <c r="J1757" s="7">
        <f t="shared" si="111"/>
        <v>18.586387434554975</v>
      </c>
      <c r="K1757" s="7">
        <f t="shared" si="112"/>
        <v>0</v>
      </c>
    </row>
    <row r="1758" spans="1:11" x14ac:dyDescent="0.35">
      <c r="A1758">
        <v>2024</v>
      </c>
      <c r="B1758">
        <v>3130556</v>
      </c>
      <c r="C1758" t="str">
        <f>VLOOKUP(B1758,SAEB!$A:$B,2,0)</f>
        <v>Imbé de Minas</v>
      </c>
      <c r="D1758">
        <v>252</v>
      </c>
      <c r="E1758">
        <v>0</v>
      </c>
      <c r="F1758">
        <v>154</v>
      </c>
      <c r="G1758">
        <v>0</v>
      </c>
      <c r="H1758" s="7">
        <f t="shared" si="109"/>
        <v>62.068965517241381</v>
      </c>
      <c r="I1758" s="7">
        <f t="shared" si="110"/>
        <v>0</v>
      </c>
      <c r="J1758" s="7">
        <f t="shared" si="111"/>
        <v>37.931034482758619</v>
      </c>
      <c r="K1758" s="7">
        <f t="shared" si="112"/>
        <v>0</v>
      </c>
    </row>
    <row r="1759" spans="1:11" x14ac:dyDescent="0.35">
      <c r="A1759">
        <v>2024</v>
      </c>
      <c r="B1759">
        <v>3130655</v>
      </c>
      <c r="C1759" t="str">
        <f>VLOOKUP(B1759,SAEB!$A:$B,2,0)</f>
        <v>Indaiabira</v>
      </c>
      <c r="D1759">
        <v>255</v>
      </c>
      <c r="E1759">
        <v>0</v>
      </c>
      <c r="F1759">
        <v>136</v>
      </c>
      <c r="G1759">
        <v>55</v>
      </c>
      <c r="H1759" s="7">
        <f t="shared" si="109"/>
        <v>57.174887892376681</v>
      </c>
      <c r="I1759" s="7">
        <f t="shared" si="110"/>
        <v>0</v>
      </c>
      <c r="J1759" s="7">
        <f t="shared" si="111"/>
        <v>30.493273542600896</v>
      </c>
      <c r="K1759" s="7">
        <f t="shared" si="112"/>
        <v>12.331838565022421</v>
      </c>
    </row>
    <row r="1760" spans="1:11" x14ac:dyDescent="0.35">
      <c r="A1760">
        <v>2024</v>
      </c>
      <c r="B1760">
        <v>3130903</v>
      </c>
      <c r="C1760" t="str">
        <f>VLOOKUP(B1760,SAEB!$A:$B,2,0)</f>
        <v>Inhapim</v>
      </c>
      <c r="D1760">
        <v>735</v>
      </c>
      <c r="E1760">
        <v>0</v>
      </c>
      <c r="F1760">
        <v>351</v>
      </c>
      <c r="G1760">
        <v>57</v>
      </c>
      <c r="H1760" s="7">
        <f t="shared" si="109"/>
        <v>64.30446194225722</v>
      </c>
      <c r="I1760" s="7">
        <f t="shared" si="110"/>
        <v>0</v>
      </c>
      <c r="J1760" s="7">
        <f t="shared" si="111"/>
        <v>30.708661417322837</v>
      </c>
      <c r="K1760" s="7">
        <f t="shared" si="112"/>
        <v>4.9868766404199478</v>
      </c>
    </row>
    <row r="1761" spans="1:11" x14ac:dyDescent="0.35">
      <c r="A1761">
        <v>2024</v>
      </c>
      <c r="B1761">
        <v>3131109</v>
      </c>
      <c r="C1761" t="str">
        <f>VLOOKUP(B1761,SAEB!$A:$B,2,0)</f>
        <v>Inimutaba</v>
      </c>
      <c r="D1761">
        <v>327</v>
      </c>
      <c r="E1761">
        <v>0</v>
      </c>
      <c r="F1761">
        <v>94</v>
      </c>
      <c r="G1761">
        <v>0</v>
      </c>
      <c r="H1761" s="7">
        <f t="shared" si="109"/>
        <v>77.672209026128272</v>
      </c>
      <c r="I1761" s="7">
        <f t="shared" si="110"/>
        <v>0</v>
      </c>
      <c r="J1761" s="7">
        <f t="shared" si="111"/>
        <v>22.327790973871732</v>
      </c>
      <c r="K1761" s="7">
        <f t="shared" si="112"/>
        <v>0</v>
      </c>
    </row>
    <row r="1762" spans="1:11" x14ac:dyDescent="0.35">
      <c r="A1762">
        <v>2024</v>
      </c>
      <c r="B1762">
        <v>3131208</v>
      </c>
      <c r="C1762" t="str">
        <f>VLOOKUP(B1762,SAEB!$A:$B,2,0)</f>
        <v>Ipanema</v>
      </c>
      <c r="D1762">
        <v>1034</v>
      </c>
      <c r="E1762">
        <v>952</v>
      </c>
      <c r="F1762">
        <v>43</v>
      </c>
      <c r="G1762">
        <v>14</v>
      </c>
      <c r="H1762" s="7">
        <f t="shared" si="109"/>
        <v>50.611845325501712</v>
      </c>
      <c r="I1762" s="7">
        <f t="shared" si="110"/>
        <v>46.598139990210477</v>
      </c>
      <c r="J1762" s="7">
        <f t="shared" si="111"/>
        <v>2.1047479197258934</v>
      </c>
      <c r="K1762" s="7">
        <f t="shared" si="112"/>
        <v>0.68526676456191871</v>
      </c>
    </row>
    <row r="1763" spans="1:11" x14ac:dyDescent="0.35">
      <c r="A1763">
        <v>2024</v>
      </c>
      <c r="B1763">
        <v>3131802</v>
      </c>
      <c r="C1763" t="str">
        <f>VLOOKUP(B1763,SAEB!$A:$B,2,0)</f>
        <v>Itabirinha</v>
      </c>
      <c r="D1763">
        <v>540</v>
      </c>
      <c r="E1763">
        <v>0</v>
      </c>
      <c r="F1763">
        <v>79</v>
      </c>
      <c r="G1763">
        <v>0</v>
      </c>
      <c r="H1763" s="7">
        <f t="shared" si="109"/>
        <v>87.237479806138936</v>
      </c>
      <c r="I1763" s="7">
        <f t="shared" si="110"/>
        <v>0</v>
      </c>
      <c r="J1763" s="7">
        <f t="shared" si="111"/>
        <v>12.762520193861066</v>
      </c>
      <c r="K1763" s="7">
        <f t="shared" si="112"/>
        <v>0</v>
      </c>
    </row>
    <row r="1764" spans="1:11" x14ac:dyDescent="0.35">
      <c r="A1764">
        <v>2024</v>
      </c>
      <c r="B1764">
        <v>3132107</v>
      </c>
      <c r="C1764" t="str">
        <f>VLOOKUP(B1764,SAEB!$A:$B,2,0)</f>
        <v>Itacarambi</v>
      </c>
      <c r="D1764">
        <v>810</v>
      </c>
      <c r="E1764">
        <v>694</v>
      </c>
      <c r="F1764">
        <v>67</v>
      </c>
      <c r="G1764">
        <v>69</v>
      </c>
      <c r="H1764" s="7">
        <f t="shared" si="109"/>
        <v>49.390243902439025</v>
      </c>
      <c r="I1764" s="7">
        <f t="shared" si="110"/>
        <v>42.317073170731703</v>
      </c>
      <c r="J1764" s="7">
        <f t="shared" si="111"/>
        <v>4.0853658536585371</v>
      </c>
      <c r="K1764" s="7">
        <f t="shared" si="112"/>
        <v>4.2073170731707323</v>
      </c>
    </row>
    <row r="1765" spans="1:11" x14ac:dyDescent="0.35">
      <c r="A1765">
        <v>2024</v>
      </c>
      <c r="B1765">
        <v>3132305</v>
      </c>
      <c r="C1765" t="str">
        <f>VLOOKUP(B1765,SAEB!$A:$B,2,0)</f>
        <v>Itaipé</v>
      </c>
      <c r="D1765">
        <v>192</v>
      </c>
      <c r="E1765">
        <v>322</v>
      </c>
      <c r="F1765">
        <v>301</v>
      </c>
      <c r="G1765">
        <v>0</v>
      </c>
      <c r="H1765" s="7">
        <f t="shared" si="109"/>
        <v>23.558282208588956</v>
      </c>
      <c r="I1765" s="7">
        <f t="shared" si="110"/>
        <v>39.509202453987733</v>
      </c>
      <c r="J1765" s="7">
        <f t="shared" si="111"/>
        <v>36.932515337423311</v>
      </c>
      <c r="K1765" s="7">
        <f t="shared" si="112"/>
        <v>0</v>
      </c>
    </row>
    <row r="1766" spans="1:11" x14ac:dyDescent="0.35">
      <c r="A1766">
        <v>2024</v>
      </c>
      <c r="B1766">
        <v>3132503</v>
      </c>
      <c r="C1766" t="str">
        <f>VLOOKUP(B1766,SAEB!$A:$B,2,0)</f>
        <v>Itamarandiba</v>
      </c>
      <c r="D1766">
        <v>1298</v>
      </c>
      <c r="E1766">
        <v>233</v>
      </c>
      <c r="F1766">
        <v>252</v>
      </c>
      <c r="G1766">
        <v>40</v>
      </c>
      <c r="H1766" s="7">
        <f t="shared" si="109"/>
        <v>71.20131651124521</v>
      </c>
      <c r="I1766" s="7">
        <f t="shared" si="110"/>
        <v>12.781130005485464</v>
      </c>
      <c r="J1766" s="7">
        <f t="shared" si="111"/>
        <v>13.823368074602305</v>
      </c>
      <c r="K1766" s="7">
        <f t="shared" si="112"/>
        <v>2.1941854086670323</v>
      </c>
    </row>
    <row r="1767" spans="1:11" x14ac:dyDescent="0.35">
      <c r="A1767">
        <v>2024</v>
      </c>
      <c r="B1767">
        <v>3132701</v>
      </c>
      <c r="C1767" t="str">
        <f>VLOOKUP(B1767,SAEB!$A:$B,2,0)</f>
        <v>Itambacuri</v>
      </c>
      <c r="D1767">
        <v>302</v>
      </c>
      <c r="E1767">
        <v>91</v>
      </c>
      <c r="F1767">
        <v>263</v>
      </c>
      <c r="G1767">
        <v>268</v>
      </c>
      <c r="H1767" s="7">
        <f t="shared" si="109"/>
        <v>32.683982683982684</v>
      </c>
      <c r="I1767" s="7">
        <f t="shared" si="110"/>
        <v>9.8484848484848477</v>
      </c>
      <c r="J1767" s="7">
        <f t="shared" si="111"/>
        <v>28.463203463203463</v>
      </c>
      <c r="K1767" s="7">
        <f t="shared" si="112"/>
        <v>29.004329004329005</v>
      </c>
    </row>
    <row r="1768" spans="1:11" x14ac:dyDescent="0.35">
      <c r="A1768">
        <v>2024</v>
      </c>
      <c r="B1768">
        <v>3133204</v>
      </c>
      <c r="C1768" t="str">
        <f>VLOOKUP(B1768,SAEB!$A:$B,2,0)</f>
        <v>Itanhomi</v>
      </c>
      <c r="D1768">
        <v>587</v>
      </c>
      <c r="E1768">
        <v>0</v>
      </c>
      <c r="F1768">
        <v>21</v>
      </c>
      <c r="G1768">
        <v>0</v>
      </c>
      <c r="H1768" s="7">
        <f t="shared" si="109"/>
        <v>96.546052631578945</v>
      </c>
      <c r="I1768" s="7">
        <f t="shared" si="110"/>
        <v>0</v>
      </c>
      <c r="J1768" s="7">
        <f t="shared" si="111"/>
        <v>3.4539473684210531</v>
      </c>
      <c r="K1768" s="7">
        <f t="shared" si="112"/>
        <v>0</v>
      </c>
    </row>
    <row r="1769" spans="1:11" x14ac:dyDescent="0.35">
      <c r="A1769">
        <v>2024</v>
      </c>
      <c r="B1769">
        <v>3133303</v>
      </c>
      <c r="C1769" t="str">
        <f>VLOOKUP(B1769,SAEB!$A:$B,2,0)</f>
        <v>Itaobim</v>
      </c>
      <c r="D1769">
        <v>876</v>
      </c>
      <c r="E1769">
        <v>78</v>
      </c>
      <c r="F1769">
        <v>91</v>
      </c>
      <c r="G1769">
        <v>85</v>
      </c>
      <c r="H1769" s="7">
        <f t="shared" si="109"/>
        <v>77.522123893805301</v>
      </c>
      <c r="I1769" s="7">
        <f t="shared" si="110"/>
        <v>6.9026548672566372</v>
      </c>
      <c r="J1769" s="7">
        <f t="shared" si="111"/>
        <v>8.0530973451327448</v>
      </c>
      <c r="K1769" s="7">
        <f t="shared" si="112"/>
        <v>7.5221238938053103</v>
      </c>
    </row>
    <row r="1770" spans="1:11" x14ac:dyDescent="0.35">
      <c r="A1770">
        <v>2024</v>
      </c>
      <c r="B1770">
        <v>3134004</v>
      </c>
      <c r="C1770" t="str">
        <f>VLOOKUP(B1770,SAEB!$A:$B,2,0)</f>
        <v>Itinga</v>
      </c>
      <c r="D1770">
        <v>302</v>
      </c>
      <c r="E1770">
        <v>154</v>
      </c>
      <c r="F1770">
        <v>228</v>
      </c>
      <c r="G1770">
        <v>150</v>
      </c>
      <c r="H1770" s="7">
        <f t="shared" si="109"/>
        <v>36.211031175059958</v>
      </c>
      <c r="I1770" s="7">
        <f t="shared" si="110"/>
        <v>18.465227817745802</v>
      </c>
      <c r="J1770" s="7">
        <f t="shared" si="111"/>
        <v>27.338129496402878</v>
      </c>
      <c r="K1770" s="7">
        <f t="shared" si="112"/>
        <v>17.985611510791365</v>
      </c>
    </row>
    <row r="1771" spans="1:11" x14ac:dyDescent="0.35">
      <c r="A1771">
        <v>2024</v>
      </c>
      <c r="B1771">
        <v>3134103</v>
      </c>
      <c r="C1771" t="str">
        <f>VLOOKUP(B1771,SAEB!$A:$B,2,0)</f>
        <v>Itueta</v>
      </c>
      <c r="D1771">
        <v>152</v>
      </c>
      <c r="E1771">
        <v>88</v>
      </c>
      <c r="F1771">
        <v>98</v>
      </c>
      <c r="G1771">
        <v>59</v>
      </c>
      <c r="H1771" s="7">
        <f t="shared" si="109"/>
        <v>38.287153652392945</v>
      </c>
      <c r="I1771" s="7">
        <f t="shared" si="110"/>
        <v>22.166246851385392</v>
      </c>
      <c r="J1771" s="7">
        <f t="shared" si="111"/>
        <v>24.685138539042821</v>
      </c>
      <c r="K1771" s="7">
        <f t="shared" si="112"/>
        <v>14.86146095717884</v>
      </c>
    </row>
    <row r="1772" spans="1:11" x14ac:dyDescent="0.35">
      <c r="A1772">
        <v>2024</v>
      </c>
      <c r="B1772">
        <v>3134707</v>
      </c>
      <c r="C1772" t="str">
        <f>VLOOKUP(B1772,SAEB!$A:$B,2,0)</f>
        <v>Jacinto</v>
      </c>
      <c r="D1772">
        <v>524</v>
      </c>
      <c r="E1772">
        <v>0</v>
      </c>
      <c r="F1772">
        <v>42</v>
      </c>
      <c r="G1772">
        <v>24</v>
      </c>
      <c r="H1772" s="7">
        <f t="shared" si="109"/>
        <v>88.813559322033896</v>
      </c>
      <c r="I1772" s="7">
        <f t="shared" si="110"/>
        <v>0</v>
      </c>
      <c r="J1772" s="7">
        <f t="shared" si="111"/>
        <v>7.1186440677966107</v>
      </c>
      <c r="K1772" s="7">
        <f t="shared" si="112"/>
        <v>4.0677966101694913</v>
      </c>
    </row>
    <row r="1773" spans="1:11" x14ac:dyDescent="0.35">
      <c r="A1773">
        <v>2024</v>
      </c>
      <c r="B1773">
        <v>3135050</v>
      </c>
      <c r="C1773" t="str">
        <f>VLOOKUP(B1773,SAEB!$A:$B,2,0)</f>
        <v>Jaíba</v>
      </c>
      <c r="D1773">
        <v>689</v>
      </c>
      <c r="E1773">
        <v>0</v>
      </c>
      <c r="F1773">
        <v>310</v>
      </c>
      <c r="G1773">
        <v>174</v>
      </c>
      <c r="H1773" s="7">
        <f t="shared" si="109"/>
        <v>58.738277919863599</v>
      </c>
      <c r="I1773" s="7">
        <f t="shared" si="110"/>
        <v>0</v>
      </c>
      <c r="J1773" s="7">
        <f t="shared" si="111"/>
        <v>26.427962489343564</v>
      </c>
      <c r="K1773" s="7">
        <f t="shared" si="112"/>
        <v>14.833759590792839</v>
      </c>
    </row>
    <row r="1774" spans="1:11" x14ac:dyDescent="0.35">
      <c r="A1774">
        <v>2024</v>
      </c>
      <c r="B1774">
        <v>3135100</v>
      </c>
      <c r="C1774" t="str">
        <f>VLOOKUP(B1774,SAEB!$A:$B,2,0)</f>
        <v>Janaúba</v>
      </c>
      <c r="D1774">
        <v>1556</v>
      </c>
      <c r="E1774">
        <v>438</v>
      </c>
      <c r="F1774">
        <v>122</v>
      </c>
      <c r="G1774">
        <v>0</v>
      </c>
      <c r="H1774" s="7">
        <f t="shared" si="109"/>
        <v>73.534971644612483</v>
      </c>
      <c r="I1774" s="7">
        <f t="shared" si="110"/>
        <v>20.699432892249529</v>
      </c>
      <c r="J1774" s="7">
        <f t="shared" si="111"/>
        <v>5.7655954631379966</v>
      </c>
      <c r="K1774" s="7">
        <f t="shared" si="112"/>
        <v>0</v>
      </c>
    </row>
    <row r="1775" spans="1:11" x14ac:dyDescent="0.35">
      <c r="A1775">
        <v>2024</v>
      </c>
      <c r="B1775">
        <v>3135209</v>
      </c>
      <c r="C1775" t="str">
        <f>VLOOKUP(B1775,SAEB!$A:$B,2,0)</f>
        <v>Januária</v>
      </c>
      <c r="D1775">
        <v>395</v>
      </c>
      <c r="E1775">
        <v>247</v>
      </c>
      <c r="F1775">
        <v>657</v>
      </c>
      <c r="G1775">
        <v>368</v>
      </c>
      <c r="H1775" s="7">
        <f t="shared" si="109"/>
        <v>23.695260947810436</v>
      </c>
      <c r="I1775" s="7">
        <f t="shared" si="110"/>
        <v>14.817036592681463</v>
      </c>
      <c r="J1775" s="7">
        <f t="shared" si="111"/>
        <v>39.412117576484704</v>
      </c>
      <c r="K1775" s="7">
        <f t="shared" si="112"/>
        <v>22.075584883023396</v>
      </c>
    </row>
    <row r="1776" spans="1:11" x14ac:dyDescent="0.35">
      <c r="A1776">
        <v>2024</v>
      </c>
      <c r="B1776">
        <v>3135357</v>
      </c>
      <c r="C1776" t="str">
        <f>VLOOKUP(B1776,SAEB!$A:$B,2,0)</f>
        <v>Japonvar</v>
      </c>
      <c r="D1776">
        <v>128</v>
      </c>
      <c r="E1776">
        <v>144</v>
      </c>
      <c r="F1776">
        <v>146</v>
      </c>
      <c r="G1776">
        <v>141</v>
      </c>
      <c r="H1776" s="7">
        <f t="shared" si="109"/>
        <v>22.898032200357783</v>
      </c>
      <c r="I1776" s="7">
        <f t="shared" si="110"/>
        <v>25.760286225402506</v>
      </c>
      <c r="J1776" s="7">
        <f t="shared" si="111"/>
        <v>26.118067978533094</v>
      </c>
      <c r="K1776" s="7">
        <f t="shared" si="112"/>
        <v>25.223613595706617</v>
      </c>
    </row>
    <row r="1777" spans="1:11" x14ac:dyDescent="0.35">
      <c r="A1777">
        <v>2024</v>
      </c>
      <c r="B1777">
        <v>3135605</v>
      </c>
      <c r="C1777" t="str">
        <f>VLOOKUP(B1777,SAEB!$A:$B,2,0)</f>
        <v>Jequitaí</v>
      </c>
      <c r="D1777">
        <v>398</v>
      </c>
      <c r="E1777">
        <v>0</v>
      </c>
      <c r="F1777">
        <v>11</v>
      </c>
      <c r="G1777">
        <v>0</v>
      </c>
      <c r="H1777" s="7">
        <f t="shared" si="109"/>
        <v>97.310513447432768</v>
      </c>
      <c r="I1777" s="7">
        <f t="shared" si="110"/>
        <v>0</v>
      </c>
      <c r="J1777" s="7">
        <f t="shared" si="111"/>
        <v>2.6894865525672369</v>
      </c>
      <c r="K1777" s="7">
        <f t="shared" si="112"/>
        <v>0</v>
      </c>
    </row>
    <row r="1778" spans="1:11" x14ac:dyDescent="0.35">
      <c r="A1778">
        <v>2024</v>
      </c>
      <c r="B1778">
        <v>3135803</v>
      </c>
      <c r="C1778" t="str">
        <f>VLOOKUP(B1778,SAEB!$A:$B,2,0)</f>
        <v>Jequitinhonha</v>
      </c>
      <c r="D1778">
        <v>642</v>
      </c>
      <c r="E1778">
        <v>0</v>
      </c>
      <c r="F1778">
        <v>138</v>
      </c>
      <c r="G1778">
        <v>81</v>
      </c>
      <c r="H1778" s="7">
        <f t="shared" si="109"/>
        <v>74.564459930313589</v>
      </c>
      <c r="I1778" s="7">
        <f t="shared" si="110"/>
        <v>0</v>
      </c>
      <c r="J1778" s="7">
        <f t="shared" si="111"/>
        <v>16.027874564459928</v>
      </c>
      <c r="K1778" s="7">
        <f t="shared" si="112"/>
        <v>9.4076655052264808</v>
      </c>
    </row>
    <row r="1779" spans="1:11" x14ac:dyDescent="0.35">
      <c r="A1779">
        <v>2024</v>
      </c>
      <c r="B1779">
        <v>3136009</v>
      </c>
      <c r="C1779" t="str">
        <f>VLOOKUP(B1779,SAEB!$A:$B,2,0)</f>
        <v>Joaíma</v>
      </c>
      <c r="D1779">
        <v>591</v>
      </c>
      <c r="E1779">
        <v>332</v>
      </c>
      <c r="F1779">
        <v>170</v>
      </c>
      <c r="G1779">
        <v>96</v>
      </c>
      <c r="H1779" s="7">
        <f t="shared" si="109"/>
        <v>49.705634987384357</v>
      </c>
      <c r="I1779" s="7">
        <f t="shared" si="110"/>
        <v>27.922624053826745</v>
      </c>
      <c r="J1779" s="7">
        <f t="shared" si="111"/>
        <v>14.297729184188393</v>
      </c>
      <c r="K1779" s="7">
        <f t="shared" si="112"/>
        <v>8.0740117746005051</v>
      </c>
    </row>
    <row r="1780" spans="1:11" x14ac:dyDescent="0.35">
      <c r="A1780">
        <v>2024</v>
      </c>
      <c r="B1780">
        <v>3136405</v>
      </c>
      <c r="C1780" t="str">
        <f>VLOOKUP(B1780,SAEB!$A:$B,2,0)</f>
        <v>Joaquim Felício</v>
      </c>
      <c r="D1780">
        <v>235</v>
      </c>
      <c r="E1780">
        <v>208</v>
      </c>
      <c r="F1780">
        <v>0</v>
      </c>
      <c r="G1780">
        <v>0</v>
      </c>
      <c r="H1780" s="7">
        <f t="shared" si="109"/>
        <v>53.04740406320542</v>
      </c>
      <c r="I1780" s="7">
        <f t="shared" si="110"/>
        <v>46.95259593679458</v>
      </c>
      <c r="J1780" s="7">
        <f t="shared" si="111"/>
        <v>0</v>
      </c>
      <c r="K1780" s="7">
        <f t="shared" si="112"/>
        <v>0</v>
      </c>
    </row>
    <row r="1781" spans="1:11" x14ac:dyDescent="0.35">
      <c r="A1781">
        <v>2024</v>
      </c>
      <c r="B1781">
        <v>3136553</v>
      </c>
      <c r="C1781" t="str">
        <f>VLOOKUP(B1781,SAEB!$A:$B,2,0)</f>
        <v>José Raydan</v>
      </c>
      <c r="D1781">
        <v>172</v>
      </c>
      <c r="E1781">
        <v>0</v>
      </c>
      <c r="F1781">
        <v>89</v>
      </c>
      <c r="G1781">
        <v>0</v>
      </c>
      <c r="H1781" s="7">
        <f t="shared" si="109"/>
        <v>65.900383141762447</v>
      </c>
      <c r="I1781" s="7">
        <f t="shared" si="110"/>
        <v>0</v>
      </c>
      <c r="J1781" s="7">
        <f t="shared" si="111"/>
        <v>34.099616858237546</v>
      </c>
      <c r="K1781" s="7">
        <f t="shared" si="112"/>
        <v>0</v>
      </c>
    </row>
    <row r="1782" spans="1:11" x14ac:dyDescent="0.35">
      <c r="A1782">
        <v>2024</v>
      </c>
      <c r="B1782">
        <v>3136801</v>
      </c>
      <c r="C1782" t="str">
        <f>VLOOKUP(B1782,SAEB!$A:$B,2,0)</f>
        <v>Juramento</v>
      </c>
      <c r="D1782">
        <v>147</v>
      </c>
      <c r="E1782">
        <v>0</v>
      </c>
      <c r="F1782">
        <v>48</v>
      </c>
      <c r="G1782">
        <v>0</v>
      </c>
      <c r="H1782" s="7">
        <f t="shared" si="109"/>
        <v>75.384615384615387</v>
      </c>
      <c r="I1782" s="7">
        <f t="shared" si="110"/>
        <v>0</v>
      </c>
      <c r="J1782" s="7">
        <f t="shared" si="111"/>
        <v>24.615384615384617</v>
      </c>
      <c r="K1782" s="7">
        <f t="shared" si="112"/>
        <v>0</v>
      </c>
    </row>
    <row r="1783" spans="1:11" x14ac:dyDescent="0.35">
      <c r="A1783">
        <v>2024</v>
      </c>
      <c r="B1783">
        <v>3136959</v>
      </c>
      <c r="C1783" t="str">
        <f>VLOOKUP(B1783,SAEB!$A:$B,2,0)</f>
        <v>Juvenília</v>
      </c>
      <c r="D1783">
        <v>211</v>
      </c>
      <c r="E1783">
        <v>101</v>
      </c>
      <c r="F1783">
        <v>34</v>
      </c>
      <c r="G1783">
        <v>0</v>
      </c>
      <c r="H1783" s="7">
        <f t="shared" si="109"/>
        <v>60.982658959537574</v>
      </c>
      <c r="I1783" s="7">
        <f t="shared" si="110"/>
        <v>29.190751445086704</v>
      </c>
      <c r="J1783" s="7">
        <f t="shared" si="111"/>
        <v>9.8265895953757223</v>
      </c>
      <c r="K1783" s="7">
        <f t="shared" si="112"/>
        <v>0</v>
      </c>
    </row>
    <row r="1784" spans="1:11" x14ac:dyDescent="0.35">
      <c r="A1784">
        <v>2024</v>
      </c>
      <c r="B1784">
        <v>3137007</v>
      </c>
      <c r="C1784" t="str">
        <f>VLOOKUP(B1784,SAEB!$A:$B,2,0)</f>
        <v>Ladainha</v>
      </c>
      <c r="D1784">
        <v>0</v>
      </c>
      <c r="E1784">
        <v>0</v>
      </c>
      <c r="F1784">
        <v>781</v>
      </c>
      <c r="G1784">
        <v>113</v>
      </c>
      <c r="H1784" s="7">
        <f t="shared" si="109"/>
        <v>0</v>
      </c>
      <c r="I1784" s="7">
        <f t="shared" si="110"/>
        <v>0</v>
      </c>
      <c r="J1784" s="7">
        <f t="shared" si="111"/>
        <v>87.360178970917218</v>
      </c>
      <c r="K1784" s="7">
        <f t="shared" si="112"/>
        <v>12.639821029082773</v>
      </c>
    </row>
    <row r="1785" spans="1:11" x14ac:dyDescent="0.35">
      <c r="A1785">
        <v>2024</v>
      </c>
      <c r="B1785">
        <v>3137304</v>
      </c>
      <c r="C1785" t="str">
        <f>VLOOKUP(B1785,SAEB!$A:$B,2,0)</f>
        <v>Lagoa dos Patos</v>
      </c>
      <c r="D1785">
        <v>212</v>
      </c>
      <c r="E1785">
        <v>0</v>
      </c>
      <c r="F1785">
        <v>0</v>
      </c>
      <c r="G1785">
        <v>0</v>
      </c>
      <c r="H1785" s="7">
        <f t="shared" si="109"/>
        <v>100</v>
      </c>
      <c r="I1785" s="7">
        <f t="shared" si="110"/>
        <v>0</v>
      </c>
      <c r="J1785" s="7">
        <f t="shared" si="111"/>
        <v>0</v>
      </c>
      <c r="K1785" s="7">
        <f t="shared" si="112"/>
        <v>0</v>
      </c>
    </row>
    <row r="1786" spans="1:11" x14ac:dyDescent="0.35">
      <c r="A1786">
        <v>2024</v>
      </c>
      <c r="B1786">
        <v>3138104</v>
      </c>
      <c r="C1786" t="str">
        <f>VLOOKUP(B1786,SAEB!$A:$B,2,0)</f>
        <v>Lassance</v>
      </c>
      <c r="D1786">
        <v>261</v>
      </c>
      <c r="E1786">
        <v>0</v>
      </c>
      <c r="F1786">
        <v>139</v>
      </c>
      <c r="G1786">
        <v>93</v>
      </c>
      <c r="H1786" s="7">
        <f t="shared" si="109"/>
        <v>52.941176470588239</v>
      </c>
      <c r="I1786" s="7">
        <f t="shared" si="110"/>
        <v>0</v>
      </c>
      <c r="J1786" s="7">
        <f t="shared" si="111"/>
        <v>28.1947261663286</v>
      </c>
      <c r="K1786" s="7">
        <f t="shared" si="112"/>
        <v>18.864097363083165</v>
      </c>
    </row>
    <row r="1787" spans="1:11" x14ac:dyDescent="0.35">
      <c r="A1787">
        <v>2024</v>
      </c>
      <c r="B1787">
        <v>3138351</v>
      </c>
      <c r="C1787" t="str">
        <f>VLOOKUP(B1787,SAEB!$A:$B,2,0)</f>
        <v>Leme do Prado</v>
      </c>
      <c r="D1787">
        <v>84</v>
      </c>
      <c r="E1787">
        <v>0</v>
      </c>
      <c r="F1787">
        <v>131</v>
      </c>
      <c r="G1787">
        <v>60</v>
      </c>
      <c r="H1787" s="7">
        <f t="shared" si="109"/>
        <v>30.545454545454547</v>
      </c>
      <c r="I1787" s="7">
        <f t="shared" si="110"/>
        <v>0</v>
      </c>
      <c r="J1787" s="7">
        <f t="shared" si="111"/>
        <v>47.63636363636364</v>
      </c>
      <c r="K1787" s="7">
        <f t="shared" si="112"/>
        <v>21.818181818181817</v>
      </c>
    </row>
    <row r="1788" spans="1:11" x14ac:dyDescent="0.35">
      <c r="A1788">
        <v>2024</v>
      </c>
      <c r="B1788">
        <v>3138658</v>
      </c>
      <c r="C1788" t="str">
        <f>VLOOKUP(B1788,SAEB!$A:$B,2,0)</f>
        <v>Lontra</v>
      </c>
      <c r="D1788">
        <v>579</v>
      </c>
      <c r="E1788">
        <v>167</v>
      </c>
      <c r="F1788">
        <v>26</v>
      </c>
      <c r="G1788">
        <v>0</v>
      </c>
      <c r="H1788" s="7">
        <f t="shared" si="109"/>
        <v>75</v>
      </c>
      <c r="I1788" s="7">
        <f t="shared" si="110"/>
        <v>21.632124352331605</v>
      </c>
      <c r="J1788" s="7">
        <f t="shared" si="111"/>
        <v>3.3678756476683938</v>
      </c>
      <c r="K1788" s="7">
        <f t="shared" si="112"/>
        <v>0</v>
      </c>
    </row>
    <row r="1789" spans="1:11" x14ac:dyDescent="0.35">
      <c r="A1789">
        <v>2024</v>
      </c>
      <c r="B1789">
        <v>3138906</v>
      </c>
      <c r="C1789" t="str">
        <f>VLOOKUP(B1789,SAEB!$A:$B,2,0)</f>
        <v>Machacalis</v>
      </c>
      <c r="D1789">
        <v>372</v>
      </c>
      <c r="E1789">
        <v>0</v>
      </c>
      <c r="F1789">
        <v>48</v>
      </c>
      <c r="G1789">
        <v>0</v>
      </c>
      <c r="H1789" s="7">
        <f t="shared" si="109"/>
        <v>88.571428571428569</v>
      </c>
      <c r="I1789" s="7">
        <f t="shared" si="110"/>
        <v>0</v>
      </c>
      <c r="J1789" s="7">
        <f t="shared" si="111"/>
        <v>11.428571428571429</v>
      </c>
      <c r="K1789" s="7">
        <f t="shared" si="112"/>
        <v>0</v>
      </c>
    </row>
    <row r="1790" spans="1:11" x14ac:dyDescent="0.35">
      <c r="A1790">
        <v>2024</v>
      </c>
      <c r="B1790">
        <v>3139201</v>
      </c>
      <c r="C1790" t="str">
        <f>VLOOKUP(B1790,SAEB!$A:$B,2,0)</f>
        <v>Malacacheta</v>
      </c>
      <c r="D1790">
        <v>211</v>
      </c>
      <c r="E1790">
        <v>0</v>
      </c>
      <c r="F1790">
        <v>124</v>
      </c>
      <c r="G1790">
        <v>116</v>
      </c>
      <c r="H1790" s="7">
        <f t="shared" si="109"/>
        <v>46.784922394678489</v>
      </c>
      <c r="I1790" s="7">
        <f t="shared" si="110"/>
        <v>0</v>
      </c>
      <c r="J1790" s="7">
        <f t="shared" si="111"/>
        <v>27.494456762749447</v>
      </c>
      <c r="K1790" s="7">
        <f t="shared" si="112"/>
        <v>25.72062084257206</v>
      </c>
    </row>
    <row r="1791" spans="1:11" x14ac:dyDescent="0.35">
      <c r="A1791">
        <v>2024</v>
      </c>
      <c r="B1791">
        <v>3139250</v>
      </c>
      <c r="C1791" t="str">
        <f>VLOOKUP(B1791,SAEB!$A:$B,2,0)</f>
        <v>Mamonas</v>
      </c>
      <c r="D1791">
        <v>308</v>
      </c>
      <c r="E1791">
        <v>0</v>
      </c>
      <c r="F1791">
        <v>6</v>
      </c>
      <c r="G1791">
        <v>0</v>
      </c>
      <c r="H1791" s="7">
        <f t="shared" si="109"/>
        <v>98.089171974522287</v>
      </c>
      <c r="I1791" s="7">
        <f t="shared" si="110"/>
        <v>0</v>
      </c>
      <c r="J1791" s="7">
        <f t="shared" si="111"/>
        <v>1.910828025477707</v>
      </c>
      <c r="K1791" s="7">
        <f t="shared" si="112"/>
        <v>0</v>
      </c>
    </row>
    <row r="1792" spans="1:11" x14ac:dyDescent="0.35">
      <c r="A1792">
        <v>2024</v>
      </c>
      <c r="B1792">
        <v>3139300</v>
      </c>
      <c r="C1792" t="str">
        <f>VLOOKUP(B1792,SAEB!$A:$B,2,0)</f>
        <v>Manga</v>
      </c>
      <c r="D1792">
        <v>425</v>
      </c>
      <c r="E1792">
        <v>175</v>
      </c>
      <c r="F1792">
        <v>255</v>
      </c>
      <c r="G1792">
        <v>118</v>
      </c>
      <c r="H1792" s="7">
        <f t="shared" si="109"/>
        <v>43.67934224049332</v>
      </c>
      <c r="I1792" s="7">
        <f t="shared" si="110"/>
        <v>17.985611510791365</v>
      </c>
      <c r="J1792" s="7">
        <f t="shared" si="111"/>
        <v>26.207605344295992</v>
      </c>
      <c r="K1792" s="7">
        <f t="shared" si="112"/>
        <v>12.127440904419322</v>
      </c>
    </row>
    <row r="1793" spans="1:11" x14ac:dyDescent="0.35">
      <c r="A1793">
        <v>2024</v>
      </c>
      <c r="B1793">
        <v>3139607</v>
      </c>
      <c r="C1793" t="str">
        <f>VLOOKUP(B1793,SAEB!$A:$B,2,0)</f>
        <v>Mantena</v>
      </c>
      <c r="D1793">
        <v>1151</v>
      </c>
      <c r="E1793">
        <v>417</v>
      </c>
      <c r="F1793">
        <v>135</v>
      </c>
      <c r="G1793">
        <v>101</v>
      </c>
      <c r="H1793" s="7">
        <f t="shared" si="109"/>
        <v>63.802660753880268</v>
      </c>
      <c r="I1793" s="7">
        <f t="shared" si="110"/>
        <v>23.115299334811528</v>
      </c>
      <c r="J1793" s="7">
        <f t="shared" si="111"/>
        <v>7.4833702882483362</v>
      </c>
      <c r="K1793" s="7">
        <f t="shared" si="112"/>
        <v>5.5986696230598669</v>
      </c>
    </row>
    <row r="1794" spans="1:11" x14ac:dyDescent="0.35">
      <c r="A1794">
        <v>2024</v>
      </c>
      <c r="B1794">
        <v>3140100</v>
      </c>
      <c r="C1794" t="str">
        <f>VLOOKUP(B1794,SAEB!$A:$B,2,0)</f>
        <v>Marilac</v>
      </c>
      <c r="D1794">
        <v>275</v>
      </c>
      <c r="E1794">
        <v>0</v>
      </c>
      <c r="F1794">
        <v>0</v>
      </c>
      <c r="G1794">
        <v>0</v>
      </c>
      <c r="H1794" s="7">
        <f t="shared" si="109"/>
        <v>100</v>
      </c>
      <c r="I1794" s="7">
        <f t="shared" si="110"/>
        <v>0</v>
      </c>
      <c r="J1794" s="7">
        <f t="shared" si="111"/>
        <v>0</v>
      </c>
      <c r="K1794" s="7">
        <f t="shared" si="112"/>
        <v>0</v>
      </c>
    </row>
    <row r="1795" spans="1:11" x14ac:dyDescent="0.35">
      <c r="A1795">
        <v>2024</v>
      </c>
      <c r="B1795">
        <v>3140605</v>
      </c>
      <c r="C1795" t="str">
        <f>VLOOKUP(B1795,SAEB!$A:$B,2,0)</f>
        <v>Materlândia</v>
      </c>
      <c r="D1795">
        <v>182</v>
      </c>
      <c r="E1795">
        <v>0</v>
      </c>
      <c r="F1795">
        <v>76</v>
      </c>
      <c r="G1795">
        <v>37</v>
      </c>
      <c r="H1795" s="7">
        <f t="shared" ref="H1795:H1858" si="113">D1795/SUM($D1795:$G1795)*100</f>
        <v>61.694915254237294</v>
      </c>
      <c r="I1795" s="7">
        <f t="shared" ref="I1795:I1858" si="114">E1795/SUM($D1795:$G1795)*100</f>
        <v>0</v>
      </c>
      <c r="J1795" s="7">
        <f t="shared" ref="J1795:J1858" si="115">F1795/SUM($D1795:$G1795)*100</f>
        <v>25.762711864406779</v>
      </c>
      <c r="K1795" s="7">
        <f t="shared" ref="K1795:K1858" si="116">G1795/SUM($D1795:$G1795)*100</f>
        <v>12.542372881355931</v>
      </c>
    </row>
    <row r="1796" spans="1:11" x14ac:dyDescent="0.35">
      <c r="A1796">
        <v>2024</v>
      </c>
      <c r="B1796">
        <v>3171501</v>
      </c>
      <c r="C1796" t="str">
        <f>VLOOKUP(B1796,SAEB!$A:$B,2,0)</f>
        <v>Mathias Lobato</v>
      </c>
      <c r="D1796">
        <v>214</v>
      </c>
      <c r="E1796">
        <v>206</v>
      </c>
      <c r="F1796">
        <v>0</v>
      </c>
      <c r="G1796">
        <v>0</v>
      </c>
      <c r="H1796" s="7">
        <f t="shared" si="113"/>
        <v>50.952380952380949</v>
      </c>
      <c r="I1796" s="7">
        <f t="shared" si="114"/>
        <v>49.047619047619044</v>
      </c>
      <c r="J1796" s="7">
        <f t="shared" si="115"/>
        <v>0</v>
      </c>
      <c r="K1796" s="7">
        <f t="shared" si="116"/>
        <v>0</v>
      </c>
    </row>
    <row r="1797" spans="1:11" x14ac:dyDescent="0.35">
      <c r="A1797">
        <v>2024</v>
      </c>
      <c r="B1797">
        <v>3140852</v>
      </c>
      <c r="C1797" t="str">
        <f>VLOOKUP(B1797,SAEB!$A:$B,2,0)</f>
        <v>Matias Cardoso</v>
      </c>
      <c r="D1797">
        <v>531</v>
      </c>
      <c r="E1797">
        <v>319</v>
      </c>
      <c r="F1797">
        <v>158</v>
      </c>
      <c r="G1797">
        <v>0</v>
      </c>
      <c r="H1797" s="7">
        <f t="shared" si="113"/>
        <v>52.678571428571431</v>
      </c>
      <c r="I1797" s="7">
        <f t="shared" si="114"/>
        <v>31.646825396825395</v>
      </c>
      <c r="J1797" s="7">
        <f t="shared" si="115"/>
        <v>15.674603174603174</v>
      </c>
      <c r="K1797" s="7">
        <f t="shared" si="116"/>
        <v>0</v>
      </c>
    </row>
    <row r="1798" spans="1:11" x14ac:dyDescent="0.35">
      <c r="A1798">
        <v>2024</v>
      </c>
      <c r="B1798">
        <v>3141009</v>
      </c>
      <c r="C1798" t="str">
        <f>VLOOKUP(B1798,SAEB!$A:$B,2,0)</f>
        <v>Mato Verde</v>
      </c>
      <c r="D1798">
        <v>296</v>
      </c>
      <c r="E1798">
        <v>0</v>
      </c>
      <c r="F1798">
        <v>61</v>
      </c>
      <c r="G1798">
        <v>0</v>
      </c>
      <c r="H1798" s="7">
        <f t="shared" si="113"/>
        <v>82.913165266106446</v>
      </c>
      <c r="I1798" s="7">
        <f t="shared" si="114"/>
        <v>0</v>
      </c>
      <c r="J1798" s="7">
        <f t="shared" si="115"/>
        <v>17.086834733893557</v>
      </c>
      <c r="K1798" s="7">
        <f t="shared" si="116"/>
        <v>0</v>
      </c>
    </row>
    <row r="1799" spans="1:11" x14ac:dyDescent="0.35">
      <c r="A1799">
        <v>2024</v>
      </c>
      <c r="B1799">
        <v>3141405</v>
      </c>
      <c r="C1799" t="str">
        <f>VLOOKUP(B1799,SAEB!$A:$B,2,0)</f>
        <v>Medina</v>
      </c>
      <c r="D1799">
        <v>811</v>
      </c>
      <c r="E1799">
        <v>0</v>
      </c>
      <c r="F1799">
        <v>186</v>
      </c>
      <c r="G1799">
        <v>0</v>
      </c>
      <c r="H1799" s="7">
        <f t="shared" si="113"/>
        <v>81.344032096288871</v>
      </c>
      <c r="I1799" s="7">
        <f t="shared" si="114"/>
        <v>0</v>
      </c>
      <c r="J1799" s="7">
        <f t="shared" si="115"/>
        <v>18.655967903711137</v>
      </c>
      <c r="K1799" s="7">
        <f t="shared" si="116"/>
        <v>0</v>
      </c>
    </row>
    <row r="1800" spans="1:11" x14ac:dyDescent="0.35">
      <c r="A1800">
        <v>2024</v>
      </c>
      <c r="B1800">
        <v>3141504</v>
      </c>
      <c r="C1800" t="str">
        <f>VLOOKUP(B1800,SAEB!$A:$B,2,0)</f>
        <v>Mendes Pimentel</v>
      </c>
      <c r="D1800">
        <v>187</v>
      </c>
      <c r="E1800">
        <v>0</v>
      </c>
      <c r="F1800">
        <v>92</v>
      </c>
      <c r="G1800">
        <v>0</v>
      </c>
      <c r="H1800" s="7">
        <f t="shared" si="113"/>
        <v>67.025089605734763</v>
      </c>
      <c r="I1800" s="7">
        <f t="shared" si="114"/>
        <v>0</v>
      </c>
      <c r="J1800" s="7">
        <f t="shared" si="115"/>
        <v>32.974910394265237</v>
      </c>
      <c r="K1800" s="7">
        <f t="shared" si="116"/>
        <v>0</v>
      </c>
    </row>
    <row r="1801" spans="1:11" x14ac:dyDescent="0.35">
      <c r="A1801">
        <v>2024</v>
      </c>
      <c r="B1801">
        <v>3141801</v>
      </c>
      <c r="C1801" t="str">
        <f>VLOOKUP(B1801,SAEB!$A:$B,2,0)</f>
        <v>Minas Novas</v>
      </c>
      <c r="D1801">
        <v>855</v>
      </c>
      <c r="E1801">
        <v>206</v>
      </c>
      <c r="F1801">
        <v>660</v>
      </c>
      <c r="G1801">
        <v>160</v>
      </c>
      <c r="H1801" s="7">
        <f t="shared" si="113"/>
        <v>45.454545454545453</v>
      </c>
      <c r="I1801" s="7">
        <f t="shared" si="114"/>
        <v>10.951621477937268</v>
      </c>
      <c r="J1801" s="7">
        <f t="shared" si="115"/>
        <v>35.087719298245609</v>
      </c>
      <c r="K1801" s="7">
        <f t="shared" si="116"/>
        <v>8.5061137692716642</v>
      </c>
    </row>
    <row r="1802" spans="1:11" x14ac:dyDescent="0.35">
      <c r="A1802">
        <v>2024</v>
      </c>
      <c r="B1802">
        <v>3142007</v>
      </c>
      <c r="C1802" t="str">
        <f>VLOOKUP(B1802,SAEB!$A:$B,2,0)</f>
        <v>Mirabela</v>
      </c>
      <c r="D1802">
        <v>507</v>
      </c>
      <c r="E1802">
        <v>0</v>
      </c>
      <c r="F1802">
        <v>68</v>
      </c>
      <c r="G1802">
        <v>62</v>
      </c>
      <c r="H1802" s="7">
        <f t="shared" si="113"/>
        <v>79.591836734693871</v>
      </c>
      <c r="I1802" s="7">
        <f t="shared" si="114"/>
        <v>0</v>
      </c>
      <c r="J1802" s="7">
        <f t="shared" si="115"/>
        <v>10.675039246467819</v>
      </c>
      <c r="K1802" s="7">
        <f t="shared" si="116"/>
        <v>9.7331240188383052</v>
      </c>
    </row>
    <row r="1803" spans="1:11" x14ac:dyDescent="0.35">
      <c r="A1803">
        <v>2024</v>
      </c>
      <c r="B1803">
        <v>3142254</v>
      </c>
      <c r="C1803" t="str">
        <f>VLOOKUP(B1803,SAEB!$A:$B,2,0)</f>
        <v>Miravânia</v>
      </c>
      <c r="D1803">
        <v>0</v>
      </c>
      <c r="E1803">
        <v>0</v>
      </c>
      <c r="F1803">
        <v>117</v>
      </c>
      <c r="G1803">
        <v>99</v>
      </c>
      <c r="H1803" s="7">
        <f t="shared" si="113"/>
        <v>0</v>
      </c>
      <c r="I1803" s="7">
        <f t="shared" si="114"/>
        <v>0</v>
      </c>
      <c r="J1803" s="7">
        <f t="shared" si="115"/>
        <v>54.166666666666664</v>
      </c>
      <c r="K1803" s="7">
        <f t="shared" si="116"/>
        <v>45.833333333333329</v>
      </c>
    </row>
    <row r="1804" spans="1:11" x14ac:dyDescent="0.35">
      <c r="A1804">
        <v>2024</v>
      </c>
      <c r="B1804">
        <v>3142502</v>
      </c>
      <c r="C1804" t="str">
        <f>VLOOKUP(B1804,SAEB!$A:$B,2,0)</f>
        <v>Monjolos</v>
      </c>
      <c r="D1804">
        <v>79</v>
      </c>
      <c r="E1804">
        <v>0</v>
      </c>
      <c r="F1804">
        <v>0</v>
      </c>
      <c r="G1804">
        <v>0</v>
      </c>
      <c r="H1804" s="7">
        <f t="shared" si="113"/>
        <v>100</v>
      </c>
      <c r="I1804" s="7">
        <f t="shared" si="114"/>
        <v>0</v>
      </c>
      <c r="J1804" s="7">
        <f t="shared" si="115"/>
        <v>0</v>
      </c>
      <c r="K1804" s="7">
        <f t="shared" si="116"/>
        <v>0</v>
      </c>
    </row>
    <row r="1805" spans="1:11" x14ac:dyDescent="0.35">
      <c r="A1805">
        <v>2024</v>
      </c>
      <c r="B1805">
        <v>3142700</v>
      </c>
      <c r="C1805" t="str">
        <f>VLOOKUP(B1805,SAEB!$A:$B,2,0)</f>
        <v>Montalvânia</v>
      </c>
      <c r="D1805">
        <v>331</v>
      </c>
      <c r="E1805">
        <v>70</v>
      </c>
      <c r="F1805">
        <v>159</v>
      </c>
      <c r="G1805">
        <v>21</v>
      </c>
      <c r="H1805" s="7">
        <f t="shared" si="113"/>
        <v>56.970740103270224</v>
      </c>
      <c r="I1805" s="7">
        <f t="shared" si="114"/>
        <v>12.048192771084338</v>
      </c>
      <c r="J1805" s="7">
        <f t="shared" si="115"/>
        <v>27.366609294320138</v>
      </c>
      <c r="K1805" s="7">
        <f t="shared" si="116"/>
        <v>3.6144578313253009</v>
      </c>
    </row>
    <row r="1806" spans="1:11" x14ac:dyDescent="0.35">
      <c r="A1806">
        <v>2024</v>
      </c>
      <c r="B1806">
        <v>3143153</v>
      </c>
      <c r="C1806" t="str">
        <f>VLOOKUP(B1806,SAEB!$A:$B,2,0)</f>
        <v>Monte Formoso</v>
      </c>
      <c r="D1806">
        <v>150</v>
      </c>
      <c r="E1806">
        <v>0</v>
      </c>
      <c r="F1806">
        <v>109</v>
      </c>
      <c r="G1806">
        <v>0</v>
      </c>
      <c r="H1806" s="7">
        <f t="shared" si="113"/>
        <v>57.915057915057908</v>
      </c>
      <c r="I1806" s="7">
        <f t="shared" si="114"/>
        <v>0</v>
      </c>
      <c r="J1806" s="7">
        <f t="shared" si="115"/>
        <v>42.084942084942085</v>
      </c>
      <c r="K1806" s="7">
        <f t="shared" si="116"/>
        <v>0</v>
      </c>
    </row>
    <row r="1807" spans="1:11" x14ac:dyDescent="0.35">
      <c r="A1807">
        <v>2024</v>
      </c>
      <c r="B1807">
        <v>3143302</v>
      </c>
      <c r="C1807" t="str">
        <f>VLOOKUP(B1807,SAEB!$A:$B,2,0)</f>
        <v>Montes Claros</v>
      </c>
      <c r="D1807">
        <v>10913</v>
      </c>
      <c r="E1807">
        <v>5838</v>
      </c>
      <c r="F1807">
        <v>1257</v>
      </c>
      <c r="G1807">
        <v>660</v>
      </c>
      <c r="H1807" s="7">
        <f t="shared" si="113"/>
        <v>58.458324405399622</v>
      </c>
      <c r="I1807" s="7">
        <f t="shared" si="114"/>
        <v>31.2727662309835</v>
      </c>
      <c r="J1807" s="7">
        <f t="shared" si="115"/>
        <v>6.7334476108849364</v>
      </c>
      <c r="K1807" s="7">
        <f t="shared" si="116"/>
        <v>3.5354617527319476</v>
      </c>
    </row>
    <row r="1808" spans="1:11" x14ac:dyDescent="0.35">
      <c r="A1808">
        <v>2024</v>
      </c>
      <c r="B1808">
        <v>3143450</v>
      </c>
      <c r="C1808" t="str">
        <f>VLOOKUP(B1808,SAEB!$A:$B,2,0)</f>
        <v>Montezuma</v>
      </c>
      <c r="D1808">
        <v>317</v>
      </c>
      <c r="E1808">
        <v>0</v>
      </c>
      <c r="F1808">
        <v>95</v>
      </c>
      <c r="G1808">
        <v>0</v>
      </c>
      <c r="H1808" s="7">
        <f t="shared" si="113"/>
        <v>76.94174757281553</v>
      </c>
      <c r="I1808" s="7">
        <f t="shared" si="114"/>
        <v>0</v>
      </c>
      <c r="J1808" s="7">
        <f t="shared" si="115"/>
        <v>23.058252427184467</v>
      </c>
      <c r="K1808" s="7">
        <f t="shared" si="116"/>
        <v>0</v>
      </c>
    </row>
    <row r="1809" spans="1:11" x14ac:dyDescent="0.35">
      <c r="A1809">
        <v>2024</v>
      </c>
      <c r="B1809">
        <v>3143609</v>
      </c>
      <c r="C1809" t="str">
        <f>VLOOKUP(B1809,SAEB!$A:$B,2,0)</f>
        <v>Morro da Garça</v>
      </c>
      <c r="D1809">
        <v>140</v>
      </c>
      <c r="E1809">
        <v>118</v>
      </c>
      <c r="F1809">
        <v>8</v>
      </c>
      <c r="G1809">
        <v>13</v>
      </c>
      <c r="H1809" s="7">
        <f t="shared" si="113"/>
        <v>50.179211469534046</v>
      </c>
      <c r="I1809" s="7">
        <f t="shared" si="114"/>
        <v>42.293906810035843</v>
      </c>
      <c r="J1809" s="7">
        <f t="shared" si="115"/>
        <v>2.8673835125448028</v>
      </c>
      <c r="K1809" s="7">
        <f t="shared" si="116"/>
        <v>4.6594982078853047</v>
      </c>
    </row>
    <row r="1810" spans="1:11" x14ac:dyDescent="0.35">
      <c r="A1810">
        <v>2024</v>
      </c>
      <c r="B1810">
        <v>3144003</v>
      </c>
      <c r="C1810" t="str">
        <f>VLOOKUP(B1810,SAEB!$A:$B,2,0)</f>
        <v>Mutum</v>
      </c>
      <c r="D1810">
        <v>491</v>
      </c>
      <c r="E1810">
        <v>0</v>
      </c>
      <c r="F1810">
        <v>305</v>
      </c>
      <c r="G1810">
        <v>117</v>
      </c>
      <c r="H1810" s="7">
        <f t="shared" si="113"/>
        <v>53.778751369112811</v>
      </c>
      <c r="I1810" s="7">
        <f t="shared" si="114"/>
        <v>0</v>
      </c>
      <c r="J1810" s="7">
        <f t="shared" si="115"/>
        <v>33.406352683461115</v>
      </c>
      <c r="K1810" s="7">
        <f t="shared" si="116"/>
        <v>12.814895947426066</v>
      </c>
    </row>
    <row r="1811" spans="1:11" x14ac:dyDescent="0.35">
      <c r="A1811">
        <v>2024</v>
      </c>
      <c r="B1811">
        <v>3144201</v>
      </c>
      <c r="C1811" t="str">
        <f>VLOOKUP(B1811,SAEB!$A:$B,2,0)</f>
        <v>Nacip Raydan</v>
      </c>
      <c r="D1811">
        <v>136</v>
      </c>
      <c r="E1811">
        <v>0</v>
      </c>
      <c r="F1811">
        <v>9</v>
      </c>
      <c r="G1811">
        <v>0</v>
      </c>
      <c r="H1811" s="7">
        <f t="shared" si="113"/>
        <v>93.793103448275858</v>
      </c>
      <c r="I1811" s="7">
        <f t="shared" si="114"/>
        <v>0</v>
      </c>
      <c r="J1811" s="7">
        <f t="shared" si="115"/>
        <v>6.2068965517241379</v>
      </c>
      <c r="K1811" s="7">
        <f t="shared" si="116"/>
        <v>0</v>
      </c>
    </row>
    <row r="1812" spans="1:11" x14ac:dyDescent="0.35">
      <c r="A1812">
        <v>2024</v>
      </c>
      <c r="B1812">
        <v>3144300</v>
      </c>
      <c r="C1812" t="str">
        <f>VLOOKUP(B1812,SAEB!$A:$B,2,0)</f>
        <v>Nanuque</v>
      </c>
      <c r="D1812">
        <v>478</v>
      </c>
      <c r="E1812">
        <v>246</v>
      </c>
      <c r="F1812">
        <v>97</v>
      </c>
      <c r="G1812">
        <v>80</v>
      </c>
      <c r="H1812" s="7">
        <f t="shared" si="113"/>
        <v>53.052164261931189</v>
      </c>
      <c r="I1812" s="7">
        <f t="shared" si="114"/>
        <v>27.302996670366259</v>
      </c>
      <c r="J1812" s="7">
        <f t="shared" si="115"/>
        <v>10.765815760266371</v>
      </c>
      <c r="K1812" s="7">
        <f t="shared" si="116"/>
        <v>8.8790233074361815</v>
      </c>
    </row>
    <row r="1813" spans="1:11" x14ac:dyDescent="0.35">
      <c r="A1813">
        <v>2024</v>
      </c>
      <c r="B1813">
        <v>3144359</v>
      </c>
      <c r="C1813" t="str">
        <f>VLOOKUP(B1813,SAEB!$A:$B,2,0)</f>
        <v>Naque</v>
      </c>
      <c r="D1813">
        <v>454</v>
      </c>
      <c r="E1813">
        <v>0</v>
      </c>
      <c r="F1813">
        <v>0</v>
      </c>
      <c r="G1813">
        <v>0</v>
      </c>
      <c r="H1813" s="7">
        <f t="shared" si="113"/>
        <v>100</v>
      </c>
      <c r="I1813" s="7">
        <f t="shared" si="114"/>
        <v>0</v>
      </c>
      <c r="J1813" s="7">
        <f t="shared" si="115"/>
        <v>0</v>
      </c>
      <c r="K1813" s="7">
        <f t="shared" si="116"/>
        <v>0</v>
      </c>
    </row>
    <row r="1814" spans="1:11" x14ac:dyDescent="0.35">
      <c r="A1814">
        <v>2024</v>
      </c>
      <c r="B1814">
        <v>3144375</v>
      </c>
      <c r="C1814" t="str">
        <f>VLOOKUP(B1814,SAEB!$A:$B,2,0)</f>
        <v>Natalândia</v>
      </c>
      <c r="D1814">
        <v>255</v>
      </c>
      <c r="E1814">
        <v>0</v>
      </c>
      <c r="F1814">
        <v>0</v>
      </c>
      <c r="G1814">
        <v>0</v>
      </c>
      <c r="H1814" s="7">
        <f t="shared" si="113"/>
        <v>100</v>
      </c>
      <c r="I1814" s="7">
        <f t="shared" si="114"/>
        <v>0</v>
      </c>
      <c r="J1814" s="7">
        <f t="shared" si="115"/>
        <v>0</v>
      </c>
      <c r="K1814" s="7">
        <f t="shared" si="116"/>
        <v>0</v>
      </c>
    </row>
    <row r="1815" spans="1:11" x14ac:dyDescent="0.35">
      <c r="A1815">
        <v>2024</v>
      </c>
      <c r="B1815">
        <v>3144656</v>
      </c>
      <c r="C1815" t="str">
        <f>VLOOKUP(B1815,SAEB!$A:$B,2,0)</f>
        <v>Ninheira</v>
      </c>
      <c r="D1815">
        <v>289</v>
      </c>
      <c r="E1815">
        <v>0</v>
      </c>
      <c r="F1815">
        <v>254</v>
      </c>
      <c r="G1815">
        <v>0</v>
      </c>
      <c r="H1815" s="7">
        <f t="shared" si="113"/>
        <v>53.222836095764272</v>
      </c>
      <c r="I1815" s="7">
        <f t="shared" si="114"/>
        <v>0</v>
      </c>
      <c r="J1815" s="7">
        <f t="shared" si="115"/>
        <v>46.777163904235728</v>
      </c>
      <c r="K1815" s="7">
        <f t="shared" si="116"/>
        <v>0</v>
      </c>
    </row>
    <row r="1816" spans="1:11" x14ac:dyDescent="0.35">
      <c r="A1816">
        <v>2024</v>
      </c>
      <c r="B1816">
        <v>3144672</v>
      </c>
      <c r="C1816" t="str">
        <f>VLOOKUP(B1816,SAEB!$A:$B,2,0)</f>
        <v>Nova Belém</v>
      </c>
      <c r="D1816">
        <v>170</v>
      </c>
      <c r="E1816">
        <v>0</v>
      </c>
      <c r="F1816">
        <v>40</v>
      </c>
      <c r="G1816">
        <v>0</v>
      </c>
      <c r="H1816" s="7">
        <f t="shared" si="113"/>
        <v>80.952380952380949</v>
      </c>
      <c r="I1816" s="7">
        <f t="shared" si="114"/>
        <v>0</v>
      </c>
      <c r="J1816" s="7">
        <f t="shared" si="115"/>
        <v>19.047619047619047</v>
      </c>
      <c r="K1816" s="7">
        <f t="shared" si="116"/>
        <v>0</v>
      </c>
    </row>
    <row r="1817" spans="1:11" x14ac:dyDescent="0.35">
      <c r="A1817">
        <v>2024</v>
      </c>
      <c r="B1817">
        <v>3145059</v>
      </c>
      <c r="C1817" t="str">
        <f>VLOOKUP(B1817,SAEB!$A:$B,2,0)</f>
        <v>Nova Porteirinha</v>
      </c>
      <c r="D1817">
        <v>201</v>
      </c>
      <c r="E1817">
        <v>82</v>
      </c>
      <c r="F1817">
        <v>126</v>
      </c>
      <c r="G1817">
        <v>0</v>
      </c>
      <c r="H1817" s="7">
        <f t="shared" si="113"/>
        <v>49.144254278728603</v>
      </c>
      <c r="I1817" s="7">
        <f t="shared" si="114"/>
        <v>20.048899755501225</v>
      </c>
      <c r="J1817" s="7">
        <f t="shared" si="115"/>
        <v>30.806845965770169</v>
      </c>
      <c r="K1817" s="7">
        <f t="shared" si="116"/>
        <v>0</v>
      </c>
    </row>
    <row r="1818" spans="1:11" x14ac:dyDescent="0.35">
      <c r="A1818">
        <v>2024</v>
      </c>
      <c r="B1818">
        <v>3145356</v>
      </c>
      <c r="C1818" t="str">
        <f>VLOOKUP(B1818,SAEB!$A:$B,2,0)</f>
        <v>Novo Oriente de Minas</v>
      </c>
      <c r="D1818">
        <v>213</v>
      </c>
      <c r="E1818">
        <v>0</v>
      </c>
      <c r="F1818">
        <v>224</v>
      </c>
      <c r="G1818">
        <v>49</v>
      </c>
      <c r="H1818" s="7">
        <f t="shared" si="113"/>
        <v>43.827160493827158</v>
      </c>
      <c r="I1818" s="7">
        <f t="shared" si="114"/>
        <v>0</v>
      </c>
      <c r="J1818" s="7">
        <f t="shared" si="115"/>
        <v>46.090534979423872</v>
      </c>
      <c r="K1818" s="7">
        <f t="shared" si="116"/>
        <v>10.08230452674897</v>
      </c>
    </row>
    <row r="1819" spans="1:11" x14ac:dyDescent="0.35">
      <c r="A1819">
        <v>2024</v>
      </c>
      <c r="B1819">
        <v>3145372</v>
      </c>
      <c r="C1819" t="str">
        <f>VLOOKUP(B1819,SAEB!$A:$B,2,0)</f>
        <v>Novorizonte</v>
      </c>
      <c r="D1819">
        <v>0</v>
      </c>
      <c r="E1819">
        <v>0</v>
      </c>
      <c r="F1819">
        <v>294</v>
      </c>
      <c r="G1819">
        <v>59</v>
      </c>
      <c r="H1819" s="7">
        <f t="shared" si="113"/>
        <v>0</v>
      </c>
      <c r="I1819" s="7">
        <f t="shared" si="114"/>
        <v>0</v>
      </c>
      <c r="J1819" s="7">
        <f t="shared" si="115"/>
        <v>83.286118980169974</v>
      </c>
      <c r="K1819" s="7">
        <f t="shared" si="116"/>
        <v>16.71388101983003</v>
      </c>
    </row>
    <row r="1820" spans="1:11" x14ac:dyDescent="0.35">
      <c r="A1820">
        <v>2024</v>
      </c>
      <c r="B1820">
        <v>3145455</v>
      </c>
      <c r="C1820" t="str">
        <f>VLOOKUP(B1820,SAEB!$A:$B,2,0)</f>
        <v>Olhos-d'Água</v>
      </c>
      <c r="D1820">
        <v>327</v>
      </c>
      <c r="E1820">
        <v>0</v>
      </c>
      <c r="F1820">
        <v>53</v>
      </c>
      <c r="G1820">
        <v>0</v>
      </c>
      <c r="H1820" s="7">
        <f t="shared" si="113"/>
        <v>86.05263157894737</v>
      </c>
      <c r="I1820" s="7">
        <f t="shared" si="114"/>
        <v>0</v>
      </c>
      <c r="J1820" s="7">
        <f t="shared" si="115"/>
        <v>13.94736842105263</v>
      </c>
      <c r="K1820" s="7">
        <f t="shared" si="116"/>
        <v>0</v>
      </c>
    </row>
    <row r="1821" spans="1:11" x14ac:dyDescent="0.35">
      <c r="A1821">
        <v>2024</v>
      </c>
      <c r="B1821">
        <v>3146305</v>
      </c>
      <c r="C1821" t="str">
        <f>VLOOKUP(B1821,SAEB!$A:$B,2,0)</f>
        <v>Padre Paraíso</v>
      </c>
      <c r="D1821">
        <v>391</v>
      </c>
      <c r="E1821">
        <v>0</v>
      </c>
      <c r="F1821">
        <v>273</v>
      </c>
      <c r="G1821">
        <v>237</v>
      </c>
      <c r="H1821" s="7">
        <f t="shared" si="113"/>
        <v>43.39622641509434</v>
      </c>
      <c r="I1821" s="7">
        <f t="shared" si="114"/>
        <v>0</v>
      </c>
      <c r="J1821" s="7">
        <f t="shared" si="115"/>
        <v>30.299667036625973</v>
      </c>
      <c r="K1821" s="7">
        <f t="shared" si="116"/>
        <v>26.304106548279687</v>
      </c>
    </row>
    <row r="1822" spans="1:11" x14ac:dyDescent="0.35">
      <c r="A1822">
        <v>2024</v>
      </c>
      <c r="B1822">
        <v>3146552</v>
      </c>
      <c r="C1822" t="str">
        <f>VLOOKUP(B1822,SAEB!$A:$B,2,0)</f>
        <v>Pai Pedro</v>
      </c>
      <c r="D1822">
        <v>229</v>
      </c>
      <c r="E1822">
        <v>0</v>
      </c>
      <c r="F1822">
        <v>142</v>
      </c>
      <c r="G1822">
        <v>119</v>
      </c>
      <c r="H1822" s="7">
        <f t="shared" si="113"/>
        <v>46.734693877551017</v>
      </c>
      <c r="I1822" s="7">
        <f t="shared" si="114"/>
        <v>0</v>
      </c>
      <c r="J1822" s="7">
        <f t="shared" si="115"/>
        <v>28.979591836734691</v>
      </c>
      <c r="K1822" s="7">
        <f t="shared" si="116"/>
        <v>24.285714285714285</v>
      </c>
    </row>
    <row r="1823" spans="1:11" x14ac:dyDescent="0.35">
      <c r="A1823">
        <v>2024</v>
      </c>
      <c r="B1823">
        <v>3146750</v>
      </c>
      <c r="C1823" t="str">
        <f>VLOOKUP(B1823,SAEB!$A:$B,2,0)</f>
        <v>Palmópolis</v>
      </c>
      <c r="D1823">
        <v>297</v>
      </c>
      <c r="E1823">
        <v>27</v>
      </c>
      <c r="F1823">
        <v>0</v>
      </c>
      <c r="G1823">
        <v>0</v>
      </c>
      <c r="H1823" s="7">
        <f t="shared" si="113"/>
        <v>91.666666666666657</v>
      </c>
      <c r="I1823" s="7">
        <f t="shared" si="114"/>
        <v>8.3333333333333321</v>
      </c>
      <c r="J1823" s="7">
        <f t="shared" si="115"/>
        <v>0</v>
      </c>
      <c r="K1823" s="7">
        <f t="shared" si="116"/>
        <v>0</v>
      </c>
    </row>
    <row r="1824" spans="1:11" x14ac:dyDescent="0.35">
      <c r="A1824">
        <v>2024</v>
      </c>
      <c r="B1824">
        <v>3147956</v>
      </c>
      <c r="C1824" t="str">
        <f>VLOOKUP(B1824,SAEB!$A:$B,2,0)</f>
        <v>Patis</v>
      </c>
      <c r="D1824">
        <v>156</v>
      </c>
      <c r="E1824">
        <v>136</v>
      </c>
      <c r="F1824">
        <v>48</v>
      </c>
      <c r="G1824">
        <v>49</v>
      </c>
      <c r="H1824" s="7">
        <f t="shared" si="113"/>
        <v>40.102827763496144</v>
      </c>
      <c r="I1824" s="7">
        <f t="shared" si="114"/>
        <v>34.961439588688947</v>
      </c>
      <c r="J1824" s="7">
        <f t="shared" si="115"/>
        <v>12.339331619537274</v>
      </c>
      <c r="K1824" s="7">
        <f t="shared" si="116"/>
        <v>12.596401028277635</v>
      </c>
    </row>
    <row r="1825" spans="1:11" x14ac:dyDescent="0.35">
      <c r="A1825">
        <v>2024</v>
      </c>
      <c r="B1825">
        <v>3148608</v>
      </c>
      <c r="C1825" t="str">
        <f>VLOOKUP(B1825,SAEB!$A:$B,2,0)</f>
        <v>Peçanha</v>
      </c>
      <c r="D1825">
        <v>37</v>
      </c>
      <c r="E1825">
        <v>0</v>
      </c>
      <c r="F1825">
        <v>269</v>
      </c>
      <c r="G1825">
        <v>213</v>
      </c>
      <c r="H1825" s="7">
        <f t="shared" si="113"/>
        <v>7.1290944123314066</v>
      </c>
      <c r="I1825" s="7">
        <f t="shared" si="114"/>
        <v>0</v>
      </c>
      <c r="J1825" s="7">
        <f t="shared" si="115"/>
        <v>51.830443159922922</v>
      </c>
      <c r="K1825" s="7">
        <f t="shared" si="116"/>
        <v>41.040462427745666</v>
      </c>
    </row>
    <row r="1826" spans="1:11" x14ac:dyDescent="0.35">
      <c r="A1826">
        <v>2024</v>
      </c>
      <c r="B1826">
        <v>3148707</v>
      </c>
      <c r="C1826" t="str">
        <f>VLOOKUP(B1826,SAEB!$A:$B,2,0)</f>
        <v>Pedra Azul</v>
      </c>
      <c r="D1826">
        <v>1226</v>
      </c>
      <c r="E1826">
        <v>115</v>
      </c>
      <c r="F1826">
        <v>55</v>
      </c>
      <c r="G1826">
        <v>0</v>
      </c>
      <c r="H1826" s="7">
        <f t="shared" si="113"/>
        <v>87.822349570200572</v>
      </c>
      <c r="I1826" s="7">
        <f t="shared" si="114"/>
        <v>8.2378223495702017</v>
      </c>
      <c r="J1826" s="7">
        <f t="shared" si="115"/>
        <v>3.9398280802292263</v>
      </c>
      <c r="K1826" s="7">
        <f t="shared" si="116"/>
        <v>0</v>
      </c>
    </row>
    <row r="1827" spans="1:11" x14ac:dyDescent="0.35">
      <c r="A1827">
        <v>2024</v>
      </c>
      <c r="B1827">
        <v>3149952</v>
      </c>
      <c r="C1827" t="str">
        <f>VLOOKUP(B1827,SAEB!$A:$B,2,0)</f>
        <v>Periquito</v>
      </c>
      <c r="D1827">
        <v>443</v>
      </c>
      <c r="E1827">
        <v>419</v>
      </c>
      <c r="F1827">
        <v>0</v>
      </c>
      <c r="G1827">
        <v>0</v>
      </c>
      <c r="H1827" s="7">
        <f t="shared" si="113"/>
        <v>51.392111368909511</v>
      </c>
      <c r="I1827" s="7">
        <f t="shared" si="114"/>
        <v>48.607888631090482</v>
      </c>
      <c r="J1827" s="7">
        <f t="shared" si="115"/>
        <v>0</v>
      </c>
      <c r="K1827" s="7">
        <f t="shared" si="116"/>
        <v>0</v>
      </c>
    </row>
    <row r="1828" spans="1:11" x14ac:dyDescent="0.35">
      <c r="A1828">
        <v>2024</v>
      </c>
      <c r="B1828">
        <v>3150158</v>
      </c>
      <c r="C1828" t="str">
        <f>VLOOKUP(B1828,SAEB!$A:$B,2,0)</f>
        <v>Piedade de Caratinga</v>
      </c>
      <c r="D1828">
        <v>561</v>
      </c>
      <c r="E1828">
        <v>0</v>
      </c>
      <c r="F1828">
        <v>68</v>
      </c>
      <c r="G1828">
        <v>0</v>
      </c>
      <c r="H1828" s="7">
        <f t="shared" si="113"/>
        <v>89.189189189189193</v>
      </c>
      <c r="I1828" s="7">
        <f t="shared" si="114"/>
        <v>0</v>
      </c>
      <c r="J1828" s="7">
        <f t="shared" si="115"/>
        <v>10.810810810810811</v>
      </c>
      <c r="K1828" s="7">
        <f t="shared" si="116"/>
        <v>0</v>
      </c>
    </row>
    <row r="1829" spans="1:11" x14ac:dyDescent="0.35">
      <c r="A1829">
        <v>2024</v>
      </c>
      <c r="B1829">
        <v>3150570</v>
      </c>
      <c r="C1829" t="str">
        <f>VLOOKUP(B1829,SAEB!$A:$B,2,0)</f>
        <v>Pintópolis</v>
      </c>
      <c r="D1829">
        <v>397</v>
      </c>
      <c r="E1829">
        <v>0</v>
      </c>
      <c r="F1829">
        <v>145</v>
      </c>
      <c r="G1829">
        <v>0</v>
      </c>
      <c r="H1829" s="7">
        <f t="shared" si="113"/>
        <v>73.247232472324725</v>
      </c>
      <c r="I1829" s="7">
        <f t="shared" si="114"/>
        <v>0</v>
      </c>
      <c r="J1829" s="7">
        <f t="shared" si="115"/>
        <v>26.752767527675275</v>
      </c>
      <c r="K1829" s="7">
        <f t="shared" si="116"/>
        <v>0</v>
      </c>
    </row>
    <row r="1830" spans="1:11" x14ac:dyDescent="0.35">
      <c r="A1830">
        <v>2024</v>
      </c>
      <c r="B1830">
        <v>3151206</v>
      </c>
      <c r="C1830" t="str">
        <f>VLOOKUP(B1830,SAEB!$A:$B,2,0)</f>
        <v>Pirapora</v>
      </c>
      <c r="D1830">
        <v>2784</v>
      </c>
      <c r="E1830">
        <v>79</v>
      </c>
      <c r="F1830">
        <v>0</v>
      </c>
      <c r="G1830">
        <v>0</v>
      </c>
      <c r="H1830" s="7">
        <f t="shared" si="113"/>
        <v>97.240656653859588</v>
      </c>
      <c r="I1830" s="7">
        <f t="shared" si="114"/>
        <v>2.7593433461404122</v>
      </c>
      <c r="J1830" s="7">
        <f t="shared" si="115"/>
        <v>0</v>
      </c>
      <c r="K1830" s="7">
        <f t="shared" si="116"/>
        <v>0</v>
      </c>
    </row>
    <row r="1831" spans="1:11" x14ac:dyDescent="0.35">
      <c r="A1831">
        <v>2024</v>
      </c>
      <c r="B1831">
        <v>3152170</v>
      </c>
      <c r="C1831" t="str">
        <f>VLOOKUP(B1831,SAEB!$A:$B,2,0)</f>
        <v>Ponto dos Volantes</v>
      </c>
      <c r="D1831">
        <v>394</v>
      </c>
      <c r="E1831">
        <v>256</v>
      </c>
      <c r="F1831">
        <v>301</v>
      </c>
      <c r="G1831">
        <v>236</v>
      </c>
      <c r="H1831" s="7">
        <f t="shared" si="113"/>
        <v>33.192923336141533</v>
      </c>
      <c r="I1831" s="7">
        <f t="shared" si="114"/>
        <v>21.566975568660489</v>
      </c>
      <c r="J1831" s="7">
        <f t="shared" si="115"/>
        <v>25.358045492839089</v>
      </c>
      <c r="K1831" s="7">
        <f t="shared" si="116"/>
        <v>19.882055602358889</v>
      </c>
    </row>
    <row r="1832" spans="1:11" x14ac:dyDescent="0.35">
      <c r="A1832">
        <v>2024</v>
      </c>
      <c r="B1832">
        <v>3152402</v>
      </c>
      <c r="C1832" t="str">
        <f>VLOOKUP(B1832,SAEB!$A:$B,2,0)</f>
        <v>Poté</v>
      </c>
      <c r="D1832">
        <v>412</v>
      </c>
      <c r="E1832">
        <v>299</v>
      </c>
      <c r="F1832">
        <v>31</v>
      </c>
      <c r="G1832">
        <v>0</v>
      </c>
      <c r="H1832" s="7">
        <f t="shared" si="113"/>
        <v>55.525606469002696</v>
      </c>
      <c r="I1832" s="7">
        <f t="shared" si="114"/>
        <v>40.296495956873315</v>
      </c>
      <c r="J1832" s="7">
        <f t="shared" si="115"/>
        <v>4.177897574123989</v>
      </c>
      <c r="K1832" s="7">
        <f t="shared" si="116"/>
        <v>0</v>
      </c>
    </row>
    <row r="1833" spans="1:11" x14ac:dyDescent="0.35">
      <c r="A1833">
        <v>2024</v>
      </c>
      <c r="B1833">
        <v>3153301</v>
      </c>
      <c r="C1833" t="str">
        <f>VLOOKUP(B1833,SAEB!$A:$B,2,0)</f>
        <v>Presidente Kubitschek</v>
      </c>
      <c r="D1833">
        <v>224</v>
      </c>
      <c r="E1833">
        <v>0</v>
      </c>
      <c r="F1833">
        <v>0</v>
      </c>
      <c r="G1833">
        <v>0</v>
      </c>
      <c r="H1833" s="7">
        <f t="shared" si="113"/>
        <v>100</v>
      </c>
      <c r="I1833" s="7">
        <f t="shared" si="114"/>
        <v>0</v>
      </c>
      <c r="J1833" s="7">
        <f t="shared" si="115"/>
        <v>0</v>
      </c>
      <c r="K1833" s="7">
        <f t="shared" si="116"/>
        <v>0</v>
      </c>
    </row>
    <row r="1834" spans="1:11" x14ac:dyDescent="0.35">
      <c r="A1834">
        <v>2024</v>
      </c>
      <c r="B1834">
        <v>3154309</v>
      </c>
      <c r="C1834" t="str">
        <f>VLOOKUP(B1834,SAEB!$A:$B,2,0)</f>
        <v>Resplendor</v>
      </c>
      <c r="D1834">
        <v>834</v>
      </c>
      <c r="E1834">
        <v>515</v>
      </c>
      <c r="F1834">
        <v>0</v>
      </c>
      <c r="G1834">
        <v>0</v>
      </c>
      <c r="H1834" s="7">
        <f t="shared" si="113"/>
        <v>61.823573017049668</v>
      </c>
      <c r="I1834" s="7">
        <f t="shared" si="114"/>
        <v>38.176426982950332</v>
      </c>
      <c r="J1834" s="7">
        <f t="shared" si="115"/>
        <v>0</v>
      </c>
      <c r="K1834" s="7">
        <f t="shared" si="116"/>
        <v>0</v>
      </c>
    </row>
    <row r="1835" spans="1:11" x14ac:dyDescent="0.35">
      <c r="A1835">
        <v>2024</v>
      </c>
      <c r="B1835">
        <v>3155108</v>
      </c>
      <c r="C1835" t="str">
        <f>VLOOKUP(B1835,SAEB!$A:$B,2,0)</f>
        <v>Rio do Prado</v>
      </c>
      <c r="D1835">
        <v>180</v>
      </c>
      <c r="E1835">
        <v>0</v>
      </c>
      <c r="F1835">
        <v>94</v>
      </c>
      <c r="G1835">
        <v>104</v>
      </c>
      <c r="H1835" s="7">
        <f t="shared" si="113"/>
        <v>47.619047619047613</v>
      </c>
      <c r="I1835" s="7">
        <f t="shared" si="114"/>
        <v>0</v>
      </c>
      <c r="J1835" s="7">
        <f t="shared" si="115"/>
        <v>24.867724867724867</v>
      </c>
      <c r="K1835" s="7">
        <f t="shared" si="116"/>
        <v>27.513227513227513</v>
      </c>
    </row>
    <row r="1836" spans="1:11" x14ac:dyDescent="0.35">
      <c r="A1836">
        <v>2024</v>
      </c>
      <c r="B1836">
        <v>3155603</v>
      </c>
      <c r="C1836" t="str">
        <f>VLOOKUP(B1836,SAEB!$A:$B,2,0)</f>
        <v>Rio Pardo de Minas</v>
      </c>
      <c r="D1836">
        <v>803</v>
      </c>
      <c r="E1836">
        <v>208</v>
      </c>
      <c r="F1836">
        <v>385</v>
      </c>
      <c r="G1836">
        <v>335</v>
      </c>
      <c r="H1836" s="7">
        <f t="shared" si="113"/>
        <v>46.389370306181398</v>
      </c>
      <c r="I1836" s="7">
        <f t="shared" si="114"/>
        <v>12.016175621028308</v>
      </c>
      <c r="J1836" s="7">
        <f t="shared" si="115"/>
        <v>22.241478913922588</v>
      </c>
      <c r="K1836" s="7">
        <f t="shared" si="116"/>
        <v>19.352975158867704</v>
      </c>
    </row>
    <row r="1837" spans="1:11" x14ac:dyDescent="0.35">
      <c r="A1837">
        <v>2024</v>
      </c>
      <c r="B1837">
        <v>3156502</v>
      </c>
      <c r="C1837" t="str">
        <f>VLOOKUP(B1837,SAEB!$A:$B,2,0)</f>
        <v>Rubelita</v>
      </c>
      <c r="D1837">
        <v>188</v>
      </c>
      <c r="E1837">
        <v>0</v>
      </c>
      <c r="F1837">
        <v>79</v>
      </c>
      <c r="G1837">
        <v>0</v>
      </c>
      <c r="H1837" s="7">
        <f t="shared" si="113"/>
        <v>70.411985018726597</v>
      </c>
      <c r="I1837" s="7">
        <f t="shared" si="114"/>
        <v>0</v>
      </c>
      <c r="J1837" s="7">
        <f t="shared" si="115"/>
        <v>29.588014981273407</v>
      </c>
      <c r="K1837" s="7">
        <f t="shared" si="116"/>
        <v>0</v>
      </c>
    </row>
    <row r="1838" spans="1:11" x14ac:dyDescent="0.35">
      <c r="A1838">
        <v>2024</v>
      </c>
      <c r="B1838">
        <v>3156601</v>
      </c>
      <c r="C1838" t="str">
        <f>VLOOKUP(B1838,SAEB!$A:$B,2,0)</f>
        <v>Rubim</v>
      </c>
      <c r="D1838">
        <v>399</v>
      </c>
      <c r="E1838">
        <v>377</v>
      </c>
      <c r="F1838">
        <v>56</v>
      </c>
      <c r="G1838">
        <v>0</v>
      </c>
      <c r="H1838" s="7">
        <f t="shared" si="113"/>
        <v>47.956730769230774</v>
      </c>
      <c r="I1838" s="7">
        <f t="shared" si="114"/>
        <v>45.3125</v>
      </c>
      <c r="J1838" s="7">
        <f t="shared" si="115"/>
        <v>6.7307692307692308</v>
      </c>
      <c r="K1838" s="7">
        <f t="shared" si="116"/>
        <v>0</v>
      </c>
    </row>
    <row r="1839" spans="1:11" x14ac:dyDescent="0.35">
      <c r="A1839">
        <v>2024</v>
      </c>
      <c r="B1839">
        <v>3156809</v>
      </c>
      <c r="C1839" t="str">
        <f>VLOOKUP(B1839,SAEB!$A:$B,2,0)</f>
        <v>Sabinópolis</v>
      </c>
      <c r="D1839">
        <v>152</v>
      </c>
      <c r="E1839">
        <v>0</v>
      </c>
      <c r="F1839">
        <v>91</v>
      </c>
      <c r="G1839">
        <v>0</v>
      </c>
      <c r="H1839" s="7">
        <f t="shared" si="113"/>
        <v>62.55144032921811</v>
      </c>
      <c r="I1839" s="7">
        <f t="shared" si="114"/>
        <v>0</v>
      </c>
      <c r="J1839" s="7">
        <f t="shared" si="115"/>
        <v>37.448559670781897</v>
      </c>
      <c r="K1839" s="7">
        <f t="shared" si="116"/>
        <v>0</v>
      </c>
    </row>
    <row r="1840" spans="1:11" x14ac:dyDescent="0.35">
      <c r="A1840">
        <v>2024</v>
      </c>
      <c r="B1840">
        <v>3157005</v>
      </c>
      <c r="C1840" t="str">
        <f>VLOOKUP(B1840,SAEB!$A:$B,2,0)</f>
        <v>Salinas</v>
      </c>
      <c r="D1840">
        <v>1846</v>
      </c>
      <c r="E1840">
        <v>0</v>
      </c>
      <c r="F1840">
        <v>186</v>
      </c>
      <c r="G1840">
        <v>58</v>
      </c>
      <c r="H1840" s="7">
        <f t="shared" si="113"/>
        <v>88.325358851674636</v>
      </c>
      <c r="I1840" s="7">
        <f t="shared" si="114"/>
        <v>0</v>
      </c>
      <c r="J1840" s="7">
        <f t="shared" si="115"/>
        <v>8.8995215311004774</v>
      </c>
      <c r="K1840" s="7">
        <f t="shared" si="116"/>
        <v>2.7751196172248802</v>
      </c>
    </row>
    <row r="1841" spans="1:11" x14ac:dyDescent="0.35">
      <c r="A1841">
        <v>2024</v>
      </c>
      <c r="B1841">
        <v>3157104</v>
      </c>
      <c r="C1841" t="str">
        <f>VLOOKUP(B1841,SAEB!$A:$B,2,0)</f>
        <v>Salto da Divisa</v>
      </c>
      <c r="D1841">
        <v>393</v>
      </c>
      <c r="E1841">
        <v>0</v>
      </c>
      <c r="F1841">
        <v>13</v>
      </c>
      <c r="G1841">
        <v>0</v>
      </c>
      <c r="H1841" s="7">
        <f t="shared" si="113"/>
        <v>96.798029556650249</v>
      </c>
      <c r="I1841" s="7">
        <f t="shared" si="114"/>
        <v>0</v>
      </c>
      <c r="J1841" s="7">
        <f t="shared" si="115"/>
        <v>3.201970443349754</v>
      </c>
      <c r="K1841" s="7">
        <f t="shared" si="116"/>
        <v>0</v>
      </c>
    </row>
    <row r="1842" spans="1:11" x14ac:dyDescent="0.35">
      <c r="A1842">
        <v>2024</v>
      </c>
      <c r="B1842">
        <v>3157252</v>
      </c>
      <c r="C1842" t="str">
        <f>VLOOKUP(B1842,SAEB!$A:$B,2,0)</f>
        <v>Santa Bárbara do Leste</v>
      </c>
      <c r="D1842">
        <v>323</v>
      </c>
      <c r="E1842">
        <v>14</v>
      </c>
      <c r="F1842">
        <v>217</v>
      </c>
      <c r="G1842">
        <v>80</v>
      </c>
      <c r="H1842" s="7">
        <f t="shared" si="113"/>
        <v>50.946372239747639</v>
      </c>
      <c r="I1842" s="7">
        <f t="shared" si="114"/>
        <v>2.2082018927444795</v>
      </c>
      <c r="J1842" s="7">
        <f t="shared" si="115"/>
        <v>34.227129337539431</v>
      </c>
      <c r="K1842" s="7">
        <f t="shared" si="116"/>
        <v>12.618296529968454</v>
      </c>
    </row>
    <row r="1843" spans="1:11" x14ac:dyDescent="0.35">
      <c r="A1843">
        <v>2024</v>
      </c>
      <c r="B1843">
        <v>3157377</v>
      </c>
      <c r="C1843" t="str">
        <f>VLOOKUP(B1843,SAEB!$A:$B,2,0)</f>
        <v>Santa Cruz de Salinas</v>
      </c>
      <c r="D1843">
        <v>126</v>
      </c>
      <c r="E1843">
        <v>0</v>
      </c>
      <c r="F1843">
        <v>90</v>
      </c>
      <c r="G1843">
        <v>17</v>
      </c>
      <c r="H1843" s="7">
        <f t="shared" si="113"/>
        <v>54.077253218884124</v>
      </c>
      <c r="I1843" s="7">
        <f t="shared" si="114"/>
        <v>0</v>
      </c>
      <c r="J1843" s="7">
        <f t="shared" si="115"/>
        <v>38.626609442060087</v>
      </c>
      <c r="K1843" s="7">
        <f t="shared" si="116"/>
        <v>7.296137339055794</v>
      </c>
    </row>
    <row r="1844" spans="1:11" x14ac:dyDescent="0.35">
      <c r="A1844">
        <v>2024</v>
      </c>
      <c r="B1844">
        <v>3157500</v>
      </c>
      <c r="C1844" t="str">
        <f>VLOOKUP(B1844,SAEB!$A:$B,2,0)</f>
        <v>Santa Efigênia de Minas</v>
      </c>
      <c r="D1844">
        <v>258</v>
      </c>
      <c r="E1844">
        <v>0</v>
      </c>
      <c r="F1844">
        <v>27</v>
      </c>
      <c r="G1844">
        <v>0</v>
      </c>
      <c r="H1844" s="7">
        <f t="shared" si="113"/>
        <v>90.526315789473685</v>
      </c>
      <c r="I1844" s="7">
        <f t="shared" si="114"/>
        <v>0</v>
      </c>
      <c r="J1844" s="7">
        <f t="shared" si="115"/>
        <v>9.4736842105263168</v>
      </c>
      <c r="K1844" s="7">
        <f t="shared" si="116"/>
        <v>0</v>
      </c>
    </row>
    <row r="1845" spans="1:11" x14ac:dyDescent="0.35">
      <c r="A1845">
        <v>2024</v>
      </c>
      <c r="B1845">
        <v>3157658</v>
      </c>
      <c r="C1845" t="str">
        <f>VLOOKUP(B1845,SAEB!$A:$B,2,0)</f>
        <v>Santa Helena de Minas</v>
      </c>
      <c r="D1845">
        <v>220</v>
      </c>
      <c r="E1845">
        <v>43</v>
      </c>
      <c r="F1845">
        <v>0</v>
      </c>
      <c r="G1845">
        <v>0</v>
      </c>
      <c r="H1845" s="7">
        <f t="shared" si="113"/>
        <v>83.650190114068451</v>
      </c>
      <c r="I1845" s="7">
        <f t="shared" si="114"/>
        <v>16.34980988593156</v>
      </c>
      <c r="J1845" s="7">
        <f t="shared" si="115"/>
        <v>0</v>
      </c>
      <c r="K1845" s="7">
        <f t="shared" si="116"/>
        <v>0</v>
      </c>
    </row>
    <row r="1846" spans="1:11" x14ac:dyDescent="0.35">
      <c r="A1846">
        <v>2024</v>
      </c>
      <c r="B1846">
        <v>3158201</v>
      </c>
      <c r="C1846" t="str">
        <f>VLOOKUP(B1846,SAEB!$A:$B,2,0)</f>
        <v>Santa Maria do Suaçuí</v>
      </c>
      <c r="D1846">
        <v>297</v>
      </c>
      <c r="E1846">
        <v>16</v>
      </c>
      <c r="F1846">
        <v>38</v>
      </c>
      <c r="G1846">
        <v>0</v>
      </c>
      <c r="H1846" s="7">
        <f t="shared" si="113"/>
        <v>84.615384615384613</v>
      </c>
      <c r="I1846" s="7">
        <f t="shared" si="114"/>
        <v>4.5584045584045585</v>
      </c>
      <c r="J1846" s="7">
        <f t="shared" si="115"/>
        <v>10.826210826210826</v>
      </c>
      <c r="K1846" s="7">
        <f t="shared" si="116"/>
        <v>0</v>
      </c>
    </row>
    <row r="1847" spans="1:11" x14ac:dyDescent="0.35">
      <c r="A1847">
        <v>2024</v>
      </c>
      <c r="B1847">
        <v>3159357</v>
      </c>
      <c r="C1847" t="str">
        <f>VLOOKUP(B1847,SAEB!$A:$B,2,0)</f>
        <v>Santa Rita de Minas</v>
      </c>
      <c r="D1847">
        <v>383</v>
      </c>
      <c r="E1847">
        <v>0</v>
      </c>
      <c r="F1847">
        <v>47</v>
      </c>
      <c r="G1847">
        <v>0</v>
      </c>
      <c r="H1847" s="7">
        <f t="shared" si="113"/>
        <v>89.069767441860463</v>
      </c>
      <c r="I1847" s="7">
        <f t="shared" si="114"/>
        <v>0</v>
      </c>
      <c r="J1847" s="7">
        <f t="shared" si="115"/>
        <v>10.930232558139535</v>
      </c>
      <c r="K1847" s="7">
        <f t="shared" si="116"/>
        <v>0</v>
      </c>
    </row>
    <row r="1848" spans="1:11" x14ac:dyDescent="0.35">
      <c r="A1848">
        <v>2024</v>
      </c>
      <c r="B1848">
        <v>3159506</v>
      </c>
      <c r="C1848" t="str">
        <f>VLOOKUP(B1848,SAEB!$A:$B,2,0)</f>
        <v>Santa Rita do Itueto</v>
      </c>
      <c r="D1848">
        <v>126</v>
      </c>
      <c r="E1848">
        <v>0</v>
      </c>
      <c r="F1848">
        <v>262</v>
      </c>
      <c r="G1848">
        <v>88</v>
      </c>
      <c r="H1848" s="7">
        <f t="shared" si="113"/>
        <v>26.47058823529412</v>
      </c>
      <c r="I1848" s="7">
        <f t="shared" si="114"/>
        <v>0</v>
      </c>
      <c r="J1848" s="7">
        <f t="shared" si="115"/>
        <v>55.042016806722692</v>
      </c>
      <c r="K1848" s="7">
        <f t="shared" si="116"/>
        <v>18.487394957983195</v>
      </c>
    </row>
    <row r="1849" spans="1:11" x14ac:dyDescent="0.35">
      <c r="A1849">
        <v>2024</v>
      </c>
      <c r="B1849">
        <v>3160454</v>
      </c>
      <c r="C1849" t="str">
        <f>VLOOKUP(B1849,SAEB!$A:$B,2,0)</f>
        <v>Santo Antônio do Retiro</v>
      </c>
      <c r="D1849">
        <v>282</v>
      </c>
      <c r="E1849">
        <v>169</v>
      </c>
      <c r="F1849">
        <v>112</v>
      </c>
      <c r="G1849">
        <v>125</v>
      </c>
      <c r="H1849" s="7">
        <f t="shared" si="113"/>
        <v>40.988372093023258</v>
      </c>
      <c r="I1849" s="7">
        <f t="shared" si="114"/>
        <v>24.563953488372093</v>
      </c>
      <c r="J1849" s="7">
        <f t="shared" si="115"/>
        <v>16.279069767441861</v>
      </c>
      <c r="K1849" s="7">
        <f t="shared" si="116"/>
        <v>18.168604651162788</v>
      </c>
    </row>
    <row r="1850" spans="1:11" x14ac:dyDescent="0.35">
      <c r="A1850">
        <v>2024</v>
      </c>
      <c r="B1850">
        <v>3160603</v>
      </c>
      <c r="C1850" t="str">
        <f>VLOOKUP(B1850,SAEB!$A:$B,2,0)</f>
        <v>Santo Hipólito</v>
      </c>
      <c r="D1850">
        <v>140</v>
      </c>
      <c r="E1850">
        <v>0</v>
      </c>
      <c r="F1850">
        <v>4</v>
      </c>
      <c r="G1850">
        <v>0</v>
      </c>
      <c r="H1850" s="7">
        <f t="shared" si="113"/>
        <v>97.222222222222214</v>
      </c>
      <c r="I1850" s="7">
        <f t="shared" si="114"/>
        <v>0</v>
      </c>
      <c r="J1850" s="7">
        <f t="shared" si="115"/>
        <v>2.7777777777777777</v>
      </c>
      <c r="K1850" s="7">
        <f t="shared" si="116"/>
        <v>0</v>
      </c>
    </row>
    <row r="1851" spans="1:11" x14ac:dyDescent="0.35">
      <c r="A1851">
        <v>2024</v>
      </c>
      <c r="B1851">
        <v>3160959</v>
      </c>
      <c r="C1851" t="str">
        <f>VLOOKUP(B1851,SAEB!$A:$B,2,0)</f>
        <v>São Domingos das Dores</v>
      </c>
      <c r="D1851">
        <v>271</v>
      </c>
      <c r="E1851">
        <v>0</v>
      </c>
      <c r="F1851">
        <v>148</v>
      </c>
      <c r="G1851">
        <v>133</v>
      </c>
      <c r="H1851" s="7">
        <f t="shared" si="113"/>
        <v>49.094202898550726</v>
      </c>
      <c r="I1851" s="7">
        <f t="shared" si="114"/>
        <v>0</v>
      </c>
      <c r="J1851" s="7">
        <f t="shared" si="115"/>
        <v>26.811594202898554</v>
      </c>
      <c r="K1851" s="7">
        <f t="shared" si="116"/>
        <v>24.094202898550723</v>
      </c>
    </row>
    <row r="1852" spans="1:11" x14ac:dyDescent="0.35">
      <c r="A1852">
        <v>2024</v>
      </c>
      <c r="B1852">
        <v>3161601</v>
      </c>
      <c r="C1852" t="str">
        <f>VLOOKUP(B1852,SAEB!$A:$B,2,0)</f>
        <v>São Geraldo da Piedade</v>
      </c>
      <c r="D1852">
        <v>74</v>
      </c>
      <c r="E1852">
        <v>0</v>
      </c>
      <c r="F1852">
        <v>117</v>
      </c>
      <c r="G1852">
        <v>57</v>
      </c>
      <c r="H1852" s="7">
        <f t="shared" si="113"/>
        <v>29.838709677419356</v>
      </c>
      <c r="I1852" s="7">
        <f t="shared" si="114"/>
        <v>0</v>
      </c>
      <c r="J1852" s="7">
        <f t="shared" si="115"/>
        <v>47.177419354838712</v>
      </c>
      <c r="K1852" s="7">
        <f t="shared" si="116"/>
        <v>22.983870967741936</v>
      </c>
    </row>
    <row r="1853" spans="1:11" x14ac:dyDescent="0.35">
      <c r="A1853">
        <v>2024</v>
      </c>
      <c r="B1853">
        <v>3125507</v>
      </c>
      <c r="C1853" t="str">
        <f>VLOOKUP(B1853,SAEB!$A:$B,2,0)</f>
        <v>São Gonçalo do Rio Preto</v>
      </c>
      <c r="D1853">
        <v>145</v>
      </c>
      <c r="E1853">
        <v>0</v>
      </c>
      <c r="F1853">
        <v>0</v>
      </c>
      <c r="G1853">
        <v>0</v>
      </c>
      <c r="H1853" s="7">
        <f t="shared" si="113"/>
        <v>100</v>
      </c>
      <c r="I1853" s="7">
        <f t="shared" si="114"/>
        <v>0</v>
      </c>
      <c r="J1853" s="7">
        <f t="shared" si="115"/>
        <v>0</v>
      </c>
      <c r="K1853" s="7">
        <f t="shared" si="116"/>
        <v>0</v>
      </c>
    </row>
    <row r="1854" spans="1:11" x14ac:dyDescent="0.35">
      <c r="A1854">
        <v>2024</v>
      </c>
      <c r="B1854">
        <v>3162252</v>
      </c>
      <c r="C1854" t="str">
        <f>VLOOKUP(B1854,SAEB!$A:$B,2,0)</f>
        <v>São João da Lagoa</v>
      </c>
      <c r="D1854">
        <v>233</v>
      </c>
      <c r="E1854">
        <v>0</v>
      </c>
      <c r="F1854">
        <v>49</v>
      </c>
      <c r="G1854">
        <v>49</v>
      </c>
      <c r="H1854" s="7">
        <f t="shared" si="113"/>
        <v>70.392749244712988</v>
      </c>
      <c r="I1854" s="7">
        <f t="shared" si="114"/>
        <v>0</v>
      </c>
      <c r="J1854" s="7">
        <f t="shared" si="115"/>
        <v>14.803625377643503</v>
      </c>
      <c r="K1854" s="7">
        <f t="shared" si="116"/>
        <v>14.803625377643503</v>
      </c>
    </row>
    <row r="1855" spans="1:11" x14ac:dyDescent="0.35">
      <c r="A1855">
        <v>2024</v>
      </c>
      <c r="B1855">
        <v>3162401</v>
      </c>
      <c r="C1855" t="str">
        <f>VLOOKUP(B1855,SAEB!$A:$B,2,0)</f>
        <v>São João da Ponte</v>
      </c>
      <c r="D1855">
        <v>781</v>
      </c>
      <c r="E1855">
        <v>316</v>
      </c>
      <c r="F1855">
        <v>637</v>
      </c>
      <c r="G1855">
        <v>975</v>
      </c>
      <c r="H1855" s="7">
        <f t="shared" si="113"/>
        <v>28.829826504245109</v>
      </c>
      <c r="I1855" s="7">
        <f t="shared" si="114"/>
        <v>11.664820967146548</v>
      </c>
      <c r="J1855" s="7">
        <f t="shared" si="115"/>
        <v>23.51421188630491</v>
      </c>
      <c r="K1855" s="7">
        <f t="shared" si="116"/>
        <v>35.991140642303435</v>
      </c>
    </row>
    <row r="1856" spans="1:11" x14ac:dyDescent="0.35">
      <c r="A1856">
        <v>2024</v>
      </c>
      <c r="B1856">
        <v>3162575</v>
      </c>
      <c r="C1856" t="str">
        <f>VLOOKUP(B1856,SAEB!$A:$B,2,0)</f>
        <v>São João do Manteninha</v>
      </c>
      <c r="D1856">
        <v>222</v>
      </c>
      <c r="E1856">
        <v>0</v>
      </c>
      <c r="F1856">
        <v>123</v>
      </c>
      <c r="G1856">
        <v>0</v>
      </c>
      <c r="H1856" s="7">
        <f t="shared" si="113"/>
        <v>64.347826086956516</v>
      </c>
      <c r="I1856" s="7">
        <f t="shared" si="114"/>
        <v>0</v>
      </c>
      <c r="J1856" s="7">
        <f t="shared" si="115"/>
        <v>35.652173913043477</v>
      </c>
      <c r="K1856" s="7">
        <f t="shared" si="116"/>
        <v>0</v>
      </c>
    </row>
    <row r="1857" spans="1:11" x14ac:dyDescent="0.35">
      <c r="A1857">
        <v>2024</v>
      </c>
      <c r="B1857">
        <v>3162807</v>
      </c>
      <c r="C1857" t="str">
        <f>VLOOKUP(B1857,SAEB!$A:$B,2,0)</f>
        <v>São João Evangelista</v>
      </c>
      <c r="D1857">
        <v>808</v>
      </c>
      <c r="E1857">
        <v>0</v>
      </c>
      <c r="F1857">
        <v>80</v>
      </c>
      <c r="G1857">
        <v>41</v>
      </c>
      <c r="H1857" s="7">
        <f t="shared" si="113"/>
        <v>86.975242195909587</v>
      </c>
      <c r="I1857" s="7">
        <f t="shared" si="114"/>
        <v>0</v>
      </c>
      <c r="J1857" s="7">
        <f t="shared" si="115"/>
        <v>8.611410118406889</v>
      </c>
      <c r="K1857" s="7">
        <f t="shared" si="116"/>
        <v>4.4133476856835312</v>
      </c>
    </row>
    <row r="1858" spans="1:11" x14ac:dyDescent="0.35">
      <c r="A1858">
        <v>2024</v>
      </c>
      <c r="B1858">
        <v>3163508</v>
      </c>
      <c r="C1858" t="str">
        <f>VLOOKUP(B1858,SAEB!$A:$B,2,0)</f>
        <v>São José do Jacuri</v>
      </c>
      <c r="D1858">
        <v>214</v>
      </c>
      <c r="E1858">
        <v>0</v>
      </c>
      <c r="F1858">
        <v>145</v>
      </c>
      <c r="G1858">
        <v>92</v>
      </c>
      <c r="H1858" s="7">
        <f t="shared" si="113"/>
        <v>47.450110864745007</v>
      </c>
      <c r="I1858" s="7">
        <f t="shared" si="114"/>
        <v>0</v>
      </c>
      <c r="J1858" s="7">
        <f t="shared" si="115"/>
        <v>32.150776053215083</v>
      </c>
      <c r="K1858" s="7">
        <f t="shared" si="116"/>
        <v>20.399113082039911</v>
      </c>
    </row>
    <row r="1859" spans="1:11" x14ac:dyDescent="0.35">
      <c r="A1859">
        <v>2024</v>
      </c>
      <c r="B1859">
        <v>3164100</v>
      </c>
      <c r="C1859" t="str">
        <f>VLOOKUP(B1859,SAEB!$A:$B,2,0)</f>
        <v>São Pedro do Suaçuí</v>
      </c>
      <c r="D1859">
        <v>183</v>
      </c>
      <c r="E1859">
        <v>0</v>
      </c>
      <c r="F1859">
        <v>44</v>
      </c>
      <c r="G1859">
        <v>0</v>
      </c>
      <c r="H1859" s="7">
        <f t="shared" ref="H1859:H1881" si="117">D1859/SUM($D1859:$G1859)*100</f>
        <v>80.616740088105729</v>
      </c>
      <c r="I1859" s="7">
        <f t="shared" ref="I1859:I1881" si="118">E1859/SUM($D1859:$G1859)*100</f>
        <v>0</v>
      </c>
      <c r="J1859" s="7">
        <f t="shared" ref="J1859:J1881" si="119">F1859/SUM($D1859:$G1859)*100</f>
        <v>19.383259911894275</v>
      </c>
      <c r="K1859" s="7">
        <f t="shared" ref="K1859:K1881" si="120">G1859/SUM($D1859:$G1859)*100</f>
        <v>0</v>
      </c>
    </row>
    <row r="1860" spans="1:11" x14ac:dyDescent="0.35">
      <c r="A1860">
        <v>2024</v>
      </c>
      <c r="B1860">
        <v>3164472</v>
      </c>
      <c r="C1860" t="str">
        <f>VLOOKUP(B1860,SAEB!$A:$B,2,0)</f>
        <v>São Sebastião do Anta</v>
      </c>
      <c r="D1860">
        <v>416</v>
      </c>
      <c r="E1860">
        <v>298</v>
      </c>
      <c r="F1860">
        <v>0</v>
      </c>
      <c r="G1860">
        <v>0</v>
      </c>
      <c r="H1860" s="7">
        <f t="shared" si="117"/>
        <v>58.263305322128858</v>
      </c>
      <c r="I1860" s="7">
        <f t="shared" si="118"/>
        <v>41.736694677871149</v>
      </c>
      <c r="J1860" s="7">
        <f t="shared" si="119"/>
        <v>0</v>
      </c>
      <c r="K1860" s="7">
        <f t="shared" si="120"/>
        <v>0</v>
      </c>
    </row>
    <row r="1861" spans="1:11" x14ac:dyDescent="0.35">
      <c r="A1861">
        <v>2024</v>
      </c>
      <c r="B1861">
        <v>3165503</v>
      </c>
      <c r="C1861" t="str">
        <f>VLOOKUP(B1861,SAEB!$A:$B,2,0)</f>
        <v>Sardoá</v>
      </c>
      <c r="D1861">
        <v>222</v>
      </c>
      <c r="E1861">
        <v>0</v>
      </c>
      <c r="F1861">
        <v>128</v>
      </c>
      <c r="G1861">
        <v>91</v>
      </c>
      <c r="H1861" s="7">
        <f t="shared" si="117"/>
        <v>50.34013605442177</v>
      </c>
      <c r="I1861" s="7">
        <f t="shared" si="118"/>
        <v>0</v>
      </c>
      <c r="J1861" s="7">
        <f t="shared" si="119"/>
        <v>29.024943310657598</v>
      </c>
      <c r="K1861" s="7">
        <f t="shared" si="120"/>
        <v>20.634920634920633</v>
      </c>
    </row>
    <row r="1862" spans="1:11" x14ac:dyDescent="0.35">
      <c r="A1862">
        <v>2024</v>
      </c>
      <c r="B1862">
        <v>3165909</v>
      </c>
      <c r="C1862" t="str">
        <f>VLOOKUP(B1862,SAEB!$A:$B,2,0)</f>
        <v>Senador Modestino Gonçalves</v>
      </c>
      <c r="D1862">
        <v>164</v>
      </c>
      <c r="E1862">
        <v>0</v>
      </c>
      <c r="F1862">
        <v>35</v>
      </c>
      <c r="G1862">
        <v>0</v>
      </c>
      <c r="H1862" s="7">
        <f t="shared" si="117"/>
        <v>82.412060301507537</v>
      </c>
      <c r="I1862" s="7">
        <f t="shared" si="118"/>
        <v>0</v>
      </c>
      <c r="J1862" s="7">
        <f t="shared" si="119"/>
        <v>17.587939698492463</v>
      </c>
      <c r="K1862" s="7">
        <f t="shared" si="120"/>
        <v>0</v>
      </c>
    </row>
    <row r="1863" spans="1:11" x14ac:dyDescent="0.35">
      <c r="A1863">
        <v>2024</v>
      </c>
      <c r="B1863">
        <v>3166105</v>
      </c>
      <c r="C1863" t="str">
        <f>VLOOKUP(B1863,SAEB!$A:$B,2,0)</f>
        <v>Senhora do Porto</v>
      </c>
      <c r="D1863">
        <v>175</v>
      </c>
      <c r="E1863">
        <v>0</v>
      </c>
      <c r="F1863">
        <v>0</v>
      </c>
      <c r="G1863">
        <v>0</v>
      </c>
      <c r="H1863" s="7">
        <f t="shared" si="117"/>
        <v>100</v>
      </c>
      <c r="I1863" s="7">
        <f t="shared" si="118"/>
        <v>0</v>
      </c>
      <c r="J1863" s="7">
        <f t="shared" si="119"/>
        <v>0</v>
      </c>
      <c r="K1863" s="7">
        <f t="shared" si="120"/>
        <v>0</v>
      </c>
    </row>
    <row r="1864" spans="1:11" x14ac:dyDescent="0.35">
      <c r="A1864">
        <v>2024</v>
      </c>
      <c r="B1864">
        <v>3166709</v>
      </c>
      <c r="C1864" t="str">
        <f>VLOOKUP(B1864,SAEB!$A:$B,2,0)</f>
        <v>Serra dos Aimorés</v>
      </c>
      <c r="D1864">
        <v>339</v>
      </c>
      <c r="E1864">
        <v>0</v>
      </c>
      <c r="F1864">
        <v>83</v>
      </c>
      <c r="G1864">
        <v>0</v>
      </c>
      <c r="H1864" s="7">
        <f t="shared" si="117"/>
        <v>80.33175355450237</v>
      </c>
      <c r="I1864" s="7">
        <f t="shared" si="118"/>
        <v>0</v>
      </c>
      <c r="J1864" s="7">
        <f t="shared" si="119"/>
        <v>19.66824644549763</v>
      </c>
      <c r="K1864" s="7">
        <f t="shared" si="120"/>
        <v>0</v>
      </c>
    </row>
    <row r="1865" spans="1:11" x14ac:dyDescent="0.35">
      <c r="A1865">
        <v>2024</v>
      </c>
      <c r="B1865">
        <v>3166956</v>
      </c>
      <c r="C1865" t="str">
        <f>VLOOKUP(B1865,SAEB!$A:$B,2,0)</f>
        <v>Serranópolis de Minas</v>
      </c>
      <c r="D1865">
        <v>144</v>
      </c>
      <c r="E1865">
        <v>0</v>
      </c>
      <c r="F1865">
        <v>99</v>
      </c>
      <c r="G1865">
        <v>92</v>
      </c>
      <c r="H1865" s="7">
        <f t="shared" si="117"/>
        <v>42.985074626865668</v>
      </c>
      <c r="I1865" s="7">
        <f t="shared" si="118"/>
        <v>0</v>
      </c>
      <c r="J1865" s="7">
        <f t="shared" si="119"/>
        <v>29.552238805970148</v>
      </c>
      <c r="K1865" s="7">
        <f t="shared" si="120"/>
        <v>27.46268656716418</v>
      </c>
    </row>
    <row r="1866" spans="1:11" x14ac:dyDescent="0.35">
      <c r="A1866">
        <v>2024</v>
      </c>
      <c r="B1866">
        <v>3168002</v>
      </c>
      <c r="C1866" t="str">
        <f>VLOOKUP(B1866,SAEB!$A:$B,2,0)</f>
        <v>Taiobeiras</v>
      </c>
      <c r="D1866">
        <v>1791</v>
      </c>
      <c r="E1866">
        <v>128</v>
      </c>
      <c r="F1866">
        <v>121</v>
      </c>
      <c r="G1866">
        <v>82</v>
      </c>
      <c r="H1866" s="7">
        <f t="shared" si="117"/>
        <v>84.401508011310085</v>
      </c>
      <c r="I1866" s="7">
        <f t="shared" si="118"/>
        <v>6.0320452403393023</v>
      </c>
      <c r="J1866" s="7">
        <f t="shared" si="119"/>
        <v>5.7021677662582464</v>
      </c>
      <c r="K1866" s="7">
        <f t="shared" si="120"/>
        <v>3.8642789820923658</v>
      </c>
    </row>
    <row r="1867" spans="1:11" x14ac:dyDescent="0.35">
      <c r="A1867">
        <v>2024</v>
      </c>
      <c r="B1867">
        <v>3168051</v>
      </c>
      <c r="C1867" t="str">
        <f>VLOOKUP(B1867,SAEB!$A:$B,2,0)</f>
        <v>Taparuba</v>
      </c>
      <c r="D1867">
        <v>157</v>
      </c>
      <c r="E1867">
        <v>29</v>
      </c>
      <c r="F1867">
        <v>30</v>
      </c>
      <c r="G1867">
        <v>0</v>
      </c>
      <c r="H1867" s="7">
        <f t="shared" si="117"/>
        <v>72.68518518518519</v>
      </c>
      <c r="I1867" s="7">
        <f t="shared" si="118"/>
        <v>13.425925925925927</v>
      </c>
      <c r="J1867" s="7">
        <f t="shared" si="119"/>
        <v>13.888888888888889</v>
      </c>
      <c r="K1867" s="7">
        <f t="shared" si="120"/>
        <v>0</v>
      </c>
    </row>
    <row r="1868" spans="1:11" x14ac:dyDescent="0.35">
      <c r="A1868">
        <v>2024</v>
      </c>
      <c r="B1868">
        <v>3168408</v>
      </c>
      <c r="C1868" t="str">
        <f>VLOOKUP(B1868,SAEB!$A:$B,2,0)</f>
        <v>Tarumirim</v>
      </c>
      <c r="D1868">
        <v>167</v>
      </c>
      <c r="E1868">
        <v>83</v>
      </c>
      <c r="F1868">
        <v>9</v>
      </c>
      <c r="G1868">
        <v>0</v>
      </c>
      <c r="H1868" s="7">
        <f t="shared" si="117"/>
        <v>64.478764478764489</v>
      </c>
      <c r="I1868" s="7">
        <f t="shared" si="118"/>
        <v>32.046332046332047</v>
      </c>
      <c r="J1868" s="7">
        <f t="shared" si="119"/>
        <v>3.4749034749034751</v>
      </c>
      <c r="K1868" s="7">
        <f t="shared" si="120"/>
        <v>0</v>
      </c>
    </row>
    <row r="1869" spans="1:11" x14ac:dyDescent="0.35">
      <c r="A1869">
        <v>2024</v>
      </c>
      <c r="B1869">
        <v>3168606</v>
      </c>
      <c r="C1869" t="str">
        <f>VLOOKUP(B1869,SAEB!$A:$B,2,0)</f>
        <v>Teófilo Otoni</v>
      </c>
      <c r="D1869">
        <v>3078</v>
      </c>
      <c r="E1869">
        <v>1640</v>
      </c>
      <c r="F1869">
        <v>581</v>
      </c>
      <c r="G1869">
        <v>149</v>
      </c>
      <c r="H1869" s="7">
        <f t="shared" si="117"/>
        <v>56.497797356828194</v>
      </c>
      <c r="I1869" s="7">
        <f t="shared" si="118"/>
        <v>30.102790014684288</v>
      </c>
      <c r="J1869" s="7">
        <f t="shared" si="119"/>
        <v>10.66446402349486</v>
      </c>
      <c r="K1869" s="7">
        <f t="shared" si="120"/>
        <v>2.7349486049926579</v>
      </c>
    </row>
    <row r="1870" spans="1:11" x14ac:dyDescent="0.35">
      <c r="A1870">
        <v>2024</v>
      </c>
      <c r="B1870">
        <v>3169505</v>
      </c>
      <c r="C1870" t="str">
        <f>VLOOKUP(B1870,SAEB!$A:$B,2,0)</f>
        <v>Tumiritinga</v>
      </c>
      <c r="D1870">
        <v>334</v>
      </c>
      <c r="E1870">
        <v>0</v>
      </c>
      <c r="F1870">
        <v>9</v>
      </c>
      <c r="G1870">
        <v>0</v>
      </c>
      <c r="H1870" s="7">
        <f t="shared" si="117"/>
        <v>97.376093294460645</v>
      </c>
      <c r="I1870" s="7">
        <f t="shared" si="118"/>
        <v>0</v>
      </c>
      <c r="J1870" s="7">
        <f t="shared" si="119"/>
        <v>2.6239067055393588</v>
      </c>
      <c r="K1870" s="7">
        <f t="shared" si="120"/>
        <v>0</v>
      </c>
    </row>
    <row r="1871" spans="1:11" x14ac:dyDescent="0.35">
      <c r="A1871">
        <v>2024</v>
      </c>
      <c r="B1871">
        <v>3169703</v>
      </c>
      <c r="C1871" t="str">
        <f>VLOOKUP(B1871,SAEB!$A:$B,2,0)</f>
        <v>Turmalina</v>
      </c>
      <c r="D1871">
        <v>387</v>
      </c>
      <c r="E1871">
        <v>0</v>
      </c>
      <c r="F1871">
        <v>117</v>
      </c>
      <c r="G1871">
        <v>112</v>
      </c>
      <c r="H1871" s="7">
        <f t="shared" si="117"/>
        <v>62.824675324675326</v>
      </c>
      <c r="I1871" s="7">
        <f t="shared" si="118"/>
        <v>0</v>
      </c>
      <c r="J1871" s="7">
        <f t="shared" si="119"/>
        <v>18.993506493506494</v>
      </c>
      <c r="K1871" s="7">
        <f t="shared" si="120"/>
        <v>18.181818181818183</v>
      </c>
    </row>
    <row r="1872" spans="1:11" x14ac:dyDescent="0.35">
      <c r="A1872">
        <v>2024</v>
      </c>
      <c r="B1872">
        <v>3170057</v>
      </c>
      <c r="C1872" t="str">
        <f>VLOOKUP(B1872,SAEB!$A:$B,2,0)</f>
        <v>Ubaporanga</v>
      </c>
      <c r="D1872">
        <v>370</v>
      </c>
      <c r="E1872">
        <v>0</v>
      </c>
      <c r="F1872">
        <v>71</v>
      </c>
      <c r="G1872">
        <v>0</v>
      </c>
      <c r="H1872" s="7">
        <f t="shared" si="117"/>
        <v>83.900226757369609</v>
      </c>
      <c r="I1872" s="7">
        <f t="shared" si="118"/>
        <v>0</v>
      </c>
      <c r="J1872" s="7">
        <f t="shared" si="119"/>
        <v>16.099773242630384</v>
      </c>
      <c r="K1872" s="7">
        <f t="shared" si="120"/>
        <v>0</v>
      </c>
    </row>
    <row r="1873" spans="1:11" x14ac:dyDescent="0.35">
      <c r="A1873">
        <v>2024</v>
      </c>
      <c r="B1873">
        <v>3170305</v>
      </c>
      <c r="C1873" t="str">
        <f>VLOOKUP(B1873,SAEB!$A:$B,2,0)</f>
        <v>Umburatiba</v>
      </c>
      <c r="D1873">
        <v>125</v>
      </c>
      <c r="E1873">
        <v>0</v>
      </c>
      <c r="F1873">
        <v>60</v>
      </c>
      <c r="G1873">
        <v>49</v>
      </c>
      <c r="H1873" s="7">
        <f t="shared" si="117"/>
        <v>53.418803418803421</v>
      </c>
      <c r="I1873" s="7">
        <f t="shared" si="118"/>
        <v>0</v>
      </c>
      <c r="J1873" s="7">
        <f t="shared" si="119"/>
        <v>25.641025641025639</v>
      </c>
      <c r="K1873" s="7">
        <f t="shared" si="120"/>
        <v>20.94017094017094</v>
      </c>
    </row>
    <row r="1874" spans="1:11" x14ac:dyDescent="0.35">
      <c r="A1874">
        <v>2024</v>
      </c>
      <c r="B1874">
        <v>3170479</v>
      </c>
      <c r="C1874" t="str">
        <f>VLOOKUP(B1874,SAEB!$A:$B,2,0)</f>
        <v>Uruana de Minas</v>
      </c>
      <c r="D1874">
        <v>239</v>
      </c>
      <c r="E1874">
        <v>204</v>
      </c>
      <c r="F1874">
        <v>0</v>
      </c>
      <c r="G1874">
        <v>0</v>
      </c>
      <c r="H1874" s="7">
        <f t="shared" si="117"/>
        <v>53.950338600451467</v>
      </c>
      <c r="I1874" s="7">
        <f t="shared" si="118"/>
        <v>46.049661399548533</v>
      </c>
      <c r="J1874" s="7">
        <f t="shared" si="119"/>
        <v>0</v>
      </c>
      <c r="K1874" s="7">
        <f t="shared" si="120"/>
        <v>0</v>
      </c>
    </row>
    <row r="1875" spans="1:11" x14ac:dyDescent="0.35">
      <c r="A1875">
        <v>2024</v>
      </c>
      <c r="B1875">
        <v>3170529</v>
      </c>
      <c r="C1875" t="str">
        <f>VLOOKUP(B1875,SAEB!$A:$B,2,0)</f>
        <v>Urucuia</v>
      </c>
      <c r="D1875">
        <v>435</v>
      </c>
      <c r="E1875">
        <v>378</v>
      </c>
      <c r="F1875">
        <v>164</v>
      </c>
      <c r="G1875">
        <v>158</v>
      </c>
      <c r="H1875" s="7">
        <f t="shared" si="117"/>
        <v>38.325991189427313</v>
      </c>
      <c r="I1875" s="7">
        <f t="shared" si="118"/>
        <v>33.303964757709252</v>
      </c>
      <c r="J1875" s="7">
        <f t="shared" si="119"/>
        <v>14.449339207048459</v>
      </c>
      <c r="K1875" s="7">
        <f t="shared" si="120"/>
        <v>13.920704845814976</v>
      </c>
    </row>
    <row r="1876" spans="1:11" x14ac:dyDescent="0.35">
      <c r="A1876">
        <v>2024</v>
      </c>
      <c r="B1876">
        <v>3170651</v>
      </c>
      <c r="C1876" t="str">
        <f>VLOOKUP(B1876,SAEB!$A:$B,2,0)</f>
        <v>Vargem Grande do Rio Pardo</v>
      </c>
      <c r="D1876">
        <v>255</v>
      </c>
      <c r="E1876">
        <v>0</v>
      </c>
      <c r="F1876">
        <v>51</v>
      </c>
      <c r="G1876">
        <v>0</v>
      </c>
      <c r="H1876" s="7">
        <f t="shared" si="117"/>
        <v>83.333333333333343</v>
      </c>
      <c r="I1876" s="7">
        <f t="shared" si="118"/>
        <v>0</v>
      </c>
      <c r="J1876" s="7">
        <f t="shared" si="119"/>
        <v>16.666666666666664</v>
      </c>
      <c r="K1876" s="7">
        <f t="shared" si="120"/>
        <v>0</v>
      </c>
    </row>
    <row r="1877" spans="1:11" x14ac:dyDescent="0.35">
      <c r="A1877">
        <v>2024</v>
      </c>
      <c r="B1877">
        <v>3170800</v>
      </c>
      <c r="C1877" t="str">
        <f>VLOOKUP(B1877,SAEB!$A:$B,2,0)</f>
        <v>Várzea da Palma</v>
      </c>
      <c r="D1877">
        <v>1745</v>
      </c>
      <c r="E1877">
        <v>0</v>
      </c>
      <c r="F1877">
        <v>132</v>
      </c>
      <c r="G1877">
        <v>77</v>
      </c>
      <c r="H1877" s="7">
        <f t="shared" si="117"/>
        <v>89.303991811668368</v>
      </c>
      <c r="I1877" s="7">
        <f t="shared" si="118"/>
        <v>0</v>
      </c>
      <c r="J1877" s="7">
        <f t="shared" si="119"/>
        <v>6.7553735926305007</v>
      </c>
      <c r="K1877" s="7">
        <f t="shared" si="120"/>
        <v>3.940634595701126</v>
      </c>
    </row>
    <row r="1878" spans="1:11" x14ac:dyDescent="0.35">
      <c r="A1878">
        <v>2024</v>
      </c>
      <c r="B1878">
        <v>3171071</v>
      </c>
      <c r="C1878" t="str">
        <f>VLOOKUP(B1878,SAEB!$A:$B,2,0)</f>
        <v>Veredinha</v>
      </c>
      <c r="D1878">
        <v>313</v>
      </c>
      <c r="E1878">
        <v>0</v>
      </c>
      <c r="F1878">
        <v>0</v>
      </c>
      <c r="G1878">
        <v>0</v>
      </c>
      <c r="H1878" s="7">
        <f t="shared" si="117"/>
        <v>100</v>
      </c>
      <c r="I1878" s="7">
        <f t="shared" si="118"/>
        <v>0</v>
      </c>
      <c r="J1878" s="7">
        <f t="shared" si="119"/>
        <v>0</v>
      </c>
      <c r="K1878" s="7">
        <f t="shared" si="120"/>
        <v>0</v>
      </c>
    </row>
    <row r="1879" spans="1:11" x14ac:dyDescent="0.35">
      <c r="A1879">
        <v>2024</v>
      </c>
      <c r="B1879">
        <v>3171600</v>
      </c>
      <c r="C1879" t="str">
        <f>VLOOKUP(B1879,SAEB!$A:$B,2,0)</f>
        <v>Virgem da Lapa</v>
      </c>
      <c r="D1879">
        <v>478</v>
      </c>
      <c r="E1879">
        <v>431</v>
      </c>
      <c r="F1879">
        <v>62</v>
      </c>
      <c r="G1879">
        <v>0</v>
      </c>
      <c r="H1879" s="7">
        <f t="shared" si="117"/>
        <v>49.227600411946447</v>
      </c>
      <c r="I1879" s="7">
        <f t="shared" si="118"/>
        <v>44.387229660144186</v>
      </c>
      <c r="J1879" s="7">
        <f t="shared" si="119"/>
        <v>6.3851699279093719</v>
      </c>
      <c r="K1879" s="7">
        <f t="shared" si="120"/>
        <v>0</v>
      </c>
    </row>
    <row r="1880" spans="1:11" x14ac:dyDescent="0.35">
      <c r="A1880">
        <v>2024</v>
      </c>
      <c r="B1880">
        <v>3171808</v>
      </c>
      <c r="C1880" t="str">
        <f>VLOOKUP(B1880,SAEB!$A:$B,2,0)</f>
        <v>Virginópolis</v>
      </c>
      <c r="D1880">
        <v>509</v>
      </c>
      <c r="E1880">
        <v>0</v>
      </c>
      <c r="F1880">
        <v>127</v>
      </c>
      <c r="G1880">
        <v>0</v>
      </c>
      <c r="H1880" s="7">
        <f t="shared" si="117"/>
        <v>80.031446540880495</v>
      </c>
      <c r="I1880" s="7">
        <f t="shared" si="118"/>
        <v>0</v>
      </c>
      <c r="J1880" s="7">
        <f t="shared" si="119"/>
        <v>19.968553459119498</v>
      </c>
      <c r="K1880" s="7">
        <f t="shared" si="120"/>
        <v>0</v>
      </c>
    </row>
    <row r="1881" spans="1:11" x14ac:dyDescent="0.35">
      <c r="A1881">
        <v>2024</v>
      </c>
      <c r="B1881">
        <v>3171907</v>
      </c>
      <c r="C1881" t="str">
        <f>VLOOKUP(B1881,SAEB!$A:$B,2,0)</f>
        <v>Virgolândia</v>
      </c>
      <c r="D1881">
        <v>216</v>
      </c>
      <c r="E1881">
        <v>0</v>
      </c>
      <c r="F1881">
        <v>0</v>
      </c>
      <c r="G1881">
        <v>0</v>
      </c>
      <c r="H1881" s="7">
        <f t="shared" si="117"/>
        <v>100</v>
      </c>
      <c r="I1881" s="7">
        <f t="shared" si="118"/>
        <v>0</v>
      </c>
      <c r="J1881" s="7">
        <f t="shared" si="119"/>
        <v>0</v>
      </c>
      <c r="K1881" s="7">
        <f t="shared" si="12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EC19-7319-419C-ADED-1826A4664726}">
  <dimension ref="A1:D565"/>
  <sheetViews>
    <sheetView workbookViewId="0"/>
  </sheetViews>
  <sheetFormatPr defaultRowHeight="14.5" x14ac:dyDescent="0.35"/>
  <cols>
    <col min="1" max="1" width="4.453125" bestFit="1" customWidth="1"/>
    <col min="2" max="2" width="15.81640625" bestFit="1" customWidth="1"/>
    <col min="3" max="3" width="23.453125" bestFit="1" customWidth="1"/>
    <col min="4" max="4" width="6" customWidth="1"/>
  </cols>
  <sheetData>
    <row r="1" spans="1:4" x14ac:dyDescent="0.35">
      <c r="A1" s="14" t="s">
        <v>211</v>
      </c>
      <c r="B1" s="15" t="s">
        <v>212</v>
      </c>
      <c r="C1" s="14" t="s">
        <v>213</v>
      </c>
      <c r="D1" s="15" t="s">
        <v>214</v>
      </c>
    </row>
    <row r="2" spans="1:4" x14ac:dyDescent="0.35">
      <c r="A2" s="10">
        <v>2019</v>
      </c>
      <c r="B2" s="11">
        <v>3101003</v>
      </c>
      <c r="C2" s="12" t="s">
        <v>10</v>
      </c>
      <c r="D2" s="13">
        <v>1.8</v>
      </c>
    </row>
    <row r="3" spans="1:4" x14ac:dyDescent="0.35">
      <c r="A3" s="10">
        <v>2019</v>
      </c>
      <c r="B3" s="11">
        <v>3101102</v>
      </c>
      <c r="C3" s="12" t="s">
        <v>11</v>
      </c>
      <c r="D3" s="13">
        <v>2.8</v>
      </c>
    </row>
    <row r="4" spans="1:4" x14ac:dyDescent="0.35">
      <c r="A4" s="10">
        <v>2019</v>
      </c>
      <c r="B4" s="11">
        <v>3101706</v>
      </c>
      <c r="C4" s="12" t="s">
        <v>12</v>
      </c>
      <c r="D4" s="13">
        <v>12.3</v>
      </c>
    </row>
    <row r="5" spans="1:4" x14ac:dyDescent="0.35">
      <c r="A5" s="10">
        <v>2019</v>
      </c>
      <c r="B5" s="11">
        <v>3101805</v>
      </c>
      <c r="C5" s="12" t="s">
        <v>13</v>
      </c>
      <c r="D5" s="13">
        <v>6</v>
      </c>
    </row>
    <row r="6" spans="1:4" x14ac:dyDescent="0.35">
      <c r="A6" s="10">
        <v>2019</v>
      </c>
      <c r="B6" s="11">
        <v>3102704</v>
      </c>
      <c r="C6" s="12" t="s">
        <v>26</v>
      </c>
      <c r="D6" s="13">
        <v>1.4</v>
      </c>
    </row>
    <row r="7" spans="1:4" x14ac:dyDescent="0.35">
      <c r="A7" s="10">
        <v>2019</v>
      </c>
      <c r="B7" s="11">
        <v>3102852</v>
      </c>
      <c r="C7" s="12" t="s">
        <v>14</v>
      </c>
      <c r="D7" s="13">
        <v>0.5</v>
      </c>
    </row>
    <row r="8" spans="1:4" x14ac:dyDescent="0.35">
      <c r="A8" s="10">
        <v>2019</v>
      </c>
      <c r="B8" s="11">
        <v>3103405</v>
      </c>
      <c r="C8" s="12" t="s">
        <v>15</v>
      </c>
      <c r="D8" s="13">
        <v>2</v>
      </c>
    </row>
    <row r="9" spans="1:4" x14ac:dyDescent="0.35">
      <c r="A9" s="10">
        <v>2019</v>
      </c>
      <c r="B9" s="11">
        <v>3104452</v>
      </c>
      <c r="C9" s="12" t="s">
        <v>16</v>
      </c>
      <c r="D9" s="13">
        <v>0.4</v>
      </c>
    </row>
    <row r="10" spans="1:4" x14ac:dyDescent="0.35">
      <c r="A10" s="10">
        <v>2019</v>
      </c>
      <c r="B10" s="11">
        <v>3104502</v>
      </c>
      <c r="C10" s="12" t="s">
        <v>17</v>
      </c>
      <c r="D10" s="13">
        <v>3.9</v>
      </c>
    </row>
    <row r="11" spans="1:4" x14ac:dyDescent="0.35">
      <c r="A11" s="10">
        <v>2019</v>
      </c>
      <c r="B11" s="11">
        <v>3104700</v>
      </c>
      <c r="C11" s="12" t="s">
        <v>18</v>
      </c>
      <c r="D11" s="13">
        <v>3.1</v>
      </c>
    </row>
    <row r="12" spans="1:4" x14ac:dyDescent="0.35">
      <c r="A12" s="10">
        <v>2019</v>
      </c>
      <c r="B12" s="11">
        <v>3105202</v>
      </c>
      <c r="C12" s="12" t="s">
        <v>19</v>
      </c>
      <c r="D12" s="13">
        <v>3.4</v>
      </c>
    </row>
    <row r="13" spans="1:4" x14ac:dyDescent="0.35">
      <c r="A13" s="10">
        <v>2019</v>
      </c>
      <c r="B13" s="11">
        <v>3106655</v>
      </c>
      <c r="C13" s="12" t="s">
        <v>20</v>
      </c>
      <c r="D13" s="13">
        <v>2.1</v>
      </c>
    </row>
    <row r="14" spans="1:4" x14ac:dyDescent="0.35">
      <c r="A14" s="10">
        <v>2019</v>
      </c>
      <c r="B14" s="11">
        <v>3107307</v>
      </c>
      <c r="C14" s="12" t="s">
        <v>21</v>
      </c>
      <c r="D14" s="13">
        <v>3.2</v>
      </c>
    </row>
    <row r="15" spans="1:4" x14ac:dyDescent="0.35">
      <c r="A15" s="10">
        <v>2019</v>
      </c>
      <c r="B15" s="11">
        <v>3108206</v>
      </c>
      <c r="C15" s="12" t="s">
        <v>22</v>
      </c>
      <c r="D15" s="13">
        <v>1</v>
      </c>
    </row>
    <row r="16" spans="1:4" x14ac:dyDescent="0.35">
      <c r="A16" s="10">
        <v>2019</v>
      </c>
      <c r="B16" s="11">
        <v>3108602</v>
      </c>
      <c r="C16" s="12" t="s">
        <v>23</v>
      </c>
      <c r="D16" s="13">
        <v>0.6</v>
      </c>
    </row>
    <row r="17" spans="1:4" x14ac:dyDescent="0.35">
      <c r="A17" s="10">
        <v>2019</v>
      </c>
      <c r="B17" s="11">
        <v>3109204</v>
      </c>
      <c r="C17" s="12" t="s">
        <v>24</v>
      </c>
      <c r="D17" s="13">
        <v>1.6</v>
      </c>
    </row>
    <row r="18" spans="1:4" x14ac:dyDescent="0.35">
      <c r="A18" s="10">
        <v>2019</v>
      </c>
      <c r="B18" s="11">
        <v>3109402</v>
      </c>
      <c r="C18" s="12" t="s">
        <v>25</v>
      </c>
      <c r="D18" s="13">
        <v>2</v>
      </c>
    </row>
    <row r="19" spans="1:4" x14ac:dyDescent="0.35">
      <c r="A19" s="10">
        <v>2019</v>
      </c>
      <c r="B19" s="11">
        <v>3110806</v>
      </c>
      <c r="C19" s="12" t="s">
        <v>27</v>
      </c>
      <c r="D19" s="13">
        <v>14</v>
      </c>
    </row>
    <row r="20" spans="1:4" x14ac:dyDescent="0.35">
      <c r="A20" s="10">
        <v>2019</v>
      </c>
      <c r="B20" s="11">
        <v>3111150</v>
      </c>
      <c r="C20" s="12" t="s">
        <v>28</v>
      </c>
      <c r="D20" s="13">
        <v>2.7</v>
      </c>
    </row>
    <row r="21" spans="1:4" x14ac:dyDescent="0.35">
      <c r="A21" s="10">
        <v>2019</v>
      </c>
      <c r="B21" s="11">
        <v>3112059</v>
      </c>
      <c r="C21" s="12" t="s">
        <v>29</v>
      </c>
      <c r="D21" s="13">
        <v>2.6</v>
      </c>
    </row>
    <row r="22" spans="1:4" x14ac:dyDescent="0.35">
      <c r="A22" s="10">
        <v>2019</v>
      </c>
      <c r="B22" s="11">
        <v>3112307</v>
      </c>
      <c r="C22" s="12" t="s">
        <v>30</v>
      </c>
      <c r="D22" s="13">
        <v>0.8</v>
      </c>
    </row>
    <row r="23" spans="1:4" x14ac:dyDescent="0.35">
      <c r="A23" s="10">
        <v>2019</v>
      </c>
      <c r="B23" s="11">
        <v>3112703</v>
      </c>
      <c r="C23" s="12" t="s">
        <v>31</v>
      </c>
      <c r="D23" s="13">
        <v>2.9</v>
      </c>
    </row>
    <row r="24" spans="1:4" x14ac:dyDescent="0.35">
      <c r="A24" s="10">
        <v>2019</v>
      </c>
      <c r="B24" s="11">
        <v>3113008</v>
      </c>
      <c r="C24" s="12" t="s">
        <v>32</v>
      </c>
      <c r="D24" s="13">
        <v>9.1999999999999993</v>
      </c>
    </row>
    <row r="25" spans="1:4" x14ac:dyDescent="0.35">
      <c r="A25" s="10">
        <v>2019</v>
      </c>
      <c r="B25" s="11">
        <v>3113503</v>
      </c>
      <c r="C25" s="12" t="s">
        <v>33</v>
      </c>
      <c r="D25" s="13">
        <v>0.7</v>
      </c>
    </row>
    <row r="26" spans="1:4" x14ac:dyDescent="0.35">
      <c r="A26" s="10">
        <v>2019</v>
      </c>
      <c r="B26" s="11">
        <v>3113701</v>
      </c>
      <c r="C26" s="12" t="s">
        <v>34</v>
      </c>
      <c r="D26" s="13">
        <v>10</v>
      </c>
    </row>
    <row r="27" spans="1:4" x14ac:dyDescent="0.35">
      <c r="A27" s="10">
        <v>2019</v>
      </c>
      <c r="B27" s="11">
        <v>3113800</v>
      </c>
      <c r="C27" s="12" t="s">
        <v>35</v>
      </c>
      <c r="D27" s="13">
        <v>0.6</v>
      </c>
    </row>
    <row r="28" spans="1:4" x14ac:dyDescent="0.35">
      <c r="A28" s="10">
        <v>2019</v>
      </c>
      <c r="B28" s="11">
        <v>3115458</v>
      </c>
      <c r="C28" s="12" t="s">
        <v>36</v>
      </c>
      <c r="D28" s="13">
        <v>3.7</v>
      </c>
    </row>
    <row r="29" spans="1:4" x14ac:dyDescent="0.35">
      <c r="A29" s="10">
        <v>2019</v>
      </c>
      <c r="B29" s="11">
        <v>3115474</v>
      </c>
      <c r="C29" s="12" t="s">
        <v>37</v>
      </c>
      <c r="D29" s="13">
        <v>1.4</v>
      </c>
    </row>
    <row r="30" spans="1:4" x14ac:dyDescent="0.35">
      <c r="A30" s="10">
        <v>2019</v>
      </c>
      <c r="B30" s="11">
        <v>3116100</v>
      </c>
      <c r="C30" s="12" t="s">
        <v>38</v>
      </c>
      <c r="D30" s="13">
        <v>5</v>
      </c>
    </row>
    <row r="31" spans="1:4" x14ac:dyDescent="0.35">
      <c r="A31" s="10">
        <v>2019</v>
      </c>
      <c r="B31" s="11">
        <v>3116159</v>
      </c>
      <c r="C31" s="12" t="s">
        <v>39</v>
      </c>
      <c r="D31" s="13">
        <v>1.7</v>
      </c>
    </row>
    <row r="32" spans="1:4" x14ac:dyDescent="0.35">
      <c r="A32" s="10">
        <v>2019</v>
      </c>
      <c r="B32" s="11">
        <v>3116506</v>
      </c>
      <c r="C32" s="12" t="s">
        <v>40</v>
      </c>
      <c r="D32" s="13">
        <v>0.9</v>
      </c>
    </row>
    <row r="33" spans="1:4" x14ac:dyDescent="0.35">
      <c r="A33" s="10">
        <v>2019</v>
      </c>
      <c r="B33" s="11">
        <v>3116803</v>
      </c>
      <c r="C33" s="12" t="s">
        <v>41</v>
      </c>
      <c r="D33" s="13">
        <v>2.2000000000000002</v>
      </c>
    </row>
    <row r="34" spans="1:4" x14ac:dyDescent="0.35">
      <c r="A34" s="10">
        <v>2019</v>
      </c>
      <c r="B34" s="11">
        <v>3117009</v>
      </c>
      <c r="C34" s="12" t="s">
        <v>42</v>
      </c>
      <c r="D34" s="13">
        <v>3.5</v>
      </c>
    </row>
    <row r="35" spans="1:4" x14ac:dyDescent="0.35">
      <c r="A35" s="10">
        <v>2019</v>
      </c>
      <c r="B35" s="11">
        <v>3118403</v>
      </c>
      <c r="C35" s="12" t="s">
        <v>43</v>
      </c>
      <c r="D35" s="13">
        <v>5.9</v>
      </c>
    </row>
    <row r="36" spans="1:4" x14ac:dyDescent="0.35">
      <c r="A36" s="10">
        <v>2019</v>
      </c>
      <c r="B36" s="11">
        <v>3119104</v>
      </c>
      <c r="C36" s="12" t="s">
        <v>44</v>
      </c>
      <c r="D36" s="13">
        <v>3.4</v>
      </c>
    </row>
    <row r="37" spans="1:4" x14ac:dyDescent="0.35">
      <c r="A37" s="10">
        <v>2019</v>
      </c>
      <c r="B37" s="11">
        <v>3119203</v>
      </c>
      <c r="C37" s="12" t="s">
        <v>45</v>
      </c>
      <c r="D37" s="13">
        <v>1.7</v>
      </c>
    </row>
    <row r="38" spans="1:4" x14ac:dyDescent="0.35">
      <c r="A38" s="10">
        <v>2019</v>
      </c>
      <c r="B38" s="11">
        <v>3119500</v>
      </c>
      <c r="C38" s="12" t="s">
        <v>46</v>
      </c>
      <c r="D38" s="13">
        <v>0.9</v>
      </c>
    </row>
    <row r="39" spans="1:4" x14ac:dyDescent="0.35">
      <c r="A39" s="10">
        <v>2019</v>
      </c>
      <c r="B39" s="11">
        <v>3120151</v>
      </c>
      <c r="C39" s="12" t="s">
        <v>47</v>
      </c>
      <c r="D39" s="13">
        <v>6.5</v>
      </c>
    </row>
    <row r="40" spans="1:4" x14ac:dyDescent="0.35">
      <c r="A40" s="10">
        <v>2019</v>
      </c>
      <c r="B40" s="11">
        <v>3120870</v>
      </c>
      <c r="C40" s="12" t="s">
        <v>48</v>
      </c>
      <c r="D40" s="13">
        <v>3.3</v>
      </c>
    </row>
    <row r="41" spans="1:4" x14ac:dyDescent="0.35">
      <c r="A41" s="10">
        <v>2019</v>
      </c>
      <c r="B41" s="11">
        <v>3120904</v>
      </c>
      <c r="C41" s="12" t="s">
        <v>49</v>
      </c>
      <c r="D41" s="13">
        <v>4.5999999999999996</v>
      </c>
    </row>
    <row r="42" spans="1:4" x14ac:dyDescent="0.35">
      <c r="A42" s="10">
        <v>2019</v>
      </c>
      <c r="B42" s="11">
        <v>3121001</v>
      </c>
      <c r="C42" s="12" t="s">
        <v>50</v>
      </c>
      <c r="D42" s="13">
        <v>1</v>
      </c>
    </row>
    <row r="43" spans="1:4" x14ac:dyDescent="0.35">
      <c r="A43" s="10">
        <v>2019</v>
      </c>
      <c r="B43" s="11">
        <v>3121605</v>
      </c>
      <c r="C43" s="12" t="s">
        <v>51</v>
      </c>
      <c r="D43" s="13">
        <v>2</v>
      </c>
    </row>
    <row r="44" spans="1:4" x14ac:dyDescent="0.35">
      <c r="A44" s="10">
        <v>2019</v>
      </c>
      <c r="B44" s="11">
        <v>3122108</v>
      </c>
      <c r="C44" s="12" t="s">
        <v>52</v>
      </c>
      <c r="D44" s="13">
        <v>10.4</v>
      </c>
    </row>
    <row r="45" spans="1:4" x14ac:dyDescent="0.35">
      <c r="A45" s="10">
        <v>2019</v>
      </c>
      <c r="B45" s="11">
        <v>3122207</v>
      </c>
      <c r="C45" s="12" t="s">
        <v>53</v>
      </c>
      <c r="D45" s="13">
        <v>1.5</v>
      </c>
    </row>
    <row r="46" spans="1:4" x14ac:dyDescent="0.35">
      <c r="A46" s="10">
        <v>2019</v>
      </c>
      <c r="B46" s="11">
        <v>3122454</v>
      </c>
      <c r="C46" s="12" t="s">
        <v>54</v>
      </c>
      <c r="D46" s="13">
        <v>13.9</v>
      </c>
    </row>
    <row r="47" spans="1:4" x14ac:dyDescent="0.35">
      <c r="A47" s="10">
        <v>2019</v>
      </c>
      <c r="B47" s="11">
        <v>3122470</v>
      </c>
      <c r="C47" s="12" t="s">
        <v>55</v>
      </c>
      <c r="D47" s="13">
        <v>1.7</v>
      </c>
    </row>
    <row r="48" spans="1:4" x14ac:dyDescent="0.35">
      <c r="A48" s="10">
        <v>2019</v>
      </c>
      <c r="B48" s="11">
        <v>3123106</v>
      </c>
      <c r="C48" s="12" t="s">
        <v>56</v>
      </c>
      <c r="D48" s="13">
        <v>7.3</v>
      </c>
    </row>
    <row r="49" spans="1:4" x14ac:dyDescent="0.35">
      <c r="A49" s="10">
        <v>2019</v>
      </c>
      <c r="B49" s="11">
        <v>3123700</v>
      </c>
      <c r="C49" s="12" t="s">
        <v>57</v>
      </c>
      <c r="D49" s="13">
        <v>2.2999999999999998</v>
      </c>
    </row>
    <row r="50" spans="1:4" x14ac:dyDescent="0.35">
      <c r="A50" s="10">
        <v>2019</v>
      </c>
      <c r="B50" s="11">
        <v>3123809</v>
      </c>
      <c r="C50" s="12" t="s">
        <v>58</v>
      </c>
      <c r="D50" s="13">
        <v>1.6</v>
      </c>
    </row>
    <row r="51" spans="1:4" x14ac:dyDescent="0.35">
      <c r="A51" s="10">
        <v>2019</v>
      </c>
      <c r="B51" s="11">
        <v>3124302</v>
      </c>
      <c r="C51" s="12" t="s">
        <v>59</v>
      </c>
      <c r="D51" s="13">
        <v>2.5</v>
      </c>
    </row>
    <row r="52" spans="1:4" x14ac:dyDescent="0.35">
      <c r="A52" s="10">
        <v>2019</v>
      </c>
      <c r="B52" s="11">
        <v>3125408</v>
      </c>
      <c r="C52" s="12" t="s">
        <v>60</v>
      </c>
      <c r="D52" s="13">
        <v>3.4</v>
      </c>
    </row>
    <row r="53" spans="1:4" x14ac:dyDescent="0.35">
      <c r="A53" s="10">
        <v>2019</v>
      </c>
      <c r="B53" s="11">
        <v>3125507</v>
      </c>
      <c r="C53" s="12" t="s">
        <v>169</v>
      </c>
      <c r="D53" s="13">
        <v>2.1</v>
      </c>
    </row>
    <row r="54" spans="1:4" x14ac:dyDescent="0.35">
      <c r="A54" s="10">
        <v>2019</v>
      </c>
      <c r="B54" s="11">
        <v>3125705</v>
      </c>
      <c r="C54" s="12" t="s">
        <v>61</v>
      </c>
      <c r="D54" s="13">
        <v>7.8</v>
      </c>
    </row>
    <row r="55" spans="1:4" x14ac:dyDescent="0.35">
      <c r="A55" s="10">
        <v>2019</v>
      </c>
      <c r="B55" s="11">
        <v>3126604</v>
      </c>
      <c r="C55" s="12" t="s">
        <v>62</v>
      </c>
      <c r="D55" s="13">
        <v>0.9</v>
      </c>
    </row>
    <row r="56" spans="1:4" x14ac:dyDescent="0.35">
      <c r="A56" s="10">
        <v>2019</v>
      </c>
      <c r="B56" s="11">
        <v>3126703</v>
      </c>
      <c r="C56" s="12" t="s">
        <v>63</v>
      </c>
      <c r="D56" s="13">
        <v>2.1</v>
      </c>
    </row>
    <row r="57" spans="1:4" x14ac:dyDescent="0.35">
      <c r="A57" s="10">
        <v>2019</v>
      </c>
      <c r="B57" s="11">
        <v>3126901</v>
      </c>
      <c r="C57" s="12" t="s">
        <v>64</v>
      </c>
      <c r="D57" s="13">
        <v>5.5</v>
      </c>
    </row>
    <row r="58" spans="1:4" x14ac:dyDescent="0.35">
      <c r="A58" s="10">
        <v>2019</v>
      </c>
      <c r="B58" s="11">
        <v>3127073</v>
      </c>
      <c r="C58" s="12" t="s">
        <v>65</v>
      </c>
      <c r="D58" s="13">
        <v>1.3</v>
      </c>
    </row>
    <row r="59" spans="1:4" x14ac:dyDescent="0.35">
      <c r="A59" s="10">
        <v>2019</v>
      </c>
      <c r="B59" s="11">
        <v>3127354</v>
      </c>
      <c r="C59" s="12" t="s">
        <v>66</v>
      </c>
      <c r="D59" s="13">
        <v>2</v>
      </c>
    </row>
    <row r="60" spans="1:4" x14ac:dyDescent="0.35">
      <c r="A60" s="10">
        <v>2019</v>
      </c>
      <c r="B60" s="11">
        <v>3127503</v>
      </c>
      <c r="C60" s="12" t="s">
        <v>67</v>
      </c>
      <c r="D60" s="13">
        <v>1</v>
      </c>
    </row>
    <row r="61" spans="1:4" x14ac:dyDescent="0.35">
      <c r="A61" s="10">
        <v>2019</v>
      </c>
      <c r="B61" s="11">
        <v>3127602</v>
      </c>
      <c r="C61" s="12" t="s">
        <v>68</v>
      </c>
      <c r="D61" s="13">
        <v>1.1000000000000001</v>
      </c>
    </row>
    <row r="62" spans="1:4" x14ac:dyDescent="0.35">
      <c r="A62" s="10">
        <v>2019</v>
      </c>
      <c r="B62" s="11">
        <v>3127701</v>
      </c>
      <c r="C62" s="12" t="s">
        <v>69</v>
      </c>
      <c r="D62" s="13">
        <v>8.1</v>
      </c>
    </row>
    <row r="63" spans="1:4" x14ac:dyDescent="0.35">
      <c r="A63" s="10">
        <v>2019</v>
      </c>
      <c r="B63" s="11">
        <v>3128006</v>
      </c>
      <c r="C63" s="12" t="s">
        <v>70</v>
      </c>
      <c r="D63" s="13">
        <v>1.8</v>
      </c>
    </row>
    <row r="64" spans="1:4" x14ac:dyDescent="0.35">
      <c r="A64" s="10">
        <v>2019</v>
      </c>
      <c r="B64" s="11">
        <v>3128253</v>
      </c>
      <c r="C64" s="12" t="s">
        <v>71</v>
      </c>
      <c r="D64" s="13">
        <v>0.3</v>
      </c>
    </row>
    <row r="65" spans="1:4" x14ac:dyDescent="0.35">
      <c r="A65" s="10">
        <v>2019</v>
      </c>
      <c r="B65" s="11">
        <v>3129657</v>
      </c>
      <c r="C65" s="12" t="s">
        <v>72</v>
      </c>
      <c r="D65" s="13">
        <v>2.5</v>
      </c>
    </row>
    <row r="66" spans="1:4" x14ac:dyDescent="0.35">
      <c r="A66" s="10">
        <v>2019</v>
      </c>
      <c r="B66" s="11">
        <v>3130051</v>
      </c>
      <c r="C66" s="12" t="s">
        <v>73</v>
      </c>
      <c r="D66" s="13">
        <v>0.5</v>
      </c>
    </row>
    <row r="67" spans="1:4" x14ac:dyDescent="0.35">
      <c r="A67" s="10">
        <v>2019</v>
      </c>
      <c r="B67" s="11">
        <v>3130556</v>
      </c>
      <c r="C67" s="12" t="s">
        <v>74</v>
      </c>
      <c r="D67" s="13">
        <v>3.5</v>
      </c>
    </row>
    <row r="68" spans="1:4" x14ac:dyDescent="0.35">
      <c r="A68" s="10">
        <v>2019</v>
      </c>
      <c r="B68" s="11">
        <v>3130655</v>
      </c>
      <c r="C68" s="12" t="s">
        <v>75</v>
      </c>
      <c r="D68" s="13">
        <v>0.9</v>
      </c>
    </row>
    <row r="69" spans="1:4" x14ac:dyDescent="0.35">
      <c r="A69" s="10">
        <v>2019</v>
      </c>
      <c r="B69" s="11">
        <v>3130903</v>
      </c>
      <c r="C69" s="12" t="s">
        <v>76</v>
      </c>
      <c r="D69" s="13">
        <v>2.8</v>
      </c>
    </row>
    <row r="70" spans="1:4" x14ac:dyDescent="0.35">
      <c r="A70" s="10">
        <v>2019</v>
      </c>
      <c r="B70" s="11">
        <v>3131109</v>
      </c>
      <c r="C70" s="12" t="s">
        <v>77</v>
      </c>
      <c r="D70" s="13">
        <v>4.7</v>
      </c>
    </row>
    <row r="71" spans="1:4" x14ac:dyDescent="0.35">
      <c r="A71" s="10">
        <v>2019</v>
      </c>
      <c r="B71" s="11">
        <v>3131208</v>
      </c>
      <c r="C71" s="12" t="s">
        <v>78</v>
      </c>
      <c r="D71" s="13">
        <v>1.5</v>
      </c>
    </row>
    <row r="72" spans="1:4" x14ac:dyDescent="0.35">
      <c r="A72" s="10">
        <v>2019</v>
      </c>
      <c r="B72" s="11">
        <v>3131802</v>
      </c>
      <c r="C72" s="12" t="s">
        <v>79</v>
      </c>
      <c r="D72" s="13">
        <v>3.4</v>
      </c>
    </row>
    <row r="73" spans="1:4" x14ac:dyDescent="0.35">
      <c r="A73" s="10">
        <v>2019</v>
      </c>
      <c r="B73" s="11">
        <v>3132107</v>
      </c>
      <c r="C73" s="12" t="s">
        <v>80</v>
      </c>
      <c r="D73" s="13">
        <v>2.1</v>
      </c>
    </row>
    <row r="74" spans="1:4" x14ac:dyDescent="0.35">
      <c r="A74" s="10">
        <v>2019</v>
      </c>
      <c r="B74" s="11">
        <v>3132305</v>
      </c>
      <c r="C74" s="12" t="s">
        <v>81</v>
      </c>
      <c r="D74" s="13">
        <v>3.2</v>
      </c>
    </row>
    <row r="75" spans="1:4" x14ac:dyDescent="0.35">
      <c r="A75" s="10">
        <v>2019</v>
      </c>
      <c r="B75" s="11">
        <v>3132503</v>
      </c>
      <c r="C75" s="12" t="s">
        <v>82</v>
      </c>
      <c r="D75" s="13">
        <v>1.1000000000000001</v>
      </c>
    </row>
    <row r="76" spans="1:4" x14ac:dyDescent="0.35">
      <c r="A76" s="10">
        <v>2019</v>
      </c>
      <c r="B76" s="11">
        <v>3132701</v>
      </c>
      <c r="C76" s="12" t="s">
        <v>83</v>
      </c>
      <c r="D76" s="13">
        <v>10.1</v>
      </c>
    </row>
    <row r="77" spans="1:4" x14ac:dyDescent="0.35">
      <c r="A77" s="10">
        <v>2019</v>
      </c>
      <c r="B77" s="11">
        <v>3133204</v>
      </c>
      <c r="C77" s="12" t="s">
        <v>84</v>
      </c>
      <c r="D77" s="13">
        <v>3.4</v>
      </c>
    </row>
    <row r="78" spans="1:4" x14ac:dyDescent="0.35">
      <c r="A78" s="10">
        <v>2019</v>
      </c>
      <c r="B78" s="11">
        <v>3133303</v>
      </c>
      <c r="C78" s="12" t="s">
        <v>85</v>
      </c>
      <c r="D78" s="13">
        <v>1.1000000000000001</v>
      </c>
    </row>
    <row r="79" spans="1:4" x14ac:dyDescent="0.35">
      <c r="A79" s="10">
        <v>2019</v>
      </c>
      <c r="B79" s="11">
        <v>3134004</v>
      </c>
      <c r="C79" s="12" t="s">
        <v>86</v>
      </c>
      <c r="D79" s="13">
        <v>1.1000000000000001</v>
      </c>
    </row>
    <row r="80" spans="1:4" x14ac:dyDescent="0.35">
      <c r="A80" s="10">
        <v>2019</v>
      </c>
      <c r="B80" s="11">
        <v>3134103</v>
      </c>
      <c r="C80" s="12" t="s">
        <v>87</v>
      </c>
      <c r="D80" s="13">
        <v>3</v>
      </c>
    </row>
    <row r="81" spans="1:4" x14ac:dyDescent="0.35">
      <c r="A81" s="10">
        <v>2019</v>
      </c>
      <c r="B81" s="11">
        <v>3134707</v>
      </c>
      <c r="C81" s="12" t="s">
        <v>88</v>
      </c>
      <c r="D81" s="13">
        <v>3.6</v>
      </c>
    </row>
    <row r="82" spans="1:4" x14ac:dyDescent="0.35">
      <c r="A82" s="10">
        <v>2019</v>
      </c>
      <c r="B82" s="11">
        <v>3135050</v>
      </c>
      <c r="C82" s="12" t="s">
        <v>89</v>
      </c>
      <c r="D82" s="13">
        <v>4.0999999999999996</v>
      </c>
    </row>
    <row r="83" spans="1:4" x14ac:dyDescent="0.35">
      <c r="A83" s="10">
        <v>2019</v>
      </c>
      <c r="B83" s="11">
        <v>3135100</v>
      </c>
      <c r="C83" s="12" t="s">
        <v>90</v>
      </c>
      <c r="D83" s="13">
        <v>2</v>
      </c>
    </row>
    <row r="84" spans="1:4" x14ac:dyDescent="0.35">
      <c r="A84" s="10">
        <v>2019</v>
      </c>
      <c r="B84" s="11">
        <v>3135209</v>
      </c>
      <c r="C84" s="12" t="s">
        <v>91</v>
      </c>
      <c r="D84" s="13">
        <v>7.3</v>
      </c>
    </row>
    <row r="85" spans="1:4" x14ac:dyDescent="0.35">
      <c r="A85" s="10">
        <v>2019</v>
      </c>
      <c r="B85" s="11">
        <v>3135357</v>
      </c>
      <c r="C85" s="12" t="s">
        <v>92</v>
      </c>
      <c r="D85" s="13">
        <v>1.3</v>
      </c>
    </row>
    <row r="86" spans="1:4" x14ac:dyDescent="0.35">
      <c r="A86" s="10">
        <v>2019</v>
      </c>
      <c r="B86" s="11">
        <v>3135605</v>
      </c>
      <c r="C86" s="12" t="s">
        <v>93</v>
      </c>
      <c r="D86" s="13">
        <v>1.3</v>
      </c>
    </row>
    <row r="87" spans="1:4" x14ac:dyDescent="0.35">
      <c r="A87" s="10">
        <v>2019</v>
      </c>
      <c r="B87" s="11">
        <v>3135803</v>
      </c>
      <c r="C87" s="12" t="s">
        <v>94</v>
      </c>
      <c r="D87" s="13">
        <v>1.9</v>
      </c>
    </row>
    <row r="88" spans="1:4" x14ac:dyDescent="0.35">
      <c r="A88" s="10">
        <v>2019</v>
      </c>
      <c r="B88" s="11">
        <v>3136009</v>
      </c>
      <c r="C88" s="12" t="s">
        <v>95</v>
      </c>
      <c r="D88" s="13">
        <v>5.6</v>
      </c>
    </row>
    <row r="89" spans="1:4" x14ac:dyDescent="0.35">
      <c r="A89" s="10">
        <v>2019</v>
      </c>
      <c r="B89" s="11">
        <v>3136405</v>
      </c>
      <c r="C89" s="12" t="s">
        <v>96</v>
      </c>
      <c r="D89" s="13">
        <v>11.5</v>
      </c>
    </row>
    <row r="90" spans="1:4" x14ac:dyDescent="0.35">
      <c r="A90" s="10">
        <v>2019</v>
      </c>
      <c r="B90" s="11">
        <v>3136553</v>
      </c>
      <c r="C90" s="12" t="s">
        <v>97</v>
      </c>
      <c r="D90" s="13">
        <v>1</v>
      </c>
    </row>
    <row r="91" spans="1:4" x14ac:dyDescent="0.35">
      <c r="A91" s="10">
        <v>2019</v>
      </c>
      <c r="B91" s="11">
        <v>3136801</v>
      </c>
      <c r="C91" s="12" t="s">
        <v>98</v>
      </c>
      <c r="D91" s="13">
        <v>0.8</v>
      </c>
    </row>
    <row r="92" spans="1:4" x14ac:dyDescent="0.35">
      <c r="A92" s="10">
        <v>2019</v>
      </c>
      <c r="B92" s="11">
        <v>3136959</v>
      </c>
      <c r="C92" s="12" t="s">
        <v>99</v>
      </c>
      <c r="D92" s="13">
        <v>3.7</v>
      </c>
    </row>
    <row r="93" spans="1:4" x14ac:dyDescent="0.35">
      <c r="A93" s="10">
        <v>2019</v>
      </c>
      <c r="B93" s="11">
        <v>3137007</v>
      </c>
      <c r="C93" s="12" t="s">
        <v>100</v>
      </c>
      <c r="D93" s="13">
        <v>2.4</v>
      </c>
    </row>
    <row r="94" spans="1:4" x14ac:dyDescent="0.35">
      <c r="A94" s="10">
        <v>2019</v>
      </c>
      <c r="B94" s="11">
        <v>3137304</v>
      </c>
      <c r="C94" s="12" t="s">
        <v>101</v>
      </c>
      <c r="D94" s="13">
        <v>0.4</v>
      </c>
    </row>
    <row r="95" spans="1:4" x14ac:dyDescent="0.35">
      <c r="A95" s="10">
        <v>2019</v>
      </c>
      <c r="B95" s="11">
        <v>3138104</v>
      </c>
      <c r="C95" s="12" t="s">
        <v>102</v>
      </c>
      <c r="D95" s="13">
        <v>2.5</v>
      </c>
    </row>
    <row r="96" spans="1:4" x14ac:dyDescent="0.35">
      <c r="A96" s="10">
        <v>2019</v>
      </c>
      <c r="B96" s="11">
        <v>3138351</v>
      </c>
      <c r="C96" s="12" t="s">
        <v>103</v>
      </c>
      <c r="D96" s="13">
        <v>1.8</v>
      </c>
    </row>
    <row r="97" spans="1:4" x14ac:dyDescent="0.35">
      <c r="A97" s="10">
        <v>2019</v>
      </c>
      <c r="B97" s="11">
        <v>3138658</v>
      </c>
      <c r="C97" s="12" t="s">
        <v>104</v>
      </c>
      <c r="D97" s="13">
        <v>1.5</v>
      </c>
    </row>
    <row r="98" spans="1:4" x14ac:dyDescent="0.35">
      <c r="A98" s="10">
        <v>2019</v>
      </c>
      <c r="B98" s="11">
        <v>3138906</v>
      </c>
      <c r="C98" s="12" t="s">
        <v>105</v>
      </c>
      <c r="D98" s="13">
        <v>0.6</v>
      </c>
    </row>
    <row r="99" spans="1:4" x14ac:dyDescent="0.35">
      <c r="A99" s="10">
        <v>2019</v>
      </c>
      <c r="B99" s="11">
        <v>3139201</v>
      </c>
      <c r="C99" s="12" t="s">
        <v>106</v>
      </c>
      <c r="D99" s="13">
        <v>6</v>
      </c>
    </row>
    <row r="100" spans="1:4" x14ac:dyDescent="0.35">
      <c r="A100" s="10">
        <v>2019</v>
      </c>
      <c r="B100" s="11">
        <v>3139250</v>
      </c>
      <c r="C100" s="12" t="s">
        <v>107</v>
      </c>
      <c r="D100" s="13">
        <v>0.9</v>
      </c>
    </row>
    <row r="101" spans="1:4" x14ac:dyDescent="0.35">
      <c r="A101" s="10">
        <v>2019</v>
      </c>
      <c r="B101" s="11">
        <v>3139300</v>
      </c>
      <c r="C101" s="12" t="s">
        <v>108</v>
      </c>
      <c r="D101" s="13">
        <v>2.2999999999999998</v>
      </c>
    </row>
    <row r="102" spans="1:4" x14ac:dyDescent="0.35">
      <c r="A102" s="10">
        <v>2019</v>
      </c>
      <c r="B102" s="11">
        <v>3139607</v>
      </c>
      <c r="C102" s="12" t="s">
        <v>109</v>
      </c>
      <c r="D102" s="13">
        <v>5.6</v>
      </c>
    </row>
    <row r="103" spans="1:4" x14ac:dyDescent="0.35">
      <c r="A103" s="10">
        <v>2019</v>
      </c>
      <c r="B103" s="11">
        <v>3140100</v>
      </c>
      <c r="C103" s="12" t="s">
        <v>110</v>
      </c>
      <c r="D103" s="13">
        <v>5.6</v>
      </c>
    </row>
    <row r="104" spans="1:4" x14ac:dyDescent="0.35">
      <c r="A104" s="10">
        <v>2019</v>
      </c>
      <c r="B104" s="11">
        <v>3140605</v>
      </c>
      <c r="C104" s="12" t="s">
        <v>111</v>
      </c>
      <c r="D104" s="13">
        <v>5.6</v>
      </c>
    </row>
    <row r="105" spans="1:4" x14ac:dyDescent="0.35">
      <c r="A105" s="10">
        <v>2019</v>
      </c>
      <c r="B105" s="11">
        <v>3140852</v>
      </c>
      <c r="C105" s="12" t="s">
        <v>113</v>
      </c>
      <c r="D105" s="13">
        <v>6.1</v>
      </c>
    </row>
    <row r="106" spans="1:4" x14ac:dyDescent="0.35">
      <c r="A106" s="10">
        <v>2019</v>
      </c>
      <c r="B106" s="11">
        <v>3141009</v>
      </c>
      <c r="C106" s="12" t="s">
        <v>114</v>
      </c>
      <c r="D106" s="13">
        <v>3.7</v>
      </c>
    </row>
    <row r="107" spans="1:4" x14ac:dyDescent="0.35">
      <c r="A107" s="10">
        <v>2019</v>
      </c>
      <c r="B107" s="11">
        <v>3141405</v>
      </c>
      <c r="C107" s="12" t="s">
        <v>115</v>
      </c>
      <c r="D107" s="13">
        <v>1.2</v>
      </c>
    </row>
    <row r="108" spans="1:4" x14ac:dyDescent="0.35">
      <c r="A108" s="10">
        <v>2019</v>
      </c>
      <c r="B108" s="11">
        <v>3141504</v>
      </c>
      <c r="C108" s="12" t="s">
        <v>116</v>
      </c>
      <c r="D108" s="13">
        <v>0.3</v>
      </c>
    </row>
    <row r="109" spans="1:4" x14ac:dyDescent="0.35">
      <c r="A109" s="10">
        <v>2019</v>
      </c>
      <c r="B109" s="11">
        <v>3141801</v>
      </c>
      <c r="C109" s="12" t="s">
        <v>117</v>
      </c>
      <c r="D109" s="13">
        <v>3.1</v>
      </c>
    </row>
    <row r="110" spans="1:4" x14ac:dyDescent="0.35">
      <c r="A110" s="10">
        <v>2019</v>
      </c>
      <c r="B110" s="11">
        <v>3142007</v>
      </c>
      <c r="C110" s="12" t="s">
        <v>118</v>
      </c>
      <c r="D110" s="13">
        <v>3.8</v>
      </c>
    </row>
    <row r="111" spans="1:4" x14ac:dyDescent="0.35">
      <c r="A111" s="10">
        <v>2019</v>
      </c>
      <c r="B111" s="11">
        <v>3142254</v>
      </c>
      <c r="C111" s="12" t="s">
        <v>119</v>
      </c>
      <c r="D111" s="13">
        <v>2.2999999999999998</v>
      </c>
    </row>
    <row r="112" spans="1:4" x14ac:dyDescent="0.35">
      <c r="A112" s="10">
        <v>2019</v>
      </c>
      <c r="B112" s="11">
        <v>3142502</v>
      </c>
      <c r="C112" s="12" t="s">
        <v>120</v>
      </c>
      <c r="D112" s="13">
        <v>5.5</v>
      </c>
    </row>
    <row r="113" spans="1:4" x14ac:dyDescent="0.35">
      <c r="A113" s="10">
        <v>2019</v>
      </c>
      <c r="B113" s="11">
        <v>3142700</v>
      </c>
      <c r="C113" s="12" t="s">
        <v>121</v>
      </c>
      <c r="D113" s="13">
        <v>1.3</v>
      </c>
    </row>
    <row r="114" spans="1:4" x14ac:dyDescent="0.35">
      <c r="A114" s="10">
        <v>2019</v>
      </c>
      <c r="B114" s="11">
        <v>3143153</v>
      </c>
      <c r="C114" s="12" t="s">
        <v>122</v>
      </c>
      <c r="D114" s="13">
        <v>3.7</v>
      </c>
    </row>
    <row r="115" spans="1:4" x14ac:dyDescent="0.35">
      <c r="A115" s="10">
        <v>2019</v>
      </c>
      <c r="B115" s="11">
        <v>3143302</v>
      </c>
      <c r="C115" s="12" t="s">
        <v>123</v>
      </c>
      <c r="D115" s="13">
        <v>4.3</v>
      </c>
    </row>
    <row r="116" spans="1:4" x14ac:dyDescent="0.35">
      <c r="A116" s="10">
        <v>2019</v>
      </c>
      <c r="B116" s="11">
        <v>3143450</v>
      </c>
      <c r="C116" s="12" t="s">
        <v>124</v>
      </c>
      <c r="D116" s="13">
        <v>1.3</v>
      </c>
    </row>
    <row r="117" spans="1:4" x14ac:dyDescent="0.35">
      <c r="A117" s="10">
        <v>2019</v>
      </c>
      <c r="B117" s="11">
        <v>3143609</v>
      </c>
      <c r="C117" s="12" t="s">
        <v>125</v>
      </c>
      <c r="D117" s="13">
        <v>0.6</v>
      </c>
    </row>
    <row r="118" spans="1:4" x14ac:dyDescent="0.35">
      <c r="A118" s="10">
        <v>2019</v>
      </c>
      <c r="B118" s="11">
        <v>3144003</v>
      </c>
      <c r="C118" s="12" t="s">
        <v>126</v>
      </c>
      <c r="D118" s="13">
        <v>2.6</v>
      </c>
    </row>
    <row r="119" spans="1:4" x14ac:dyDescent="0.35">
      <c r="A119" s="10">
        <v>2019</v>
      </c>
      <c r="B119" s="11">
        <v>3144201</v>
      </c>
      <c r="C119" s="12" t="s">
        <v>127</v>
      </c>
      <c r="D119" s="13">
        <v>0.6</v>
      </c>
    </row>
    <row r="120" spans="1:4" x14ac:dyDescent="0.35">
      <c r="A120" s="10">
        <v>2019</v>
      </c>
      <c r="B120" s="11">
        <v>3144300</v>
      </c>
      <c r="C120" s="12" t="s">
        <v>128</v>
      </c>
      <c r="D120" s="13">
        <v>8.1999999999999993</v>
      </c>
    </row>
    <row r="121" spans="1:4" x14ac:dyDescent="0.35">
      <c r="A121" s="10">
        <v>2019</v>
      </c>
      <c r="B121" s="11">
        <v>3144359</v>
      </c>
      <c r="C121" s="12" t="s">
        <v>129</v>
      </c>
      <c r="D121" s="13">
        <v>1.8</v>
      </c>
    </row>
    <row r="122" spans="1:4" x14ac:dyDescent="0.35">
      <c r="A122" s="10">
        <v>2019</v>
      </c>
      <c r="B122" s="11">
        <v>3144375</v>
      </c>
      <c r="C122" s="12" t="s">
        <v>130</v>
      </c>
      <c r="D122" s="13">
        <v>1.6</v>
      </c>
    </row>
    <row r="123" spans="1:4" x14ac:dyDescent="0.35">
      <c r="A123" s="10">
        <v>2019</v>
      </c>
      <c r="B123" s="11">
        <v>3144656</v>
      </c>
      <c r="C123" s="12" t="s">
        <v>131</v>
      </c>
      <c r="D123" s="13">
        <v>1.7</v>
      </c>
    </row>
    <row r="124" spans="1:4" x14ac:dyDescent="0.35">
      <c r="A124" s="10">
        <v>2019</v>
      </c>
      <c r="B124" s="11">
        <v>3144672</v>
      </c>
      <c r="C124" s="12" t="s">
        <v>132</v>
      </c>
      <c r="D124" s="13">
        <v>2.8</v>
      </c>
    </row>
    <row r="125" spans="1:4" x14ac:dyDescent="0.35">
      <c r="A125" s="10">
        <v>2019</v>
      </c>
      <c r="B125" s="11">
        <v>3145059</v>
      </c>
      <c r="C125" s="12" t="s">
        <v>133</v>
      </c>
      <c r="D125" s="13">
        <v>0.9</v>
      </c>
    </row>
    <row r="126" spans="1:4" x14ac:dyDescent="0.35">
      <c r="A126" s="10">
        <v>2019</v>
      </c>
      <c r="B126" s="11">
        <v>3145356</v>
      </c>
      <c r="C126" s="12" t="s">
        <v>134</v>
      </c>
      <c r="D126" s="13">
        <v>5.2</v>
      </c>
    </row>
    <row r="127" spans="1:4" x14ac:dyDescent="0.35">
      <c r="A127" s="10">
        <v>2019</v>
      </c>
      <c r="B127" s="11">
        <v>3145372</v>
      </c>
      <c r="C127" s="12" t="s">
        <v>135</v>
      </c>
      <c r="D127" s="13">
        <v>1</v>
      </c>
    </row>
    <row r="128" spans="1:4" x14ac:dyDescent="0.35">
      <c r="A128" s="10">
        <v>2019</v>
      </c>
      <c r="B128" s="11">
        <v>3145455</v>
      </c>
      <c r="C128" s="12" t="s">
        <v>136</v>
      </c>
      <c r="D128" s="13">
        <v>0.9</v>
      </c>
    </row>
    <row r="129" spans="1:4" x14ac:dyDescent="0.35">
      <c r="A129" s="10">
        <v>2019</v>
      </c>
      <c r="B129" s="11">
        <v>3146305</v>
      </c>
      <c r="C129" s="12" t="s">
        <v>137</v>
      </c>
      <c r="D129" s="13">
        <v>7.6</v>
      </c>
    </row>
    <row r="130" spans="1:4" x14ac:dyDescent="0.35">
      <c r="A130" s="10">
        <v>2019</v>
      </c>
      <c r="B130" s="11">
        <v>3146552</v>
      </c>
      <c r="C130" s="12" t="s">
        <v>138</v>
      </c>
      <c r="D130" s="13">
        <v>1.6</v>
      </c>
    </row>
    <row r="131" spans="1:4" x14ac:dyDescent="0.35">
      <c r="A131" s="10">
        <v>2019</v>
      </c>
      <c r="B131" s="11">
        <v>3146750</v>
      </c>
      <c r="C131" s="12" t="s">
        <v>139</v>
      </c>
      <c r="D131" s="13">
        <v>8.9</v>
      </c>
    </row>
    <row r="132" spans="1:4" x14ac:dyDescent="0.35">
      <c r="A132" s="10">
        <v>2019</v>
      </c>
      <c r="B132" s="11">
        <v>3147956</v>
      </c>
      <c r="C132" s="12" t="s">
        <v>140</v>
      </c>
      <c r="D132" s="13">
        <v>0.4</v>
      </c>
    </row>
    <row r="133" spans="1:4" x14ac:dyDescent="0.35">
      <c r="A133" s="10">
        <v>2019</v>
      </c>
      <c r="B133" s="11">
        <v>3148608</v>
      </c>
      <c r="C133" s="12" t="s">
        <v>141</v>
      </c>
      <c r="D133" s="13">
        <v>3.2</v>
      </c>
    </row>
    <row r="134" spans="1:4" x14ac:dyDescent="0.35">
      <c r="A134" s="10">
        <v>2019</v>
      </c>
      <c r="B134" s="11">
        <v>3148707</v>
      </c>
      <c r="C134" s="12" t="s">
        <v>142</v>
      </c>
      <c r="D134" s="13">
        <v>2.7</v>
      </c>
    </row>
    <row r="135" spans="1:4" x14ac:dyDescent="0.35">
      <c r="A135" s="10">
        <v>2019</v>
      </c>
      <c r="B135" s="11">
        <v>3149952</v>
      </c>
      <c r="C135" s="12" t="s">
        <v>143</v>
      </c>
      <c r="D135" s="13">
        <v>5.6</v>
      </c>
    </row>
    <row r="136" spans="1:4" x14ac:dyDescent="0.35">
      <c r="A136" s="10">
        <v>2019</v>
      </c>
      <c r="B136" s="11">
        <v>3150158</v>
      </c>
      <c r="C136" s="12" t="s">
        <v>144</v>
      </c>
      <c r="D136" s="13">
        <v>2.2999999999999998</v>
      </c>
    </row>
    <row r="137" spans="1:4" x14ac:dyDescent="0.35">
      <c r="A137" s="10">
        <v>2019</v>
      </c>
      <c r="B137" s="11">
        <v>3150570</v>
      </c>
      <c r="C137" s="12" t="s">
        <v>145</v>
      </c>
      <c r="D137" s="13">
        <v>1.1000000000000001</v>
      </c>
    </row>
    <row r="138" spans="1:4" x14ac:dyDescent="0.35">
      <c r="A138" s="10">
        <v>2019</v>
      </c>
      <c r="B138" s="11">
        <v>3151206</v>
      </c>
      <c r="C138" s="12" t="s">
        <v>146</v>
      </c>
      <c r="D138" s="13">
        <v>1.9</v>
      </c>
    </row>
    <row r="139" spans="1:4" x14ac:dyDescent="0.35">
      <c r="A139" s="10">
        <v>2019</v>
      </c>
      <c r="B139" s="11">
        <v>3152170</v>
      </c>
      <c r="C139" s="12" t="s">
        <v>147</v>
      </c>
      <c r="D139" s="13">
        <v>3.4</v>
      </c>
    </row>
    <row r="140" spans="1:4" x14ac:dyDescent="0.35">
      <c r="A140" s="10">
        <v>2019</v>
      </c>
      <c r="B140" s="11">
        <v>3152402</v>
      </c>
      <c r="C140" s="12" t="s">
        <v>148</v>
      </c>
      <c r="D140" s="13">
        <v>4.7</v>
      </c>
    </row>
    <row r="141" spans="1:4" x14ac:dyDescent="0.35">
      <c r="A141" s="10">
        <v>2019</v>
      </c>
      <c r="B141" s="11">
        <v>3153301</v>
      </c>
      <c r="C141" s="12" t="s">
        <v>149</v>
      </c>
      <c r="D141" s="13">
        <v>2.1</v>
      </c>
    </row>
    <row r="142" spans="1:4" x14ac:dyDescent="0.35">
      <c r="A142" s="10">
        <v>2019</v>
      </c>
      <c r="B142" s="11">
        <v>3154309</v>
      </c>
      <c r="C142" s="12" t="s">
        <v>150</v>
      </c>
      <c r="D142" s="13">
        <v>9.8000000000000007</v>
      </c>
    </row>
    <row r="143" spans="1:4" x14ac:dyDescent="0.35">
      <c r="A143" s="10">
        <v>2019</v>
      </c>
      <c r="B143" s="11">
        <v>3155108</v>
      </c>
      <c r="C143" s="12" t="s">
        <v>151</v>
      </c>
      <c r="D143" s="13">
        <v>4.5999999999999996</v>
      </c>
    </row>
    <row r="144" spans="1:4" x14ac:dyDescent="0.35">
      <c r="A144" s="10">
        <v>2019</v>
      </c>
      <c r="B144" s="11">
        <v>3155603</v>
      </c>
      <c r="C144" s="12" t="s">
        <v>152</v>
      </c>
      <c r="D144" s="13">
        <v>0.3</v>
      </c>
    </row>
    <row r="145" spans="1:4" x14ac:dyDescent="0.35">
      <c r="A145" s="10">
        <v>2019</v>
      </c>
      <c r="B145" s="11">
        <v>3156502</v>
      </c>
      <c r="C145" s="12" t="s">
        <v>153</v>
      </c>
      <c r="D145" s="13">
        <v>1.6</v>
      </c>
    </row>
    <row r="146" spans="1:4" x14ac:dyDescent="0.35">
      <c r="A146" s="10">
        <v>2019</v>
      </c>
      <c r="B146" s="11">
        <v>3156601</v>
      </c>
      <c r="C146" s="12" t="s">
        <v>154</v>
      </c>
      <c r="D146" s="13">
        <v>6.3</v>
      </c>
    </row>
    <row r="147" spans="1:4" x14ac:dyDescent="0.35">
      <c r="A147" s="10">
        <v>2019</v>
      </c>
      <c r="B147" s="11">
        <v>3156809</v>
      </c>
      <c r="C147" s="12" t="s">
        <v>155</v>
      </c>
      <c r="D147" s="13">
        <v>4.5999999999999996</v>
      </c>
    </row>
    <row r="148" spans="1:4" x14ac:dyDescent="0.35">
      <c r="A148" s="10">
        <v>2019</v>
      </c>
      <c r="B148" s="11">
        <v>3157005</v>
      </c>
      <c r="C148" s="12" t="s">
        <v>156</v>
      </c>
      <c r="D148" s="13">
        <v>0.8</v>
      </c>
    </row>
    <row r="149" spans="1:4" x14ac:dyDescent="0.35">
      <c r="A149" s="10">
        <v>2019</v>
      </c>
      <c r="B149" s="11">
        <v>3157104</v>
      </c>
      <c r="C149" s="12" t="s">
        <v>157</v>
      </c>
      <c r="D149" s="13">
        <v>3.1</v>
      </c>
    </row>
    <row r="150" spans="1:4" x14ac:dyDescent="0.35">
      <c r="A150" s="10">
        <v>2019</v>
      </c>
      <c r="B150" s="11">
        <v>3157252</v>
      </c>
      <c r="C150" s="12" t="s">
        <v>158</v>
      </c>
      <c r="D150" s="13">
        <v>10.9</v>
      </c>
    </row>
    <row r="151" spans="1:4" x14ac:dyDescent="0.35">
      <c r="A151" s="10">
        <v>2019</v>
      </c>
      <c r="B151" s="11">
        <v>3157377</v>
      </c>
      <c r="C151" s="12" t="s">
        <v>159</v>
      </c>
      <c r="D151" s="13">
        <v>0.7</v>
      </c>
    </row>
    <row r="152" spans="1:4" x14ac:dyDescent="0.35">
      <c r="A152" s="10">
        <v>2019</v>
      </c>
      <c r="B152" s="11">
        <v>3157500</v>
      </c>
      <c r="C152" s="12" t="s">
        <v>160</v>
      </c>
      <c r="D152" s="13">
        <v>2.2000000000000002</v>
      </c>
    </row>
    <row r="153" spans="1:4" x14ac:dyDescent="0.35">
      <c r="A153" s="10">
        <v>2019</v>
      </c>
      <c r="B153" s="11">
        <v>3157658</v>
      </c>
      <c r="C153" s="12" t="s">
        <v>161</v>
      </c>
      <c r="D153" s="13">
        <v>0.9</v>
      </c>
    </row>
    <row r="154" spans="1:4" x14ac:dyDescent="0.35">
      <c r="A154" s="10">
        <v>2019</v>
      </c>
      <c r="B154" s="11">
        <v>3158201</v>
      </c>
      <c r="C154" s="12" t="s">
        <v>162</v>
      </c>
      <c r="D154" s="13">
        <v>0.8</v>
      </c>
    </row>
    <row r="155" spans="1:4" x14ac:dyDescent="0.35">
      <c r="A155" s="10">
        <v>2019</v>
      </c>
      <c r="B155" s="11">
        <v>3159357</v>
      </c>
      <c r="C155" s="12" t="s">
        <v>163</v>
      </c>
      <c r="D155" s="13">
        <v>3.7</v>
      </c>
    </row>
    <row r="156" spans="1:4" x14ac:dyDescent="0.35">
      <c r="A156" s="10">
        <v>2019</v>
      </c>
      <c r="B156" s="11">
        <v>3159506</v>
      </c>
      <c r="C156" s="12" t="s">
        <v>164</v>
      </c>
      <c r="D156" s="13">
        <v>1.6</v>
      </c>
    </row>
    <row r="157" spans="1:4" x14ac:dyDescent="0.35">
      <c r="A157" s="10">
        <v>2019</v>
      </c>
      <c r="B157" s="11">
        <v>3160454</v>
      </c>
      <c r="C157" s="12" t="s">
        <v>165</v>
      </c>
      <c r="D157" s="13">
        <v>1.1000000000000001</v>
      </c>
    </row>
    <row r="158" spans="1:4" x14ac:dyDescent="0.35">
      <c r="A158" s="10">
        <v>2019</v>
      </c>
      <c r="B158" s="11">
        <v>3160603</v>
      </c>
      <c r="C158" s="12" t="s">
        <v>166</v>
      </c>
      <c r="D158" s="13">
        <v>1.8</v>
      </c>
    </row>
    <row r="159" spans="1:4" x14ac:dyDescent="0.35">
      <c r="A159" s="10">
        <v>2019</v>
      </c>
      <c r="B159" s="11">
        <v>3160959</v>
      </c>
      <c r="C159" s="12" t="s">
        <v>167</v>
      </c>
      <c r="D159" s="13">
        <v>1.3</v>
      </c>
    </row>
    <row r="160" spans="1:4" x14ac:dyDescent="0.35">
      <c r="A160" s="10">
        <v>2019</v>
      </c>
      <c r="B160" s="11">
        <v>3161601</v>
      </c>
      <c r="C160" s="12" t="s">
        <v>168</v>
      </c>
      <c r="D160" s="13">
        <v>1.1000000000000001</v>
      </c>
    </row>
    <row r="161" spans="1:4" x14ac:dyDescent="0.35">
      <c r="A161" s="10">
        <v>2019</v>
      </c>
      <c r="B161" s="11">
        <v>3162252</v>
      </c>
      <c r="C161" s="12" t="s">
        <v>170</v>
      </c>
      <c r="D161" s="13">
        <v>1.3</v>
      </c>
    </row>
    <row r="162" spans="1:4" x14ac:dyDescent="0.35">
      <c r="A162" s="10">
        <v>2019</v>
      </c>
      <c r="B162" s="11">
        <v>3162401</v>
      </c>
      <c r="C162" s="12" t="s">
        <v>171</v>
      </c>
      <c r="D162" s="13">
        <v>5.0999999999999996</v>
      </c>
    </row>
    <row r="163" spans="1:4" x14ac:dyDescent="0.35">
      <c r="A163" s="10">
        <v>2019</v>
      </c>
      <c r="B163" s="11">
        <v>3162575</v>
      </c>
      <c r="C163" s="12" t="s">
        <v>172</v>
      </c>
      <c r="D163" s="13">
        <v>1.1000000000000001</v>
      </c>
    </row>
    <row r="164" spans="1:4" x14ac:dyDescent="0.35">
      <c r="A164" s="10">
        <v>2019</v>
      </c>
      <c r="B164" s="11">
        <v>3162807</v>
      </c>
      <c r="C164" s="12" t="s">
        <v>173</v>
      </c>
      <c r="D164" s="13">
        <v>4.3</v>
      </c>
    </row>
    <row r="165" spans="1:4" x14ac:dyDescent="0.35">
      <c r="A165" s="10">
        <v>2019</v>
      </c>
      <c r="B165" s="11">
        <v>3163508</v>
      </c>
      <c r="C165" s="12" t="s">
        <v>174</v>
      </c>
      <c r="D165" s="13">
        <v>1.4</v>
      </c>
    </row>
    <row r="166" spans="1:4" x14ac:dyDescent="0.35">
      <c r="A166" s="10">
        <v>2019</v>
      </c>
      <c r="B166" s="11">
        <v>3164100</v>
      </c>
      <c r="C166" s="12" t="s">
        <v>175</v>
      </c>
      <c r="D166" s="13">
        <v>8.1999999999999993</v>
      </c>
    </row>
    <row r="167" spans="1:4" x14ac:dyDescent="0.35">
      <c r="A167" s="10">
        <v>2019</v>
      </c>
      <c r="B167" s="11">
        <v>3164472</v>
      </c>
      <c r="C167" s="12" t="s">
        <v>176</v>
      </c>
      <c r="D167" s="13">
        <v>2.7</v>
      </c>
    </row>
    <row r="168" spans="1:4" x14ac:dyDescent="0.35">
      <c r="A168" s="10">
        <v>2019</v>
      </c>
      <c r="B168" s="11">
        <v>3165503</v>
      </c>
      <c r="C168" s="12" t="s">
        <v>177</v>
      </c>
      <c r="D168" s="13">
        <v>3.7</v>
      </c>
    </row>
    <row r="169" spans="1:4" x14ac:dyDescent="0.35">
      <c r="A169" s="10">
        <v>2019</v>
      </c>
      <c r="B169" s="11">
        <v>3165909</v>
      </c>
      <c r="C169" s="12" t="s">
        <v>178</v>
      </c>
      <c r="D169" s="13">
        <v>0.8</v>
      </c>
    </row>
    <row r="170" spans="1:4" x14ac:dyDescent="0.35">
      <c r="A170" s="10">
        <v>2019</v>
      </c>
      <c r="B170" s="11">
        <v>3166105</v>
      </c>
      <c r="C170" s="12" t="s">
        <v>179</v>
      </c>
      <c r="D170" s="13">
        <v>6.2</v>
      </c>
    </row>
    <row r="171" spans="1:4" x14ac:dyDescent="0.35">
      <c r="A171" s="10">
        <v>2019</v>
      </c>
      <c r="B171" s="11">
        <v>3166709</v>
      </c>
      <c r="C171" s="12" t="s">
        <v>180</v>
      </c>
      <c r="D171" s="13">
        <v>3.3</v>
      </c>
    </row>
    <row r="172" spans="1:4" x14ac:dyDescent="0.35">
      <c r="A172" s="10">
        <v>2019</v>
      </c>
      <c r="B172" s="11">
        <v>3166956</v>
      </c>
      <c r="C172" s="12" t="s">
        <v>181</v>
      </c>
      <c r="D172" s="13">
        <v>1.7</v>
      </c>
    </row>
    <row r="173" spans="1:4" x14ac:dyDescent="0.35">
      <c r="A173" s="10">
        <v>2019</v>
      </c>
      <c r="B173" s="11">
        <v>3168002</v>
      </c>
      <c r="C173" s="12" t="s">
        <v>182</v>
      </c>
      <c r="D173" s="13">
        <v>1.6</v>
      </c>
    </row>
    <row r="174" spans="1:4" x14ac:dyDescent="0.35">
      <c r="A174" s="10">
        <v>2019</v>
      </c>
      <c r="B174" s="11">
        <v>3168051</v>
      </c>
      <c r="C174" s="12" t="s">
        <v>183</v>
      </c>
      <c r="D174" s="13">
        <v>1.3</v>
      </c>
    </row>
    <row r="175" spans="1:4" x14ac:dyDescent="0.35">
      <c r="A175" s="10">
        <v>2019</v>
      </c>
      <c r="B175" s="11">
        <v>3168408</v>
      </c>
      <c r="C175" s="12" t="s">
        <v>184</v>
      </c>
      <c r="D175" s="13">
        <v>2.9</v>
      </c>
    </row>
    <row r="176" spans="1:4" x14ac:dyDescent="0.35">
      <c r="A176" s="10">
        <v>2019</v>
      </c>
      <c r="B176" s="11">
        <v>3168606</v>
      </c>
      <c r="C176" s="12" t="s">
        <v>185</v>
      </c>
      <c r="D176" s="13">
        <v>4.4000000000000004</v>
      </c>
    </row>
    <row r="177" spans="1:4" x14ac:dyDescent="0.35">
      <c r="A177" s="10">
        <v>2019</v>
      </c>
      <c r="B177" s="11">
        <v>3169505</v>
      </c>
      <c r="C177" s="12" t="s">
        <v>186</v>
      </c>
      <c r="D177" s="13">
        <v>4.2</v>
      </c>
    </row>
    <row r="178" spans="1:4" x14ac:dyDescent="0.35">
      <c r="A178" s="10">
        <v>2019</v>
      </c>
      <c r="B178" s="11">
        <v>3169703</v>
      </c>
      <c r="C178" s="12" t="s">
        <v>187</v>
      </c>
      <c r="D178" s="13">
        <v>1.6</v>
      </c>
    </row>
    <row r="179" spans="1:4" x14ac:dyDescent="0.35">
      <c r="A179" s="10">
        <v>2019</v>
      </c>
      <c r="B179" s="11">
        <v>3170057</v>
      </c>
      <c r="C179" s="12" t="s">
        <v>188</v>
      </c>
      <c r="D179" s="13">
        <v>3.6</v>
      </c>
    </row>
    <row r="180" spans="1:4" x14ac:dyDescent="0.35">
      <c r="A180" s="10">
        <v>2019</v>
      </c>
      <c r="B180" s="11">
        <v>3170305</v>
      </c>
      <c r="C180" s="12" t="s">
        <v>189</v>
      </c>
      <c r="D180" s="13">
        <v>11.7</v>
      </c>
    </row>
    <row r="181" spans="1:4" x14ac:dyDescent="0.35">
      <c r="A181" s="10">
        <v>2019</v>
      </c>
      <c r="B181" s="11">
        <v>3170479</v>
      </c>
      <c r="C181" s="12" t="s">
        <v>190</v>
      </c>
      <c r="D181" s="13">
        <v>4.5999999999999996</v>
      </c>
    </row>
    <row r="182" spans="1:4" x14ac:dyDescent="0.35">
      <c r="A182" s="10">
        <v>2019</v>
      </c>
      <c r="B182" s="11">
        <v>3170529</v>
      </c>
      <c r="C182" s="12" t="s">
        <v>191</v>
      </c>
      <c r="D182" s="13">
        <v>1.7</v>
      </c>
    </row>
    <row r="183" spans="1:4" x14ac:dyDescent="0.35">
      <c r="A183" s="10">
        <v>2019</v>
      </c>
      <c r="B183" s="11">
        <v>3170651</v>
      </c>
      <c r="C183" s="12" t="s">
        <v>192</v>
      </c>
      <c r="D183" s="13">
        <v>1</v>
      </c>
    </row>
    <row r="184" spans="1:4" x14ac:dyDescent="0.35">
      <c r="A184" s="10">
        <v>2019</v>
      </c>
      <c r="B184" s="11">
        <v>3170800</v>
      </c>
      <c r="C184" s="12" t="s">
        <v>193</v>
      </c>
      <c r="D184" s="13">
        <v>2.1</v>
      </c>
    </row>
    <row r="185" spans="1:4" x14ac:dyDescent="0.35">
      <c r="A185" s="10">
        <v>2019</v>
      </c>
      <c r="B185" s="11">
        <v>3171071</v>
      </c>
      <c r="C185" s="12" t="s">
        <v>194</v>
      </c>
      <c r="D185" s="13">
        <v>0</v>
      </c>
    </row>
    <row r="186" spans="1:4" x14ac:dyDescent="0.35">
      <c r="A186" s="10">
        <v>2019</v>
      </c>
      <c r="B186" s="11">
        <v>3171501</v>
      </c>
      <c r="C186" s="12" t="s">
        <v>112</v>
      </c>
      <c r="D186" s="13">
        <v>13.3</v>
      </c>
    </row>
    <row r="187" spans="1:4" x14ac:dyDescent="0.35">
      <c r="A187" s="10">
        <v>2019</v>
      </c>
      <c r="B187" s="11">
        <v>3171600</v>
      </c>
      <c r="C187" s="12" t="s">
        <v>195</v>
      </c>
      <c r="D187" s="13">
        <v>0.7</v>
      </c>
    </row>
    <row r="188" spans="1:4" x14ac:dyDescent="0.35">
      <c r="A188" s="10">
        <v>2019</v>
      </c>
      <c r="B188" s="11">
        <v>3171808</v>
      </c>
      <c r="C188" s="12" t="s">
        <v>196</v>
      </c>
      <c r="D188" s="13">
        <v>6.7</v>
      </c>
    </row>
    <row r="189" spans="1:4" x14ac:dyDescent="0.35">
      <c r="A189" s="10">
        <v>2019</v>
      </c>
      <c r="B189" s="11">
        <v>3171907</v>
      </c>
      <c r="C189" s="12" t="s">
        <v>197</v>
      </c>
      <c r="D189" s="13">
        <v>1</v>
      </c>
    </row>
    <row r="190" spans="1:4" x14ac:dyDescent="0.35">
      <c r="A190" s="10">
        <v>2021</v>
      </c>
      <c r="B190" s="11">
        <v>3101003</v>
      </c>
      <c r="C190" s="12" t="s">
        <v>10</v>
      </c>
      <c r="D190" s="13">
        <v>3.1</v>
      </c>
    </row>
    <row r="191" spans="1:4" x14ac:dyDescent="0.35">
      <c r="A191" s="10">
        <v>2021</v>
      </c>
      <c r="B191" s="11">
        <v>3101102</v>
      </c>
      <c r="C191" s="12" t="s">
        <v>11</v>
      </c>
      <c r="D191" s="13">
        <v>1.1000000000000001</v>
      </c>
    </row>
    <row r="192" spans="1:4" x14ac:dyDescent="0.35">
      <c r="A192" s="10">
        <v>2021</v>
      </c>
      <c r="B192" s="11">
        <v>3101706</v>
      </c>
      <c r="C192" s="12" t="s">
        <v>12</v>
      </c>
      <c r="D192" s="13">
        <v>9.1</v>
      </c>
    </row>
    <row r="193" spans="1:4" x14ac:dyDescent="0.35">
      <c r="A193" s="10">
        <v>2021</v>
      </c>
      <c r="B193" s="11">
        <v>3101805</v>
      </c>
      <c r="C193" s="12" t="s">
        <v>13</v>
      </c>
      <c r="D193" s="13">
        <v>4.9000000000000004</v>
      </c>
    </row>
    <row r="194" spans="1:4" x14ac:dyDescent="0.35">
      <c r="A194" s="10">
        <v>2021</v>
      </c>
      <c r="B194" s="11">
        <v>3102704</v>
      </c>
      <c r="C194" s="12" t="s">
        <v>26</v>
      </c>
      <c r="D194" s="13">
        <v>0.4</v>
      </c>
    </row>
    <row r="195" spans="1:4" x14ac:dyDescent="0.35">
      <c r="A195" s="10">
        <v>2021</v>
      </c>
      <c r="B195" s="11">
        <v>3102852</v>
      </c>
      <c r="C195" s="12" t="s">
        <v>14</v>
      </c>
      <c r="D195" s="13">
        <v>0.4</v>
      </c>
    </row>
    <row r="196" spans="1:4" x14ac:dyDescent="0.35">
      <c r="A196" s="10">
        <v>2021</v>
      </c>
      <c r="B196" s="11">
        <v>3103405</v>
      </c>
      <c r="C196" s="12" t="s">
        <v>15</v>
      </c>
      <c r="D196" s="13">
        <v>2.1</v>
      </c>
    </row>
    <row r="197" spans="1:4" x14ac:dyDescent="0.35">
      <c r="A197" s="10">
        <v>2021</v>
      </c>
      <c r="B197" s="11">
        <v>3104452</v>
      </c>
      <c r="C197" s="12" t="s">
        <v>16</v>
      </c>
      <c r="D197" s="13">
        <v>1.8</v>
      </c>
    </row>
    <row r="198" spans="1:4" x14ac:dyDescent="0.35">
      <c r="A198" s="10">
        <v>2021</v>
      </c>
      <c r="B198" s="11">
        <v>3104502</v>
      </c>
      <c r="C198" s="12" t="s">
        <v>17</v>
      </c>
      <c r="D198" s="13">
        <v>2.6</v>
      </c>
    </row>
    <row r="199" spans="1:4" x14ac:dyDescent="0.35">
      <c r="A199" s="10">
        <v>2021</v>
      </c>
      <c r="B199" s="11">
        <v>3104700</v>
      </c>
      <c r="C199" s="12" t="s">
        <v>18</v>
      </c>
      <c r="D199" s="13">
        <v>2</v>
      </c>
    </row>
    <row r="200" spans="1:4" x14ac:dyDescent="0.35">
      <c r="A200" s="10">
        <v>2021</v>
      </c>
      <c r="B200" s="11">
        <v>3105202</v>
      </c>
      <c r="C200" s="12" t="s">
        <v>19</v>
      </c>
      <c r="D200" s="13">
        <v>3.7</v>
      </c>
    </row>
    <row r="201" spans="1:4" x14ac:dyDescent="0.35">
      <c r="A201" s="10">
        <v>2021</v>
      </c>
      <c r="B201" s="11">
        <v>3106655</v>
      </c>
      <c r="C201" s="12" t="s">
        <v>20</v>
      </c>
      <c r="D201" s="13">
        <v>2</v>
      </c>
    </row>
    <row r="202" spans="1:4" x14ac:dyDescent="0.35">
      <c r="A202" s="10">
        <v>2021</v>
      </c>
      <c r="B202" s="11">
        <v>3107307</v>
      </c>
      <c r="C202" s="12" t="s">
        <v>21</v>
      </c>
      <c r="D202" s="13">
        <v>1.8</v>
      </c>
    </row>
    <row r="203" spans="1:4" x14ac:dyDescent="0.35">
      <c r="A203" s="10">
        <v>2021</v>
      </c>
      <c r="B203" s="11">
        <v>3108206</v>
      </c>
      <c r="C203" s="12" t="s">
        <v>22</v>
      </c>
      <c r="D203" s="13">
        <v>1.9</v>
      </c>
    </row>
    <row r="204" spans="1:4" x14ac:dyDescent="0.35">
      <c r="A204" s="10">
        <v>2021</v>
      </c>
      <c r="B204" s="11">
        <v>3108602</v>
      </c>
      <c r="C204" s="12" t="s">
        <v>23</v>
      </c>
      <c r="D204" s="13">
        <v>0</v>
      </c>
    </row>
    <row r="205" spans="1:4" x14ac:dyDescent="0.35">
      <c r="A205" s="10">
        <v>2021</v>
      </c>
      <c r="B205" s="11">
        <v>3109204</v>
      </c>
      <c r="C205" s="12" t="s">
        <v>24</v>
      </c>
      <c r="D205" s="13">
        <v>2.7</v>
      </c>
    </row>
    <row r="206" spans="1:4" x14ac:dyDescent="0.35">
      <c r="A206" s="10">
        <v>2021</v>
      </c>
      <c r="B206" s="11">
        <v>3109402</v>
      </c>
      <c r="C206" s="12" t="s">
        <v>25</v>
      </c>
      <c r="D206" s="13">
        <v>1.8</v>
      </c>
    </row>
    <row r="207" spans="1:4" x14ac:dyDescent="0.35">
      <c r="A207" s="10">
        <v>2021</v>
      </c>
      <c r="B207" s="11">
        <v>3110806</v>
      </c>
      <c r="C207" s="12" t="s">
        <v>27</v>
      </c>
      <c r="D207" s="13">
        <v>8.3000000000000007</v>
      </c>
    </row>
    <row r="208" spans="1:4" x14ac:dyDescent="0.35">
      <c r="A208" s="10">
        <v>2021</v>
      </c>
      <c r="B208" s="11">
        <v>3111150</v>
      </c>
      <c r="C208" s="12" t="s">
        <v>28</v>
      </c>
      <c r="D208" s="13">
        <v>0.8</v>
      </c>
    </row>
    <row r="209" spans="1:4" x14ac:dyDescent="0.35">
      <c r="A209" s="10">
        <v>2021</v>
      </c>
      <c r="B209" s="11">
        <v>3112059</v>
      </c>
      <c r="C209" s="12" t="s">
        <v>29</v>
      </c>
      <c r="D209" s="13">
        <v>4.3</v>
      </c>
    </row>
    <row r="210" spans="1:4" x14ac:dyDescent="0.35">
      <c r="A210" s="10">
        <v>2021</v>
      </c>
      <c r="B210" s="11">
        <v>3112307</v>
      </c>
      <c r="C210" s="12" t="s">
        <v>30</v>
      </c>
      <c r="D210" s="13">
        <v>0.5</v>
      </c>
    </row>
    <row r="211" spans="1:4" x14ac:dyDescent="0.35">
      <c r="A211" s="10">
        <v>2021</v>
      </c>
      <c r="B211" s="11">
        <v>3112703</v>
      </c>
      <c r="C211" s="12" t="s">
        <v>31</v>
      </c>
      <c r="D211" s="13">
        <v>1.6</v>
      </c>
    </row>
    <row r="212" spans="1:4" x14ac:dyDescent="0.35">
      <c r="A212" s="10">
        <v>2021</v>
      </c>
      <c r="B212" s="11">
        <v>3113008</v>
      </c>
      <c r="C212" s="12" t="s">
        <v>32</v>
      </c>
      <c r="D212" s="13">
        <v>6.4</v>
      </c>
    </row>
    <row r="213" spans="1:4" x14ac:dyDescent="0.35">
      <c r="A213" s="10">
        <v>2021</v>
      </c>
      <c r="B213" s="11">
        <v>3113503</v>
      </c>
      <c r="C213" s="12" t="s">
        <v>33</v>
      </c>
      <c r="D213" s="13">
        <v>0.4</v>
      </c>
    </row>
    <row r="214" spans="1:4" x14ac:dyDescent="0.35">
      <c r="A214" s="10">
        <v>2021</v>
      </c>
      <c r="B214" s="11">
        <v>3113701</v>
      </c>
      <c r="C214" s="12" t="s">
        <v>34</v>
      </c>
      <c r="D214" s="13">
        <v>7.1</v>
      </c>
    </row>
    <row r="215" spans="1:4" x14ac:dyDescent="0.35">
      <c r="A215" s="10">
        <v>2021</v>
      </c>
      <c r="B215" s="11">
        <v>3113800</v>
      </c>
      <c r="C215" s="12" t="s">
        <v>35</v>
      </c>
      <c r="D215" s="13">
        <v>0</v>
      </c>
    </row>
    <row r="216" spans="1:4" x14ac:dyDescent="0.35">
      <c r="A216" s="10">
        <v>2021</v>
      </c>
      <c r="B216" s="11">
        <v>3115458</v>
      </c>
      <c r="C216" s="12" t="s">
        <v>36</v>
      </c>
      <c r="D216" s="13">
        <v>2.6</v>
      </c>
    </row>
    <row r="217" spans="1:4" x14ac:dyDescent="0.35">
      <c r="A217" s="10">
        <v>2021</v>
      </c>
      <c r="B217" s="11">
        <v>3115474</v>
      </c>
      <c r="C217" s="12" t="s">
        <v>37</v>
      </c>
      <c r="D217" s="13">
        <v>0.4</v>
      </c>
    </row>
    <row r="218" spans="1:4" x14ac:dyDescent="0.35">
      <c r="A218" s="10">
        <v>2021</v>
      </c>
      <c r="B218" s="11">
        <v>3116100</v>
      </c>
      <c r="C218" s="12" t="s">
        <v>38</v>
      </c>
      <c r="D218" s="13">
        <v>2.8</v>
      </c>
    </row>
    <row r="219" spans="1:4" x14ac:dyDescent="0.35">
      <c r="A219" s="10">
        <v>2021</v>
      </c>
      <c r="B219" s="11">
        <v>3116159</v>
      </c>
      <c r="C219" s="12" t="s">
        <v>39</v>
      </c>
      <c r="D219" s="13">
        <v>1.9</v>
      </c>
    </row>
    <row r="220" spans="1:4" x14ac:dyDescent="0.35">
      <c r="A220" s="10">
        <v>2021</v>
      </c>
      <c r="B220" s="11">
        <v>3116506</v>
      </c>
      <c r="C220" s="12" t="s">
        <v>40</v>
      </c>
      <c r="D220" s="13">
        <v>0.6</v>
      </c>
    </row>
    <row r="221" spans="1:4" x14ac:dyDescent="0.35">
      <c r="A221" s="10">
        <v>2021</v>
      </c>
      <c r="B221" s="11">
        <v>3116803</v>
      </c>
      <c r="C221" s="12" t="s">
        <v>41</v>
      </c>
      <c r="D221" s="13">
        <v>0.6</v>
      </c>
    </row>
    <row r="222" spans="1:4" x14ac:dyDescent="0.35">
      <c r="A222" s="10">
        <v>2021</v>
      </c>
      <c r="B222" s="11">
        <v>3117009</v>
      </c>
      <c r="C222" s="12" t="s">
        <v>42</v>
      </c>
      <c r="D222" s="13">
        <v>1.7</v>
      </c>
    </row>
    <row r="223" spans="1:4" x14ac:dyDescent="0.35">
      <c r="A223" s="10">
        <v>2021</v>
      </c>
      <c r="B223" s="11">
        <v>3118403</v>
      </c>
      <c r="C223" s="12" t="s">
        <v>43</v>
      </c>
      <c r="D223" s="13">
        <v>4.0999999999999996</v>
      </c>
    </row>
    <row r="224" spans="1:4" x14ac:dyDescent="0.35">
      <c r="A224" s="10">
        <v>2021</v>
      </c>
      <c r="B224" s="11">
        <v>3119104</v>
      </c>
      <c r="C224" s="12" t="s">
        <v>44</v>
      </c>
      <c r="D224" s="13">
        <v>4.5</v>
      </c>
    </row>
    <row r="225" spans="1:4" x14ac:dyDescent="0.35">
      <c r="A225" s="10">
        <v>2021</v>
      </c>
      <c r="B225" s="11">
        <v>3119203</v>
      </c>
      <c r="C225" s="12" t="s">
        <v>45</v>
      </c>
      <c r="D225" s="13">
        <v>1.3</v>
      </c>
    </row>
    <row r="226" spans="1:4" x14ac:dyDescent="0.35">
      <c r="A226" s="10">
        <v>2021</v>
      </c>
      <c r="B226" s="11">
        <v>3119500</v>
      </c>
      <c r="C226" s="12" t="s">
        <v>46</v>
      </c>
      <c r="D226" s="13">
        <v>1.3</v>
      </c>
    </row>
    <row r="227" spans="1:4" x14ac:dyDescent="0.35">
      <c r="A227" s="10">
        <v>2021</v>
      </c>
      <c r="B227" s="11">
        <v>3120151</v>
      </c>
      <c r="C227" s="12" t="s">
        <v>47</v>
      </c>
      <c r="D227" s="13">
        <v>5.4</v>
      </c>
    </row>
    <row r="228" spans="1:4" x14ac:dyDescent="0.35">
      <c r="A228" s="10">
        <v>2021</v>
      </c>
      <c r="B228" s="11">
        <v>3120870</v>
      </c>
      <c r="C228" s="12" t="s">
        <v>48</v>
      </c>
      <c r="D228" s="13">
        <v>1.9</v>
      </c>
    </row>
    <row r="229" spans="1:4" x14ac:dyDescent="0.35">
      <c r="A229" s="10">
        <v>2021</v>
      </c>
      <c r="B229" s="11">
        <v>3120904</v>
      </c>
      <c r="C229" s="12" t="s">
        <v>49</v>
      </c>
      <c r="D229" s="13">
        <v>4.9000000000000004</v>
      </c>
    </row>
    <row r="230" spans="1:4" x14ac:dyDescent="0.35">
      <c r="A230" s="10">
        <v>2021</v>
      </c>
      <c r="B230" s="11">
        <v>3121001</v>
      </c>
      <c r="C230" s="12" t="s">
        <v>50</v>
      </c>
      <c r="D230" s="13">
        <v>0.2</v>
      </c>
    </row>
    <row r="231" spans="1:4" x14ac:dyDescent="0.35">
      <c r="A231" s="10">
        <v>2021</v>
      </c>
      <c r="B231" s="11">
        <v>3121605</v>
      </c>
      <c r="C231" s="12" t="s">
        <v>51</v>
      </c>
      <c r="D231" s="13">
        <v>1.8</v>
      </c>
    </row>
    <row r="232" spans="1:4" x14ac:dyDescent="0.35">
      <c r="A232" s="10">
        <v>2021</v>
      </c>
      <c r="B232" s="11">
        <v>3122108</v>
      </c>
      <c r="C232" s="12" t="s">
        <v>52</v>
      </c>
      <c r="D232" s="13">
        <v>7.1</v>
      </c>
    </row>
    <row r="233" spans="1:4" x14ac:dyDescent="0.35">
      <c r="A233" s="10">
        <v>2021</v>
      </c>
      <c r="B233" s="11">
        <v>3122207</v>
      </c>
      <c r="C233" s="12" t="s">
        <v>53</v>
      </c>
      <c r="D233" s="13">
        <v>1.2</v>
      </c>
    </row>
    <row r="234" spans="1:4" x14ac:dyDescent="0.35">
      <c r="A234" s="10">
        <v>2021</v>
      </c>
      <c r="B234" s="11">
        <v>3122454</v>
      </c>
      <c r="C234" s="12" t="s">
        <v>54</v>
      </c>
      <c r="D234" s="13">
        <v>11</v>
      </c>
    </row>
    <row r="235" spans="1:4" x14ac:dyDescent="0.35">
      <c r="A235" s="10">
        <v>2021</v>
      </c>
      <c r="B235" s="11">
        <v>3122470</v>
      </c>
      <c r="C235" s="12" t="s">
        <v>55</v>
      </c>
      <c r="D235" s="13">
        <v>0</v>
      </c>
    </row>
    <row r="236" spans="1:4" x14ac:dyDescent="0.35">
      <c r="A236" s="10">
        <v>2021</v>
      </c>
      <c r="B236" s="11">
        <v>3123106</v>
      </c>
      <c r="C236" s="12" t="s">
        <v>56</v>
      </c>
      <c r="D236" s="13">
        <v>4</v>
      </c>
    </row>
    <row r="237" spans="1:4" x14ac:dyDescent="0.35">
      <c r="A237" s="10">
        <v>2021</v>
      </c>
      <c r="B237" s="11">
        <v>3123700</v>
      </c>
      <c r="C237" s="12" t="s">
        <v>57</v>
      </c>
      <c r="D237" s="13">
        <v>1.7</v>
      </c>
    </row>
    <row r="238" spans="1:4" x14ac:dyDescent="0.35">
      <c r="A238" s="10">
        <v>2021</v>
      </c>
      <c r="B238" s="11">
        <v>3123809</v>
      </c>
      <c r="C238" s="12" t="s">
        <v>58</v>
      </c>
      <c r="D238" s="13">
        <v>1.4</v>
      </c>
    </row>
    <row r="239" spans="1:4" x14ac:dyDescent="0.35">
      <c r="A239" s="10">
        <v>2021</v>
      </c>
      <c r="B239" s="11">
        <v>3124302</v>
      </c>
      <c r="C239" s="12" t="s">
        <v>59</v>
      </c>
      <c r="D239" s="13">
        <v>1.5</v>
      </c>
    </row>
    <row r="240" spans="1:4" x14ac:dyDescent="0.35">
      <c r="A240" s="10">
        <v>2021</v>
      </c>
      <c r="B240" s="11">
        <v>3125408</v>
      </c>
      <c r="C240" s="12" t="s">
        <v>60</v>
      </c>
      <c r="D240" s="13">
        <v>2.4</v>
      </c>
    </row>
    <row r="241" spans="1:4" x14ac:dyDescent="0.35">
      <c r="A241" s="10">
        <v>2021</v>
      </c>
      <c r="B241" s="11">
        <v>3125507</v>
      </c>
      <c r="C241" s="12" t="s">
        <v>169</v>
      </c>
      <c r="D241" s="13">
        <v>1.2</v>
      </c>
    </row>
    <row r="242" spans="1:4" x14ac:dyDescent="0.35">
      <c r="A242" s="10">
        <v>2021</v>
      </c>
      <c r="B242" s="11">
        <v>3125705</v>
      </c>
      <c r="C242" s="12" t="s">
        <v>61</v>
      </c>
      <c r="D242" s="13">
        <v>3</v>
      </c>
    </row>
    <row r="243" spans="1:4" x14ac:dyDescent="0.35">
      <c r="A243" s="10">
        <v>2021</v>
      </c>
      <c r="B243" s="11">
        <v>3126604</v>
      </c>
      <c r="C243" s="12" t="s">
        <v>62</v>
      </c>
      <c r="D243" s="13">
        <v>1</v>
      </c>
    </row>
    <row r="244" spans="1:4" x14ac:dyDescent="0.35">
      <c r="A244" s="10">
        <v>2021</v>
      </c>
      <c r="B244" s="11">
        <v>3126703</v>
      </c>
      <c r="C244" s="12" t="s">
        <v>63</v>
      </c>
      <c r="D244" s="13">
        <v>0.7</v>
      </c>
    </row>
    <row r="245" spans="1:4" x14ac:dyDescent="0.35">
      <c r="A245" s="10">
        <v>2021</v>
      </c>
      <c r="B245" s="11">
        <v>3126901</v>
      </c>
      <c r="C245" s="12" t="s">
        <v>64</v>
      </c>
      <c r="D245" s="13">
        <v>1.6</v>
      </c>
    </row>
    <row r="246" spans="1:4" x14ac:dyDescent="0.35">
      <c r="A246" s="10">
        <v>2021</v>
      </c>
      <c r="B246" s="11">
        <v>3127073</v>
      </c>
      <c r="C246" s="12" t="s">
        <v>65</v>
      </c>
      <c r="D246" s="13">
        <v>1.5</v>
      </c>
    </row>
    <row r="247" spans="1:4" x14ac:dyDescent="0.35">
      <c r="A247" s="10">
        <v>2021</v>
      </c>
      <c r="B247" s="11">
        <v>3127354</v>
      </c>
      <c r="C247" s="12" t="s">
        <v>66</v>
      </c>
      <c r="D247" s="13">
        <v>1.1000000000000001</v>
      </c>
    </row>
    <row r="248" spans="1:4" x14ac:dyDescent="0.35">
      <c r="A248" s="10">
        <v>2021</v>
      </c>
      <c r="B248" s="11">
        <v>3127503</v>
      </c>
      <c r="C248" s="12" t="s">
        <v>67</v>
      </c>
      <c r="D248" s="13">
        <v>0.5</v>
      </c>
    </row>
    <row r="249" spans="1:4" x14ac:dyDescent="0.35">
      <c r="A249" s="10">
        <v>2021</v>
      </c>
      <c r="B249" s="11">
        <v>3127602</v>
      </c>
      <c r="C249" s="12" t="s">
        <v>68</v>
      </c>
      <c r="D249" s="13">
        <v>0.6</v>
      </c>
    </row>
    <row r="250" spans="1:4" x14ac:dyDescent="0.35">
      <c r="A250" s="10">
        <v>2021</v>
      </c>
      <c r="B250" s="11">
        <v>3127701</v>
      </c>
      <c r="C250" s="12" t="s">
        <v>69</v>
      </c>
      <c r="D250" s="13">
        <v>6.3</v>
      </c>
    </row>
    <row r="251" spans="1:4" x14ac:dyDescent="0.35">
      <c r="A251" s="10">
        <v>2021</v>
      </c>
      <c r="B251" s="11">
        <v>3128006</v>
      </c>
      <c r="C251" s="12" t="s">
        <v>70</v>
      </c>
      <c r="D251" s="13">
        <v>1.8</v>
      </c>
    </row>
    <row r="252" spans="1:4" x14ac:dyDescent="0.35">
      <c r="A252" s="10">
        <v>2021</v>
      </c>
      <c r="B252" s="11">
        <v>3128253</v>
      </c>
      <c r="C252" s="12" t="s">
        <v>71</v>
      </c>
      <c r="D252" s="13">
        <v>0.6</v>
      </c>
    </row>
    <row r="253" spans="1:4" x14ac:dyDescent="0.35">
      <c r="A253" s="10">
        <v>2021</v>
      </c>
      <c r="B253" s="11">
        <v>3129657</v>
      </c>
      <c r="C253" s="12" t="s">
        <v>72</v>
      </c>
      <c r="D253" s="13">
        <v>2</v>
      </c>
    </row>
    <row r="254" spans="1:4" x14ac:dyDescent="0.35">
      <c r="A254" s="10">
        <v>2021</v>
      </c>
      <c r="B254" s="11">
        <v>3130051</v>
      </c>
      <c r="C254" s="12" t="s">
        <v>73</v>
      </c>
      <c r="D254" s="13">
        <v>0.5</v>
      </c>
    </row>
    <row r="255" spans="1:4" x14ac:dyDescent="0.35">
      <c r="A255" s="10">
        <v>2021</v>
      </c>
      <c r="B255" s="11">
        <v>3130556</v>
      </c>
      <c r="C255" s="12" t="s">
        <v>74</v>
      </c>
      <c r="D255" s="13">
        <v>2</v>
      </c>
    </row>
    <row r="256" spans="1:4" x14ac:dyDescent="0.35">
      <c r="A256" s="10">
        <v>2021</v>
      </c>
      <c r="B256" s="11">
        <v>3130655</v>
      </c>
      <c r="C256" s="12" t="s">
        <v>75</v>
      </c>
      <c r="D256" s="13">
        <v>2.7</v>
      </c>
    </row>
    <row r="257" spans="1:4" x14ac:dyDescent="0.35">
      <c r="A257" s="10">
        <v>2021</v>
      </c>
      <c r="B257" s="11">
        <v>3130903</v>
      </c>
      <c r="C257" s="12" t="s">
        <v>76</v>
      </c>
      <c r="D257" s="13">
        <v>1.5</v>
      </c>
    </row>
    <row r="258" spans="1:4" x14ac:dyDescent="0.35">
      <c r="A258" s="10">
        <v>2021</v>
      </c>
      <c r="B258" s="11">
        <v>3131109</v>
      </c>
      <c r="C258" s="12" t="s">
        <v>77</v>
      </c>
      <c r="D258" s="13">
        <v>3.2</v>
      </c>
    </row>
    <row r="259" spans="1:4" x14ac:dyDescent="0.35">
      <c r="A259" s="10">
        <v>2021</v>
      </c>
      <c r="B259" s="11">
        <v>3131208</v>
      </c>
      <c r="C259" s="12" t="s">
        <v>78</v>
      </c>
      <c r="D259" s="13">
        <v>0.7</v>
      </c>
    </row>
    <row r="260" spans="1:4" x14ac:dyDescent="0.35">
      <c r="A260" s="10">
        <v>2021</v>
      </c>
      <c r="B260" s="11">
        <v>3131802</v>
      </c>
      <c r="C260" s="12" t="s">
        <v>79</v>
      </c>
      <c r="D260" s="13">
        <v>12</v>
      </c>
    </row>
    <row r="261" spans="1:4" x14ac:dyDescent="0.35">
      <c r="A261" s="10">
        <v>2021</v>
      </c>
      <c r="B261" s="11">
        <v>3132107</v>
      </c>
      <c r="C261" s="12" t="s">
        <v>80</v>
      </c>
      <c r="D261" s="13">
        <v>1.8</v>
      </c>
    </row>
    <row r="262" spans="1:4" x14ac:dyDescent="0.35">
      <c r="A262" s="10">
        <v>2021</v>
      </c>
      <c r="B262" s="11">
        <v>3132305</v>
      </c>
      <c r="C262" s="12" t="s">
        <v>81</v>
      </c>
      <c r="D262" s="13">
        <v>2.5</v>
      </c>
    </row>
    <row r="263" spans="1:4" x14ac:dyDescent="0.35">
      <c r="A263" s="10">
        <v>2021</v>
      </c>
      <c r="B263" s="11">
        <v>3132503</v>
      </c>
      <c r="C263" s="12" t="s">
        <v>82</v>
      </c>
      <c r="D263" s="13">
        <v>0.6</v>
      </c>
    </row>
    <row r="264" spans="1:4" x14ac:dyDescent="0.35">
      <c r="A264" s="10">
        <v>2021</v>
      </c>
      <c r="B264" s="11">
        <v>3132701</v>
      </c>
      <c r="C264" s="12" t="s">
        <v>83</v>
      </c>
      <c r="D264" s="13">
        <v>6.6</v>
      </c>
    </row>
    <row r="265" spans="1:4" x14ac:dyDescent="0.35">
      <c r="A265" s="10">
        <v>2021</v>
      </c>
      <c r="B265" s="11">
        <v>3133204</v>
      </c>
      <c r="C265" s="12" t="s">
        <v>84</v>
      </c>
      <c r="D265" s="13">
        <v>3.1</v>
      </c>
    </row>
    <row r="266" spans="1:4" x14ac:dyDescent="0.35">
      <c r="A266" s="10">
        <v>2021</v>
      </c>
      <c r="B266" s="11">
        <v>3133303</v>
      </c>
      <c r="C266" s="12" t="s">
        <v>85</v>
      </c>
      <c r="D266" s="13">
        <v>2</v>
      </c>
    </row>
    <row r="267" spans="1:4" x14ac:dyDescent="0.35">
      <c r="A267" s="10">
        <v>2021</v>
      </c>
      <c r="B267" s="11">
        <v>3134004</v>
      </c>
      <c r="C267" s="12" t="s">
        <v>86</v>
      </c>
      <c r="D267" s="13">
        <v>0.8</v>
      </c>
    </row>
    <row r="268" spans="1:4" x14ac:dyDescent="0.35">
      <c r="A268" s="10">
        <v>2021</v>
      </c>
      <c r="B268" s="11">
        <v>3134103</v>
      </c>
      <c r="C268" s="12" t="s">
        <v>87</v>
      </c>
      <c r="D268" s="13">
        <v>1.3</v>
      </c>
    </row>
    <row r="269" spans="1:4" x14ac:dyDescent="0.35">
      <c r="A269" s="10">
        <v>2021</v>
      </c>
      <c r="B269" s="11">
        <v>3134707</v>
      </c>
      <c r="C269" s="12" t="s">
        <v>88</v>
      </c>
      <c r="D269" s="13">
        <v>4.4000000000000004</v>
      </c>
    </row>
    <row r="270" spans="1:4" x14ac:dyDescent="0.35">
      <c r="A270" s="10">
        <v>2021</v>
      </c>
      <c r="B270" s="11">
        <v>3135050</v>
      </c>
      <c r="C270" s="12" t="s">
        <v>89</v>
      </c>
      <c r="D270" s="13">
        <v>1.6</v>
      </c>
    </row>
    <row r="271" spans="1:4" x14ac:dyDescent="0.35">
      <c r="A271" s="10">
        <v>2021</v>
      </c>
      <c r="B271" s="11">
        <v>3135100</v>
      </c>
      <c r="C271" s="12" t="s">
        <v>90</v>
      </c>
      <c r="D271" s="13">
        <v>1.6</v>
      </c>
    </row>
    <row r="272" spans="1:4" x14ac:dyDescent="0.35">
      <c r="A272" s="10">
        <v>2021</v>
      </c>
      <c r="B272" s="11">
        <v>3135209</v>
      </c>
      <c r="C272" s="12" t="s">
        <v>91</v>
      </c>
      <c r="D272" s="13">
        <v>6</v>
      </c>
    </row>
    <row r="273" spans="1:4" x14ac:dyDescent="0.35">
      <c r="A273" s="10">
        <v>2021</v>
      </c>
      <c r="B273" s="11">
        <v>3135357</v>
      </c>
      <c r="C273" s="12" t="s">
        <v>92</v>
      </c>
      <c r="D273" s="13">
        <v>0.7</v>
      </c>
    </row>
    <row r="274" spans="1:4" x14ac:dyDescent="0.35">
      <c r="A274" s="10">
        <v>2021</v>
      </c>
      <c r="B274" s="11">
        <v>3135605</v>
      </c>
      <c r="C274" s="12" t="s">
        <v>93</v>
      </c>
      <c r="D274" s="13">
        <v>0.7</v>
      </c>
    </row>
    <row r="275" spans="1:4" x14ac:dyDescent="0.35">
      <c r="A275" s="10">
        <v>2021</v>
      </c>
      <c r="B275" s="11">
        <v>3135803</v>
      </c>
      <c r="C275" s="12" t="s">
        <v>94</v>
      </c>
      <c r="D275" s="13">
        <v>2.2000000000000002</v>
      </c>
    </row>
    <row r="276" spans="1:4" x14ac:dyDescent="0.35">
      <c r="A276" s="10">
        <v>2021</v>
      </c>
      <c r="B276" s="11">
        <v>3136009</v>
      </c>
      <c r="C276" s="12" t="s">
        <v>95</v>
      </c>
      <c r="D276" s="13">
        <v>3.4</v>
      </c>
    </row>
    <row r="277" spans="1:4" x14ac:dyDescent="0.35">
      <c r="A277" s="10">
        <v>2021</v>
      </c>
      <c r="B277" s="11">
        <v>3136405</v>
      </c>
      <c r="C277" s="12" t="s">
        <v>96</v>
      </c>
      <c r="D277" s="13">
        <v>3.6</v>
      </c>
    </row>
    <row r="278" spans="1:4" x14ac:dyDescent="0.35">
      <c r="A278" s="10">
        <v>2021</v>
      </c>
      <c r="B278" s="11">
        <v>3136553</v>
      </c>
      <c r="C278" s="12" t="s">
        <v>97</v>
      </c>
      <c r="D278" s="13">
        <v>0.4</v>
      </c>
    </row>
    <row r="279" spans="1:4" x14ac:dyDescent="0.35">
      <c r="A279" s="10">
        <v>2021</v>
      </c>
      <c r="B279" s="11">
        <v>3136801</v>
      </c>
      <c r="C279" s="12" t="s">
        <v>98</v>
      </c>
      <c r="D279" s="13">
        <v>0</v>
      </c>
    </row>
    <row r="280" spans="1:4" x14ac:dyDescent="0.35">
      <c r="A280" s="10">
        <v>2021</v>
      </c>
      <c r="B280" s="11">
        <v>3136959</v>
      </c>
      <c r="C280" s="12" t="s">
        <v>99</v>
      </c>
      <c r="D280" s="13">
        <v>9.4</v>
      </c>
    </row>
    <row r="281" spans="1:4" x14ac:dyDescent="0.35">
      <c r="A281" s="10">
        <v>2021</v>
      </c>
      <c r="B281" s="11">
        <v>3137007</v>
      </c>
      <c r="C281" s="12" t="s">
        <v>100</v>
      </c>
      <c r="D281" s="13">
        <v>1.3</v>
      </c>
    </row>
    <row r="282" spans="1:4" x14ac:dyDescent="0.35">
      <c r="A282" s="10">
        <v>2021</v>
      </c>
      <c r="B282" s="11">
        <v>3137304</v>
      </c>
      <c r="C282" s="12" t="s">
        <v>101</v>
      </c>
      <c r="D282" s="13">
        <v>0.8</v>
      </c>
    </row>
    <row r="283" spans="1:4" x14ac:dyDescent="0.35">
      <c r="A283" s="10">
        <v>2021</v>
      </c>
      <c r="B283" s="11">
        <v>3138104</v>
      </c>
      <c r="C283" s="12" t="s">
        <v>102</v>
      </c>
      <c r="D283" s="13">
        <v>1.3</v>
      </c>
    </row>
    <row r="284" spans="1:4" x14ac:dyDescent="0.35">
      <c r="A284" s="10">
        <v>2021</v>
      </c>
      <c r="B284" s="11">
        <v>3138351</v>
      </c>
      <c r="C284" s="12" t="s">
        <v>103</v>
      </c>
      <c r="D284" s="13">
        <v>0</v>
      </c>
    </row>
    <row r="285" spans="1:4" x14ac:dyDescent="0.35">
      <c r="A285" s="10">
        <v>2021</v>
      </c>
      <c r="B285" s="11">
        <v>3138658</v>
      </c>
      <c r="C285" s="12" t="s">
        <v>104</v>
      </c>
      <c r="D285" s="13">
        <v>0.5</v>
      </c>
    </row>
    <row r="286" spans="1:4" x14ac:dyDescent="0.35">
      <c r="A286" s="10">
        <v>2021</v>
      </c>
      <c r="B286" s="11">
        <v>3138906</v>
      </c>
      <c r="C286" s="12" t="s">
        <v>105</v>
      </c>
      <c r="D286" s="13">
        <v>0</v>
      </c>
    </row>
    <row r="287" spans="1:4" x14ac:dyDescent="0.35">
      <c r="A287" s="10">
        <v>2021</v>
      </c>
      <c r="B287" s="11">
        <v>3139201</v>
      </c>
      <c r="C287" s="12" t="s">
        <v>106</v>
      </c>
      <c r="D287" s="13">
        <v>5</v>
      </c>
    </row>
    <row r="288" spans="1:4" x14ac:dyDescent="0.35">
      <c r="A288" s="10">
        <v>2021</v>
      </c>
      <c r="B288" s="11">
        <v>3139250</v>
      </c>
      <c r="C288" s="12" t="s">
        <v>107</v>
      </c>
      <c r="D288" s="13">
        <v>0.3</v>
      </c>
    </row>
    <row r="289" spans="1:4" x14ac:dyDescent="0.35">
      <c r="A289" s="10">
        <v>2021</v>
      </c>
      <c r="B289" s="11">
        <v>3139300</v>
      </c>
      <c r="C289" s="12" t="s">
        <v>108</v>
      </c>
      <c r="D289" s="13">
        <v>1.8</v>
      </c>
    </row>
    <row r="290" spans="1:4" x14ac:dyDescent="0.35">
      <c r="A290" s="10">
        <v>2021</v>
      </c>
      <c r="B290" s="11">
        <v>3139607</v>
      </c>
      <c r="C290" s="12" t="s">
        <v>109</v>
      </c>
      <c r="D290" s="13">
        <v>2.7</v>
      </c>
    </row>
    <row r="291" spans="1:4" x14ac:dyDescent="0.35">
      <c r="A291" s="10">
        <v>2021</v>
      </c>
      <c r="B291" s="11">
        <v>3140100</v>
      </c>
      <c r="C291" s="12" t="s">
        <v>110</v>
      </c>
      <c r="D291" s="13">
        <v>7.1</v>
      </c>
    </row>
    <row r="292" spans="1:4" x14ac:dyDescent="0.35">
      <c r="A292" s="10">
        <v>2021</v>
      </c>
      <c r="B292" s="11">
        <v>3140605</v>
      </c>
      <c r="C292" s="12" t="s">
        <v>111</v>
      </c>
      <c r="D292" s="13">
        <v>3.8</v>
      </c>
    </row>
    <row r="293" spans="1:4" x14ac:dyDescent="0.35">
      <c r="A293" s="10">
        <v>2021</v>
      </c>
      <c r="B293" s="11">
        <v>3140852</v>
      </c>
      <c r="C293" s="12" t="s">
        <v>113</v>
      </c>
      <c r="D293" s="13">
        <v>4.3</v>
      </c>
    </row>
    <row r="294" spans="1:4" x14ac:dyDescent="0.35">
      <c r="A294" s="10">
        <v>2021</v>
      </c>
      <c r="B294" s="11">
        <v>3141009</v>
      </c>
      <c r="C294" s="12" t="s">
        <v>114</v>
      </c>
      <c r="D294" s="13">
        <v>1</v>
      </c>
    </row>
    <row r="295" spans="1:4" x14ac:dyDescent="0.35">
      <c r="A295" s="10">
        <v>2021</v>
      </c>
      <c r="B295" s="11">
        <v>3141405</v>
      </c>
      <c r="C295" s="12" t="s">
        <v>115</v>
      </c>
      <c r="D295" s="13">
        <v>0.8</v>
      </c>
    </row>
    <row r="296" spans="1:4" x14ac:dyDescent="0.35">
      <c r="A296" s="10">
        <v>2021</v>
      </c>
      <c r="B296" s="11">
        <v>3141504</v>
      </c>
      <c r="C296" s="12" t="s">
        <v>116</v>
      </c>
      <c r="D296" s="13">
        <v>2.6</v>
      </c>
    </row>
    <row r="297" spans="1:4" x14ac:dyDescent="0.35">
      <c r="A297" s="10">
        <v>2021</v>
      </c>
      <c r="B297" s="11">
        <v>3141801</v>
      </c>
      <c r="C297" s="12" t="s">
        <v>117</v>
      </c>
      <c r="D297" s="13">
        <v>1.6</v>
      </c>
    </row>
    <row r="298" spans="1:4" x14ac:dyDescent="0.35">
      <c r="A298" s="10">
        <v>2021</v>
      </c>
      <c r="B298" s="11">
        <v>3142007</v>
      </c>
      <c r="C298" s="12" t="s">
        <v>118</v>
      </c>
      <c r="D298" s="13">
        <v>3.2</v>
      </c>
    </row>
    <row r="299" spans="1:4" x14ac:dyDescent="0.35">
      <c r="A299" s="10">
        <v>2021</v>
      </c>
      <c r="B299" s="11">
        <v>3142254</v>
      </c>
      <c r="C299" s="12" t="s">
        <v>119</v>
      </c>
      <c r="D299" s="13">
        <v>0.9</v>
      </c>
    </row>
    <row r="300" spans="1:4" x14ac:dyDescent="0.35">
      <c r="A300" s="10">
        <v>2021</v>
      </c>
      <c r="B300" s="11">
        <v>3142502</v>
      </c>
      <c r="C300" s="12" t="s">
        <v>120</v>
      </c>
      <c r="D300" s="13">
        <v>1.3</v>
      </c>
    </row>
    <row r="301" spans="1:4" x14ac:dyDescent="0.35">
      <c r="A301" s="10">
        <v>2021</v>
      </c>
      <c r="B301" s="11">
        <v>3142700</v>
      </c>
      <c r="C301" s="12" t="s">
        <v>121</v>
      </c>
      <c r="D301" s="13">
        <v>1.3</v>
      </c>
    </row>
    <row r="302" spans="1:4" x14ac:dyDescent="0.35">
      <c r="A302" s="10">
        <v>2021</v>
      </c>
      <c r="B302" s="11">
        <v>3143153</v>
      </c>
      <c r="C302" s="12" t="s">
        <v>122</v>
      </c>
      <c r="D302" s="13">
        <v>1.7</v>
      </c>
    </row>
    <row r="303" spans="1:4" x14ac:dyDescent="0.35">
      <c r="A303" s="10">
        <v>2021</v>
      </c>
      <c r="B303" s="11">
        <v>3143302</v>
      </c>
      <c r="C303" s="12" t="s">
        <v>123</v>
      </c>
      <c r="D303" s="13">
        <v>2.4</v>
      </c>
    </row>
    <row r="304" spans="1:4" x14ac:dyDescent="0.35">
      <c r="A304" s="10">
        <v>2021</v>
      </c>
      <c r="B304" s="11">
        <v>3143450</v>
      </c>
      <c r="C304" s="12" t="s">
        <v>124</v>
      </c>
      <c r="D304" s="13">
        <v>0.3</v>
      </c>
    </row>
    <row r="305" spans="1:4" x14ac:dyDescent="0.35">
      <c r="A305" s="10">
        <v>2021</v>
      </c>
      <c r="B305" s="11">
        <v>3143609</v>
      </c>
      <c r="C305" s="12" t="s">
        <v>125</v>
      </c>
      <c r="D305" s="13">
        <v>0</v>
      </c>
    </row>
    <row r="306" spans="1:4" x14ac:dyDescent="0.35">
      <c r="A306" s="10">
        <v>2021</v>
      </c>
      <c r="B306" s="11">
        <v>3144003</v>
      </c>
      <c r="C306" s="12" t="s">
        <v>126</v>
      </c>
      <c r="D306" s="13">
        <v>2</v>
      </c>
    </row>
    <row r="307" spans="1:4" x14ac:dyDescent="0.35">
      <c r="A307" s="10">
        <v>2021</v>
      </c>
      <c r="B307" s="11">
        <v>3144201</v>
      </c>
      <c r="C307" s="12" t="s">
        <v>127</v>
      </c>
      <c r="D307" s="13">
        <v>0.6</v>
      </c>
    </row>
    <row r="308" spans="1:4" x14ac:dyDescent="0.35">
      <c r="A308" s="10">
        <v>2021</v>
      </c>
      <c r="B308" s="11">
        <v>3144300</v>
      </c>
      <c r="C308" s="12" t="s">
        <v>128</v>
      </c>
      <c r="D308" s="13">
        <v>6.7</v>
      </c>
    </row>
    <row r="309" spans="1:4" x14ac:dyDescent="0.35">
      <c r="A309" s="10">
        <v>2021</v>
      </c>
      <c r="B309" s="11">
        <v>3144359</v>
      </c>
      <c r="C309" s="12" t="s">
        <v>129</v>
      </c>
      <c r="D309" s="13">
        <v>1.2</v>
      </c>
    </row>
    <row r="310" spans="1:4" x14ac:dyDescent="0.35">
      <c r="A310" s="10">
        <v>2021</v>
      </c>
      <c r="B310" s="11">
        <v>3144375</v>
      </c>
      <c r="C310" s="12" t="s">
        <v>130</v>
      </c>
      <c r="D310" s="13">
        <v>1.4</v>
      </c>
    </row>
    <row r="311" spans="1:4" x14ac:dyDescent="0.35">
      <c r="A311" s="10">
        <v>2021</v>
      </c>
      <c r="B311" s="11">
        <v>3144656</v>
      </c>
      <c r="C311" s="12" t="s">
        <v>131</v>
      </c>
      <c r="D311" s="13">
        <v>1.2</v>
      </c>
    </row>
    <row r="312" spans="1:4" x14ac:dyDescent="0.35">
      <c r="A312" s="10">
        <v>2021</v>
      </c>
      <c r="B312" s="11">
        <v>3144672</v>
      </c>
      <c r="C312" s="12" t="s">
        <v>132</v>
      </c>
      <c r="D312" s="13">
        <v>1.3</v>
      </c>
    </row>
    <row r="313" spans="1:4" x14ac:dyDescent="0.35">
      <c r="A313" s="10">
        <v>2021</v>
      </c>
      <c r="B313" s="11">
        <v>3145059</v>
      </c>
      <c r="C313" s="12" t="s">
        <v>133</v>
      </c>
      <c r="D313" s="13">
        <v>1.9</v>
      </c>
    </row>
    <row r="314" spans="1:4" x14ac:dyDescent="0.35">
      <c r="A314" s="10">
        <v>2021</v>
      </c>
      <c r="B314" s="11">
        <v>3145356</v>
      </c>
      <c r="C314" s="12" t="s">
        <v>134</v>
      </c>
      <c r="D314" s="13">
        <v>3.9</v>
      </c>
    </row>
    <row r="315" spans="1:4" x14ac:dyDescent="0.35">
      <c r="A315" s="10">
        <v>2021</v>
      </c>
      <c r="B315" s="11">
        <v>3145372</v>
      </c>
      <c r="C315" s="12" t="s">
        <v>135</v>
      </c>
      <c r="D315" s="13">
        <v>0.6</v>
      </c>
    </row>
    <row r="316" spans="1:4" x14ac:dyDescent="0.35">
      <c r="A316" s="10">
        <v>2021</v>
      </c>
      <c r="B316" s="11">
        <v>3145455</v>
      </c>
      <c r="C316" s="12" t="s">
        <v>136</v>
      </c>
      <c r="D316" s="13">
        <v>1</v>
      </c>
    </row>
    <row r="317" spans="1:4" x14ac:dyDescent="0.35">
      <c r="A317" s="10">
        <v>2021</v>
      </c>
      <c r="B317" s="11">
        <v>3146305</v>
      </c>
      <c r="C317" s="12" t="s">
        <v>137</v>
      </c>
      <c r="D317" s="13">
        <v>5.7</v>
      </c>
    </row>
    <row r="318" spans="1:4" x14ac:dyDescent="0.35">
      <c r="A318" s="10">
        <v>2021</v>
      </c>
      <c r="B318" s="11">
        <v>3146552</v>
      </c>
      <c r="C318" s="12" t="s">
        <v>138</v>
      </c>
      <c r="D318" s="13">
        <v>1.4</v>
      </c>
    </row>
    <row r="319" spans="1:4" x14ac:dyDescent="0.35">
      <c r="A319" s="10">
        <v>2021</v>
      </c>
      <c r="B319" s="11">
        <v>3146750</v>
      </c>
      <c r="C319" s="12" t="s">
        <v>139</v>
      </c>
      <c r="D319" s="13">
        <v>5</v>
      </c>
    </row>
    <row r="320" spans="1:4" x14ac:dyDescent="0.35">
      <c r="A320" s="10">
        <v>2021</v>
      </c>
      <c r="B320" s="11">
        <v>3147956</v>
      </c>
      <c r="C320" s="12" t="s">
        <v>140</v>
      </c>
      <c r="D320" s="13">
        <v>0.9</v>
      </c>
    </row>
    <row r="321" spans="1:4" x14ac:dyDescent="0.35">
      <c r="A321" s="10">
        <v>2021</v>
      </c>
      <c r="B321" s="11">
        <v>3148608</v>
      </c>
      <c r="C321" s="12" t="s">
        <v>141</v>
      </c>
      <c r="D321" s="13">
        <v>1.1000000000000001</v>
      </c>
    </row>
    <row r="322" spans="1:4" x14ac:dyDescent="0.35">
      <c r="A322" s="10">
        <v>2021</v>
      </c>
      <c r="B322" s="11">
        <v>3148707</v>
      </c>
      <c r="C322" s="12" t="s">
        <v>142</v>
      </c>
      <c r="D322" s="13">
        <v>4.5999999999999996</v>
      </c>
    </row>
    <row r="323" spans="1:4" x14ac:dyDescent="0.35">
      <c r="A323" s="10">
        <v>2021</v>
      </c>
      <c r="B323" s="11">
        <v>3149952</v>
      </c>
      <c r="C323" s="12" t="s">
        <v>143</v>
      </c>
      <c r="D323" s="13">
        <v>2.6</v>
      </c>
    </row>
    <row r="324" spans="1:4" x14ac:dyDescent="0.35">
      <c r="A324" s="10">
        <v>2021</v>
      </c>
      <c r="B324" s="11">
        <v>3150158</v>
      </c>
      <c r="C324" s="12" t="s">
        <v>144</v>
      </c>
      <c r="D324" s="13">
        <v>4.4000000000000004</v>
      </c>
    </row>
    <row r="325" spans="1:4" x14ac:dyDescent="0.35">
      <c r="A325" s="10">
        <v>2021</v>
      </c>
      <c r="B325" s="11">
        <v>3150570</v>
      </c>
      <c r="C325" s="12" t="s">
        <v>145</v>
      </c>
      <c r="D325" s="13">
        <v>0.7</v>
      </c>
    </row>
    <row r="326" spans="1:4" x14ac:dyDescent="0.35">
      <c r="A326" s="10">
        <v>2021</v>
      </c>
      <c r="B326" s="11">
        <v>3151206</v>
      </c>
      <c r="C326" s="12" t="s">
        <v>146</v>
      </c>
      <c r="D326" s="13">
        <v>1.8</v>
      </c>
    </row>
    <row r="327" spans="1:4" x14ac:dyDescent="0.35">
      <c r="A327" s="10">
        <v>2021</v>
      </c>
      <c r="B327" s="11">
        <v>3152170</v>
      </c>
      <c r="C327" s="12" t="s">
        <v>147</v>
      </c>
      <c r="D327" s="13">
        <v>1.4</v>
      </c>
    </row>
    <row r="328" spans="1:4" x14ac:dyDescent="0.35">
      <c r="A328" s="10">
        <v>2021</v>
      </c>
      <c r="B328" s="11">
        <v>3152402</v>
      </c>
      <c r="C328" s="12" t="s">
        <v>148</v>
      </c>
      <c r="D328" s="13">
        <v>4.8</v>
      </c>
    </row>
    <row r="329" spans="1:4" x14ac:dyDescent="0.35">
      <c r="A329" s="10">
        <v>2021</v>
      </c>
      <c r="B329" s="11">
        <v>3153301</v>
      </c>
      <c r="C329" s="12" t="s">
        <v>149</v>
      </c>
      <c r="D329" s="13">
        <v>0.4</v>
      </c>
    </row>
    <row r="330" spans="1:4" x14ac:dyDescent="0.35">
      <c r="A330" s="10">
        <v>2021</v>
      </c>
      <c r="B330" s="11">
        <v>3154309</v>
      </c>
      <c r="C330" s="12" t="s">
        <v>150</v>
      </c>
      <c r="D330" s="13">
        <v>6.3</v>
      </c>
    </row>
    <row r="331" spans="1:4" x14ac:dyDescent="0.35">
      <c r="A331" s="10">
        <v>2021</v>
      </c>
      <c r="B331" s="11">
        <v>3155108</v>
      </c>
      <c r="C331" s="12" t="s">
        <v>151</v>
      </c>
      <c r="D331" s="13">
        <v>0.8</v>
      </c>
    </row>
    <row r="332" spans="1:4" x14ac:dyDescent="0.35">
      <c r="A332" s="10">
        <v>2021</v>
      </c>
      <c r="B332" s="11">
        <v>3155603</v>
      </c>
      <c r="C332" s="12" t="s">
        <v>152</v>
      </c>
      <c r="D332" s="13">
        <v>0.5</v>
      </c>
    </row>
    <row r="333" spans="1:4" x14ac:dyDescent="0.35">
      <c r="A333" s="10">
        <v>2021</v>
      </c>
      <c r="B333" s="11">
        <v>3156502</v>
      </c>
      <c r="C333" s="12" t="s">
        <v>153</v>
      </c>
      <c r="D333" s="13">
        <v>0.9</v>
      </c>
    </row>
    <row r="334" spans="1:4" x14ac:dyDescent="0.35">
      <c r="A334" s="10">
        <v>2021</v>
      </c>
      <c r="B334" s="11">
        <v>3156601</v>
      </c>
      <c r="C334" s="12" t="s">
        <v>154</v>
      </c>
      <c r="D334" s="13">
        <v>5.3</v>
      </c>
    </row>
    <row r="335" spans="1:4" x14ac:dyDescent="0.35">
      <c r="A335" s="10">
        <v>2021</v>
      </c>
      <c r="B335" s="11">
        <v>3156809</v>
      </c>
      <c r="C335" s="12" t="s">
        <v>155</v>
      </c>
      <c r="D335" s="13">
        <v>3.7</v>
      </c>
    </row>
    <row r="336" spans="1:4" x14ac:dyDescent="0.35">
      <c r="A336" s="10">
        <v>2021</v>
      </c>
      <c r="B336" s="11">
        <v>3157005</v>
      </c>
      <c r="C336" s="12" t="s">
        <v>156</v>
      </c>
      <c r="D336" s="13">
        <v>0.6</v>
      </c>
    </row>
    <row r="337" spans="1:4" x14ac:dyDescent="0.35">
      <c r="A337" s="10">
        <v>2021</v>
      </c>
      <c r="B337" s="11">
        <v>3157104</v>
      </c>
      <c r="C337" s="12" t="s">
        <v>157</v>
      </c>
      <c r="D337" s="13">
        <v>4.0999999999999996</v>
      </c>
    </row>
    <row r="338" spans="1:4" x14ac:dyDescent="0.35">
      <c r="A338" s="10">
        <v>2021</v>
      </c>
      <c r="B338" s="11">
        <v>3157252</v>
      </c>
      <c r="C338" s="12" t="s">
        <v>158</v>
      </c>
      <c r="D338" s="13">
        <v>22.1</v>
      </c>
    </row>
    <row r="339" spans="1:4" x14ac:dyDescent="0.35">
      <c r="A339" s="10">
        <v>2021</v>
      </c>
      <c r="B339" s="11">
        <v>3157377</v>
      </c>
      <c r="C339" s="12" t="s">
        <v>159</v>
      </c>
      <c r="D339" s="13">
        <v>0</v>
      </c>
    </row>
    <row r="340" spans="1:4" x14ac:dyDescent="0.35">
      <c r="A340" s="10">
        <v>2021</v>
      </c>
      <c r="B340" s="11">
        <v>3157500</v>
      </c>
      <c r="C340" s="12" t="s">
        <v>160</v>
      </c>
      <c r="D340" s="13">
        <v>1</v>
      </c>
    </row>
    <row r="341" spans="1:4" x14ac:dyDescent="0.35">
      <c r="A341" s="10">
        <v>2021</v>
      </c>
      <c r="B341" s="11">
        <v>3157658</v>
      </c>
      <c r="C341" s="12" t="s">
        <v>161</v>
      </c>
      <c r="D341" s="13">
        <v>1</v>
      </c>
    </row>
    <row r="342" spans="1:4" x14ac:dyDescent="0.35">
      <c r="A342" s="10">
        <v>2021</v>
      </c>
      <c r="B342" s="11">
        <v>3158201</v>
      </c>
      <c r="C342" s="12" t="s">
        <v>162</v>
      </c>
      <c r="D342" s="13">
        <v>0.8</v>
      </c>
    </row>
    <row r="343" spans="1:4" x14ac:dyDescent="0.35">
      <c r="A343" s="10">
        <v>2021</v>
      </c>
      <c r="B343" s="11">
        <v>3159357</v>
      </c>
      <c r="C343" s="12" t="s">
        <v>163</v>
      </c>
      <c r="D343" s="13">
        <v>2.5</v>
      </c>
    </row>
    <row r="344" spans="1:4" x14ac:dyDescent="0.35">
      <c r="A344" s="10">
        <v>2021</v>
      </c>
      <c r="B344" s="11">
        <v>3159506</v>
      </c>
      <c r="C344" s="12" t="s">
        <v>164</v>
      </c>
      <c r="D344" s="13">
        <v>2.1</v>
      </c>
    </row>
    <row r="345" spans="1:4" x14ac:dyDescent="0.35">
      <c r="A345" s="10">
        <v>2021</v>
      </c>
      <c r="B345" s="11">
        <v>3160454</v>
      </c>
      <c r="C345" s="12" t="s">
        <v>165</v>
      </c>
      <c r="D345" s="13">
        <v>0.8</v>
      </c>
    </row>
    <row r="346" spans="1:4" x14ac:dyDescent="0.35">
      <c r="A346" s="10">
        <v>2021</v>
      </c>
      <c r="B346" s="11">
        <v>3160603</v>
      </c>
      <c r="C346" s="12" t="s">
        <v>166</v>
      </c>
      <c r="D346" s="13">
        <v>1.8</v>
      </c>
    </row>
    <row r="347" spans="1:4" x14ac:dyDescent="0.35">
      <c r="A347" s="10">
        <v>2021</v>
      </c>
      <c r="B347" s="11">
        <v>3160959</v>
      </c>
      <c r="C347" s="12" t="s">
        <v>167</v>
      </c>
      <c r="D347" s="13">
        <v>0.5</v>
      </c>
    </row>
    <row r="348" spans="1:4" x14ac:dyDescent="0.35">
      <c r="A348" s="10">
        <v>2021</v>
      </c>
      <c r="B348" s="11">
        <v>3161601</v>
      </c>
      <c r="C348" s="12" t="s">
        <v>168</v>
      </c>
      <c r="D348" s="13">
        <v>0.5</v>
      </c>
    </row>
    <row r="349" spans="1:4" x14ac:dyDescent="0.35">
      <c r="A349" s="10">
        <v>2021</v>
      </c>
      <c r="B349" s="11">
        <v>3162252</v>
      </c>
      <c r="C349" s="12" t="s">
        <v>170</v>
      </c>
      <c r="D349" s="13">
        <v>0.6</v>
      </c>
    </row>
    <row r="350" spans="1:4" x14ac:dyDescent="0.35">
      <c r="A350" s="10">
        <v>2021</v>
      </c>
      <c r="B350" s="11">
        <v>3162401</v>
      </c>
      <c r="C350" s="12" t="s">
        <v>171</v>
      </c>
      <c r="D350" s="13">
        <v>5.9</v>
      </c>
    </row>
    <row r="351" spans="1:4" x14ac:dyDescent="0.35">
      <c r="A351" s="10">
        <v>2021</v>
      </c>
      <c r="B351" s="11">
        <v>3162575</v>
      </c>
      <c r="C351" s="12" t="s">
        <v>172</v>
      </c>
      <c r="D351" s="13">
        <v>2.9</v>
      </c>
    </row>
    <row r="352" spans="1:4" x14ac:dyDescent="0.35">
      <c r="A352" s="10">
        <v>2021</v>
      </c>
      <c r="B352" s="11">
        <v>3162807</v>
      </c>
      <c r="C352" s="12" t="s">
        <v>173</v>
      </c>
      <c r="D352" s="13">
        <v>3.2</v>
      </c>
    </row>
    <row r="353" spans="1:4" x14ac:dyDescent="0.35">
      <c r="A353" s="10">
        <v>2021</v>
      </c>
      <c r="B353" s="11">
        <v>3163508</v>
      </c>
      <c r="C353" s="12" t="s">
        <v>174</v>
      </c>
      <c r="D353" s="13">
        <v>1.2</v>
      </c>
    </row>
    <row r="354" spans="1:4" x14ac:dyDescent="0.35">
      <c r="A354" s="10">
        <v>2021</v>
      </c>
      <c r="B354" s="11">
        <v>3164100</v>
      </c>
      <c r="C354" s="12" t="s">
        <v>175</v>
      </c>
      <c r="D354" s="13">
        <v>5.9</v>
      </c>
    </row>
    <row r="355" spans="1:4" x14ac:dyDescent="0.35">
      <c r="A355" s="10">
        <v>2021</v>
      </c>
      <c r="B355" s="11">
        <v>3164472</v>
      </c>
      <c r="C355" s="12" t="s">
        <v>176</v>
      </c>
      <c r="D355" s="13">
        <v>1.3</v>
      </c>
    </row>
    <row r="356" spans="1:4" x14ac:dyDescent="0.35">
      <c r="A356" s="10">
        <v>2021</v>
      </c>
      <c r="B356" s="11">
        <v>3165503</v>
      </c>
      <c r="C356" s="12" t="s">
        <v>177</v>
      </c>
      <c r="D356" s="13">
        <v>3.5</v>
      </c>
    </row>
    <row r="357" spans="1:4" x14ac:dyDescent="0.35">
      <c r="A357" s="10">
        <v>2021</v>
      </c>
      <c r="B357" s="11">
        <v>3165909</v>
      </c>
      <c r="C357" s="12" t="s">
        <v>178</v>
      </c>
      <c r="D357" s="13">
        <v>0.8</v>
      </c>
    </row>
    <row r="358" spans="1:4" x14ac:dyDescent="0.35">
      <c r="A358" s="10">
        <v>2021</v>
      </c>
      <c r="B358" s="11">
        <v>3166105</v>
      </c>
      <c r="C358" s="12" t="s">
        <v>179</v>
      </c>
      <c r="D358" s="13">
        <v>4.3</v>
      </c>
    </row>
    <row r="359" spans="1:4" x14ac:dyDescent="0.35">
      <c r="A359" s="10">
        <v>2021</v>
      </c>
      <c r="B359" s="11">
        <v>3166709</v>
      </c>
      <c r="C359" s="12" t="s">
        <v>180</v>
      </c>
      <c r="D359" s="13">
        <v>2.8</v>
      </c>
    </row>
    <row r="360" spans="1:4" x14ac:dyDescent="0.35">
      <c r="A360" s="10">
        <v>2021</v>
      </c>
      <c r="B360" s="11">
        <v>3166956</v>
      </c>
      <c r="C360" s="12" t="s">
        <v>181</v>
      </c>
      <c r="D360" s="13">
        <v>0.7</v>
      </c>
    </row>
    <row r="361" spans="1:4" x14ac:dyDescent="0.35">
      <c r="A361" s="10">
        <v>2021</v>
      </c>
      <c r="B361" s="11">
        <v>3168002</v>
      </c>
      <c r="C361" s="12" t="s">
        <v>182</v>
      </c>
      <c r="D361" s="13">
        <v>0.5</v>
      </c>
    </row>
    <row r="362" spans="1:4" x14ac:dyDescent="0.35">
      <c r="A362" s="10">
        <v>2021</v>
      </c>
      <c r="B362" s="11">
        <v>3168051</v>
      </c>
      <c r="C362" s="12" t="s">
        <v>183</v>
      </c>
      <c r="D362" s="13">
        <v>1.7</v>
      </c>
    </row>
    <row r="363" spans="1:4" x14ac:dyDescent="0.35">
      <c r="A363" s="10">
        <v>2021</v>
      </c>
      <c r="B363" s="11">
        <v>3168408</v>
      </c>
      <c r="C363" s="12" t="s">
        <v>184</v>
      </c>
      <c r="D363" s="13">
        <v>1</v>
      </c>
    </row>
    <row r="364" spans="1:4" x14ac:dyDescent="0.35">
      <c r="A364" s="10">
        <v>2021</v>
      </c>
      <c r="B364" s="11">
        <v>3168606</v>
      </c>
      <c r="C364" s="12" t="s">
        <v>185</v>
      </c>
      <c r="D364" s="13">
        <v>2.5</v>
      </c>
    </row>
    <row r="365" spans="1:4" x14ac:dyDescent="0.35">
      <c r="A365" s="10">
        <v>2021</v>
      </c>
      <c r="B365" s="11">
        <v>3169505</v>
      </c>
      <c r="C365" s="12" t="s">
        <v>186</v>
      </c>
      <c r="D365" s="13">
        <v>3.1</v>
      </c>
    </row>
    <row r="366" spans="1:4" x14ac:dyDescent="0.35">
      <c r="A366" s="10">
        <v>2021</v>
      </c>
      <c r="B366" s="11">
        <v>3169703</v>
      </c>
      <c r="C366" s="12" t="s">
        <v>187</v>
      </c>
      <c r="D366" s="13">
        <v>0.5</v>
      </c>
    </row>
    <row r="367" spans="1:4" x14ac:dyDescent="0.35">
      <c r="A367" s="10">
        <v>2021</v>
      </c>
      <c r="B367" s="11">
        <v>3170057</v>
      </c>
      <c r="C367" s="12" t="s">
        <v>188</v>
      </c>
      <c r="D367" s="13">
        <v>6.2</v>
      </c>
    </row>
    <row r="368" spans="1:4" x14ac:dyDescent="0.35">
      <c r="A368" s="10">
        <v>2021</v>
      </c>
      <c r="B368" s="11">
        <v>3170305</v>
      </c>
      <c r="C368" s="12" t="s">
        <v>189</v>
      </c>
      <c r="D368" s="13">
        <v>6.8</v>
      </c>
    </row>
    <row r="369" spans="1:4" x14ac:dyDescent="0.35">
      <c r="A369" s="10">
        <v>2021</v>
      </c>
      <c r="B369" s="11">
        <v>3170479</v>
      </c>
      <c r="C369" s="12" t="s">
        <v>190</v>
      </c>
      <c r="D369" s="13">
        <v>0.8</v>
      </c>
    </row>
    <row r="370" spans="1:4" x14ac:dyDescent="0.35">
      <c r="A370" s="10">
        <v>2021</v>
      </c>
      <c r="B370" s="11">
        <v>3170529</v>
      </c>
      <c r="C370" s="12" t="s">
        <v>191</v>
      </c>
      <c r="D370" s="13">
        <v>1.5</v>
      </c>
    </row>
    <row r="371" spans="1:4" x14ac:dyDescent="0.35">
      <c r="A371" s="10">
        <v>2021</v>
      </c>
      <c r="B371" s="11">
        <v>3170651</v>
      </c>
      <c r="C371" s="12" t="s">
        <v>192</v>
      </c>
      <c r="D371" s="13">
        <v>0.4</v>
      </c>
    </row>
    <row r="372" spans="1:4" x14ac:dyDescent="0.35">
      <c r="A372" s="10">
        <v>2021</v>
      </c>
      <c r="B372" s="11">
        <v>3170800</v>
      </c>
      <c r="C372" s="12" t="s">
        <v>193</v>
      </c>
      <c r="D372" s="13">
        <v>1.3</v>
      </c>
    </row>
    <row r="373" spans="1:4" x14ac:dyDescent="0.35">
      <c r="A373" s="10">
        <v>2021</v>
      </c>
      <c r="B373" s="11">
        <v>3171071</v>
      </c>
      <c r="C373" s="12" t="s">
        <v>194</v>
      </c>
      <c r="D373" s="13">
        <v>0</v>
      </c>
    </row>
    <row r="374" spans="1:4" x14ac:dyDescent="0.35">
      <c r="A374" s="10">
        <v>2021</v>
      </c>
      <c r="B374" s="11">
        <v>3171501</v>
      </c>
      <c r="C374" s="12" t="s">
        <v>112</v>
      </c>
      <c r="D374" s="13">
        <v>2.4</v>
      </c>
    </row>
    <row r="375" spans="1:4" x14ac:dyDescent="0.35">
      <c r="A375" s="10">
        <v>2021</v>
      </c>
      <c r="B375" s="11">
        <v>3171600</v>
      </c>
      <c r="C375" s="12" t="s">
        <v>195</v>
      </c>
      <c r="D375" s="13">
        <v>0.2</v>
      </c>
    </row>
    <row r="376" spans="1:4" x14ac:dyDescent="0.35">
      <c r="A376" s="10">
        <v>2021</v>
      </c>
      <c r="B376" s="11">
        <v>3171808</v>
      </c>
      <c r="C376" s="12" t="s">
        <v>196</v>
      </c>
      <c r="D376" s="13">
        <v>10.3</v>
      </c>
    </row>
    <row r="377" spans="1:4" x14ac:dyDescent="0.35">
      <c r="A377" s="10">
        <v>2021</v>
      </c>
      <c r="B377" s="11">
        <v>3171907</v>
      </c>
      <c r="C377" s="12" t="s">
        <v>197</v>
      </c>
      <c r="D377" s="13">
        <v>1.4</v>
      </c>
    </row>
    <row r="378" spans="1:4" x14ac:dyDescent="0.35">
      <c r="A378" s="10">
        <v>2023</v>
      </c>
      <c r="B378" s="11">
        <v>3101003</v>
      </c>
      <c r="C378" s="12" t="s">
        <v>10</v>
      </c>
      <c r="D378" s="13">
        <v>1.3</v>
      </c>
    </row>
    <row r="379" spans="1:4" x14ac:dyDescent="0.35">
      <c r="A379" s="10">
        <v>2023</v>
      </c>
      <c r="B379" s="11">
        <v>3101102</v>
      </c>
      <c r="C379" s="12" t="s">
        <v>11</v>
      </c>
      <c r="D379" s="13">
        <v>5.2</v>
      </c>
    </row>
    <row r="380" spans="1:4" x14ac:dyDescent="0.35">
      <c r="A380" s="10">
        <v>2023</v>
      </c>
      <c r="B380" s="11">
        <v>3101706</v>
      </c>
      <c r="C380" s="12" t="s">
        <v>12</v>
      </c>
      <c r="D380" s="13">
        <v>8</v>
      </c>
    </row>
    <row r="381" spans="1:4" x14ac:dyDescent="0.35">
      <c r="A381" s="10">
        <v>2023</v>
      </c>
      <c r="B381" s="11">
        <v>3101805</v>
      </c>
      <c r="C381" s="12" t="s">
        <v>13</v>
      </c>
      <c r="D381" s="13">
        <v>4.2</v>
      </c>
    </row>
    <row r="382" spans="1:4" x14ac:dyDescent="0.35">
      <c r="A382" s="10">
        <v>2023</v>
      </c>
      <c r="B382" s="11">
        <v>3102704</v>
      </c>
      <c r="C382" s="12" t="s">
        <v>26</v>
      </c>
      <c r="D382" s="13">
        <v>0</v>
      </c>
    </row>
    <row r="383" spans="1:4" x14ac:dyDescent="0.35">
      <c r="A383" s="10">
        <v>2023</v>
      </c>
      <c r="B383" s="11">
        <v>3102852</v>
      </c>
      <c r="C383" s="12" t="s">
        <v>14</v>
      </c>
      <c r="D383" s="13">
        <v>1.3</v>
      </c>
    </row>
    <row r="384" spans="1:4" x14ac:dyDescent="0.35">
      <c r="A384" s="10">
        <v>2023</v>
      </c>
      <c r="B384" s="11">
        <v>3103405</v>
      </c>
      <c r="C384" s="12" t="s">
        <v>15</v>
      </c>
      <c r="D384" s="13">
        <v>1.7</v>
      </c>
    </row>
    <row r="385" spans="1:4" x14ac:dyDescent="0.35">
      <c r="A385" s="10">
        <v>2023</v>
      </c>
      <c r="B385" s="11">
        <v>3104452</v>
      </c>
      <c r="C385" s="12" t="s">
        <v>16</v>
      </c>
      <c r="D385" s="13">
        <v>0.5</v>
      </c>
    </row>
    <row r="386" spans="1:4" x14ac:dyDescent="0.35">
      <c r="A386" s="10">
        <v>2023</v>
      </c>
      <c r="B386" s="11">
        <v>3104502</v>
      </c>
      <c r="C386" s="12" t="s">
        <v>17</v>
      </c>
      <c r="D386" s="13">
        <v>3.1</v>
      </c>
    </row>
    <row r="387" spans="1:4" x14ac:dyDescent="0.35">
      <c r="A387" s="10">
        <v>2023</v>
      </c>
      <c r="B387" s="11">
        <v>3104700</v>
      </c>
      <c r="C387" s="12" t="s">
        <v>18</v>
      </c>
      <c r="D387" s="13">
        <v>1.2</v>
      </c>
    </row>
    <row r="388" spans="1:4" x14ac:dyDescent="0.35">
      <c r="A388" s="10">
        <v>2023</v>
      </c>
      <c r="B388" s="11">
        <v>3105202</v>
      </c>
      <c r="C388" s="12" t="s">
        <v>19</v>
      </c>
      <c r="D388" s="13">
        <v>1.8</v>
      </c>
    </row>
    <row r="389" spans="1:4" x14ac:dyDescent="0.35">
      <c r="A389" s="10">
        <v>2023</v>
      </c>
      <c r="B389" s="11">
        <v>3106655</v>
      </c>
      <c r="C389" s="12" t="s">
        <v>20</v>
      </c>
      <c r="D389" s="13">
        <v>0.8</v>
      </c>
    </row>
    <row r="390" spans="1:4" x14ac:dyDescent="0.35">
      <c r="A390" s="10">
        <v>2023</v>
      </c>
      <c r="B390" s="11">
        <v>3107307</v>
      </c>
      <c r="C390" s="12" t="s">
        <v>21</v>
      </c>
      <c r="D390" s="13">
        <v>1.7</v>
      </c>
    </row>
    <row r="391" spans="1:4" x14ac:dyDescent="0.35">
      <c r="A391" s="10">
        <v>2023</v>
      </c>
      <c r="B391" s="11">
        <v>3108206</v>
      </c>
      <c r="C391" s="12" t="s">
        <v>22</v>
      </c>
      <c r="D391" s="13">
        <v>2</v>
      </c>
    </row>
    <row r="392" spans="1:4" x14ac:dyDescent="0.35">
      <c r="A392" s="10">
        <v>2023</v>
      </c>
      <c r="B392" s="11">
        <v>3108602</v>
      </c>
      <c r="C392" s="12" t="s">
        <v>23</v>
      </c>
      <c r="D392" s="13">
        <v>1</v>
      </c>
    </row>
    <row r="393" spans="1:4" x14ac:dyDescent="0.35">
      <c r="A393" s="10">
        <v>2023</v>
      </c>
      <c r="B393" s="11">
        <v>3109204</v>
      </c>
      <c r="C393" s="12" t="s">
        <v>24</v>
      </c>
      <c r="D393" s="13">
        <v>2.5</v>
      </c>
    </row>
    <row r="394" spans="1:4" x14ac:dyDescent="0.35">
      <c r="A394" s="10">
        <v>2023</v>
      </c>
      <c r="B394" s="11">
        <v>3109402</v>
      </c>
      <c r="C394" s="12" t="s">
        <v>25</v>
      </c>
      <c r="D394" s="13">
        <v>3.3</v>
      </c>
    </row>
    <row r="395" spans="1:4" x14ac:dyDescent="0.35">
      <c r="A395" s="10">
        <v>2023</v>
      </c>
      <c r="B395" s="11">
        <v>3110806</v>
      </c>
      <c r="C395" s="12" t="s">
        <v>27</v>
      </c>
      <c r="D395" s="13">
        <v>7.1</v>
      </c>
    </row>
    <row r="396" spans="1:4" x14ac:dyDescent="0.35">
      <c r="A396" s="10">
        <v>2023</v>
      </c>
      <c r="B396" s="11">
        <v>3111150</v>
      </c>
      <c r="C396" s="12" t="s">
        <v>28</v>
      </c>
      <c r="D396" s="13">
        <v>0.9</v>
      </c>
    </row>
    <row r="397" spans="1:4" x14ac:dyDescent="0.35">
      <c r="A397" s="10">
        <v>2023</v>
      </c>
      <c r="B397" s="11">
        <v>3112059</v>
      </c>
      <c r="C397" s="12" t="s">
        <v>29</v>
      </c>
      <c r="D397" s="13">
        <v>1.5</v>
      </c>
    </row>
    <row r="398" spans="1:4" x14ac:dyDescent="0.35">
      <c r="A398" s="10">
        <v>2023</v>
      </c>
      <c r="B398" s="11">
        <v>3112307</v>
      </c>
      <c r="C398" s="12" t="s">
        <v>30</v>
      </c>
      <c r="D398" s="13">
        <v>0.6</v>
      </c>
    </row>
    <row r="399" spans="1:4" x14ac:dyDescent="0.35">
      <c r="A399" s="10">
        <v>2023</v>
      </c>
      <c r="B399" s="11">
        <v>3112703</v>
      </c>
      <c r="C399" s="12" t="s">
        <v>31</v>
      </c>
      <c r="D399" s="13">
        <v>2</v>
      </c>
    </row>
    <row r="400" spans="1:4" x14ac:dyDescent="0.35">
      <c r="A400" s="10">
        <v>2023</v>
      </c>
      <c r="B400" s="11">
        <v>3113008</v>
      </c>
      <c r="C400" s="12" t="s">
        <v>32</v>
      </c>
      <c r="D400" s="13">
        <v>1.9</v>
      </c>
    </row>
    <row r="401" spans="1:4" x14ac:dyDescent="0.35">
      <c r="A401" s="10">
        <v>2023</v>
      </c>
      <c r="B401" s="11">
        <v>3113503</v>
      </c>
      <c r="C401" s="12" t="s">
        <v>33</v>
      </c>
      <c r="D401" s="13">
        <v>0.9</v>
      </c>
    </row>
    <row r="402" spans="1:4" x14ac:dyDescent="0.35">
      <c r="A402" s="10">
        <v>2023</v>
      </c>
      <c r="B402" s="11">
        <v>3113701</v>
      </c>
      <c r="C402" s="12" t="s">
        <v>34</v>
      </c>
      <c r="D402" s="13">
        <v>5.2</v>
      </c>
    </row>
    <row r="403" spans="1:4" x14ac:dyDescent="0.35">
      <c r="A403" s="10">
        <v>2023</v>
      </c>
      <c r="B403" s="11">
        <v>3113800</v>
      </c>
      <c r="C403" s="12" t="s">
        <v>35</v>
      </c>
      <c r="D403" s="13">
        <v>0.7</v>
      </c>
    </row>
    <row r="404" spans="1:4" x14ac:dyDescent="0.35">
      <c r="A404" s="10">
        <v>2023</v>
      </c>
      <c r="B404" s="11">
        <v>3115458</v>
      </c>
      <c r="C404" s="12" t="s">
        <v>36</v>
      </c>
      <c r="D404" s="13">
        <v>1.4</v>
      </c>
    </row>
    <row r="405" spans="1:4" x14ac:dyDescent="0.35">
      <c r="A405" s="10">
        <v>2023</v>
      </c>
      <c r="B405" s="11">
        <v>3115474</v>
      </c>
      <c r="C405" s="12" t="s">
        <v>37</v>
      </c>
      <c r="D405" s="13">
        <v>1.4</v>
      </c>
    </row>
    <row r="406" spans="1:4" x14ac:dyDescent="0.35">
      <c r="A406" s="10">
        <v>2023</v>
      </c>
      <c r="B406" s="11">
        <v>3116100</v>
      </c>
      <c r="C406" s="12" t="s">
        <v>38</v>
      </c>
      <c r="D406" s="13">
        <v>0.4</v>
      </c>
    </row>
    <row r="407" spans="1:4" x14ac:dyDescent="0.35">
      <c r="A407" s="10">
        <v>2023</v>
      </c>
      <c r="B407" s="11">
        <v>3116159</v>
      </c>
      <c r="C407" s="12" t="s">
        <v>39</v>
      </c>
      <c r="D407" s="13">
        <v>1</v>
      </c>
    </row>
    <row r="408" spans="1:4" x14ac:dyDescent="0.35">
      <c r="A408" s="10">
        <v>2023</v>
      </c>
      <c r="B408" s="11">
        <v>3116506</v>
      </c>
      <c r="C408" s="12" t="s">
        <v>40</v>
      </c>
      <c r="D408" s="13">
        <v>0.7</v>
      </c>
    </row>
    <row r="409" spans="1:4" x14ac:dyDescent="0.35">
      <c r="A409" s="10">
        <v>2023</v>
      </c>
      <c r="B409" s="11">
        <v>3116803</v>
      </c>
      <c r="C409" s="12" t="s">
        <v>41</v>
      </c>
      <c r="D409" s="13">
        <v>2</v>
      </c>
    </row>
    <row r="410" spans="1:4" x14ac:dyDescent="0.35">
      <c r="A410" s="10">
        <v>2023</v>
      </c>
      <c r="B410" s="11">
        <v>3117009</v>
      </c>
      <c r="C410" s="12" t="s">
        <v>42</v>
      </c>
      <c r="D410" s="13">
        <v>0</v>
      </c>
    </row>
    <row r="411" spans="1:4" x14ac:dyDescent="0.35">
      <c r="A411" s="10">
        <v>2023</v>
      </c>
      <c r="B411" s="11">
        <v>3118403</v>
      </c>
      <c r="C411" s="12" t="s">
        <v>43</v>
      </c>
      <c r="D411" s="13">
        <v>4.4000000000000004</v>
      </c>
    </row>
    <row r="412" spans="1:4" x14ac:dyDescent="0.35">
      <c r="A412" s="10">
        <v>2023</v>
      </c>
      <c r="B412" s="11">
        <v>3119104</v>
      </c>
      <c r="C412" s="12" t="s">
        <v>44</v>
      </c>
      <c r="D412" s="13">
        <v>5</v>
      </c>
    </row>
    <row r="413" spans="1:4" x14ac:dyDescent="0.35">
      <c r="A413" s="10">
        <v>2023</v>
      </c>
      <c r="B413" s="11">
        <v>3119203</v>
      </c>
      <c r="C413" s="12" t="s">
        <v>45</v>
      </c>
      <c r="D413" s="13">
        <v>0.9</v>
      </c>
    </row>
    <row r="414" spans="1:4" x14ac:dyDescent="0.35">
      <c r="A414" s="10">
        <v>2023</v>
      </c>
      <c r="B414" s="11">
        <v>3119500</v>
      </c>
      <c r="C414" s="12" t="s">
        <v>46</v>
      </c>
      <c r="D414" s="13">
        <v>2.2999999999999998</v>
      </c>
    </row>
    <row r="415" spans="1:4" x14ac:dyDescent="0.35">
      <c r="A415" s="10">
        <v>2023</v>
      </c>
      <c r="B415" s="11">
        <v>3120151</v>
      </c>
      <c r="C415" s="12" t="s">
        <v>47</v>
      </c>
      <c r="D415" s="13">
        <v>5.9</v>
      </c>
    </row>
    <row r="416" spans="1:4" x14ac:dyDescent="0.35">
      <c r="A416" s="10">
        <v>2023</v>
      </c>
      <c r="B416" s="11">
        <v>3120870</v>
      </c>
      <c r="C416" s="12" t="s">
        <v>48</v>
      </c>
      <c r="D416" s="13">
        <v>1.1000000000000001</v>
      </c>
    </row>
    <row r="417" spans="1:4" x14ac:dyDescent="0.35">
      <c r="A417" s="10">
        <v>2023</v>
      </c>
      <c r="B417" s="11">
        <v>3120904</v>
      </c>
      <c r="C417" s="12" t="s">
        <v>49</v>
      </c>
      <c r="D417" s="13">
        <v>5.4</v>
      </c>
    </row>
    <row r="418" spans="1:4" x14ac:dyDescent="0.35">
      <c r="A418" s="10">
        <v>2023</v>
      </c>
      <c r="B418" s="11">
        <v>3121001</v>
      </c>
      <c r="C418" s="12" t="s">
        <v>50</v>
      </c>
      <c r="D418" s="13">
        <v>0.2</v>
      </c>
    </row>
    <row r="419" spans="1:4" x14ac:dyDescent="0.35">
      <c r="A419" s="10">
        <v>2023</v>
      </c>
      <c r="B419" s="11">
        <v>3121605</v>
      </c>
      <c r="C419" s="12" t="s">
        <v>51</v>
      </c>
      <c r="D419" s="13">
        <v>0.9</v>
      </c>
    </row>
    <row r="420" spans="1:4" x14ac:dyDescent="0.35">
      <c r="A420" s="10">
        <v>2023</v>
      </c>
      <c r="B420" s="11">
        <v>3122108</v>
      </c>
      <c r="C420" s="12" t="s">
        <v>52</v>
      </c>
      <c r="D420" s="13">
        <v>0.7</v>
      </c>
    </row>
    <row r="421" spans="1:4" x14ac:dyDescent="0.35">
      <c r="A421" s="10">
        <v>2023</v>
      </c>
      <c r="B421" s="11">
        <v>3122207</v>
      </c>
      <c r="C421" s="12" t="s">
        <v>53</v>
      </c>
      <c r="D421" s="13">
        <v>8.1999999999999993</v>
      </c>
    </row>
    <row r="422" spans="1:4" x14ac:dyDescent="0.35">
      <c r="A422" s="10">
        <v>2023</v>
      </c>
      <c r="B422" s="11">
        <v>3122454</v>
      </c>
      <c r="C422" s="12" t="s">
        <v>54</v>
      </c>
      <c r="D422" s="13">
        <v>6.5</v>
      </c>
    </row>
    <row r="423" spans="1:4" x14ac:dyDescent="0.35">
      <c r="A423" s="10">
        <v>2023</v>
      </c>
      <c r="B423" s="11">
        <v>3122470</v>
      </c>
      <c r="C423" s="12" t="s">
        <v>55</v>
      </c>
      <c r="D423" s="13">
        <v>0.7</v>
      </c>
    </row>
    <row r="424" spans="1:4" x14ac:dyDescent="0.35">
      <c r="A424" s="10">
        <v>2023</v>
      </c>
      <c r="B424" s="11">
        <v>3123106</v>
      </c>
      <c r="C424" s="12" t="s">
        <v>56</v>
      </c>
      <c r="D424" s="13">
        <v>0.9</v>
      </c>
    </row>
    <row r="425" spans="1:4" x14ac:dyDescent="0.35">
      <c r="A425" s="10">
        <v>2023</v>
      </c>
      <c r="B425" s="11">
        <v>3123700</v>
      </c>
      <c r="C425" s="12" t="s">
        <v>57</v>
      </c>
      <c r="D425" s="13">
        <v>3.5</v>
      </c>
    </row>
    <row r="426" spans="1:4" x14ac:dyDescent="0.35">
      <c r="A426" s="10">
        <v>2023</v>
      </c>
      <c r="B426" s="11">
        <v>3123809</v>
      </c>
      <c r="C426" s="12" t="s">
        <v>58</v>
      </c>
      <c r="D426" s="13">
        <v>0.5</v>
      </c>
    </row>
    <row r="427" spans="1:4" x14ac:dyDescent="0.35">
      <c r="A427" s="10">
        <v>2023</v>
      </c>
      <c r="B427" s="11">
        <v>3124302</v>
      </c>
      <c r="C427" s="12" t="s">
        <v>59</v>
      </c>
      <c r="D427" s="13">
        <v>0.6</v>
      </c>
    </row>
    <row r="428" spans="1:4" x14ac:dyDescent="0.35">
      <c r="A428" s="10">
        <v>2023</v>
      </c>
      <c r="B428" s="11">
        <v>3125408</v>
      </c>
      <c r="C428" s="12" t="s">
        <v>60</v>
      </c>
      <c r="D428" s="13">
        <v>1.2</v>
      </c>
    </row>
    <row r="429" spans="1:4" x14ac:dyDescent="0.35">
      <c r="A429" s="10">
        <v>2023</v>
      </c>
      <c r="B429" s="11">
        <v>3125507</v>
      </c>
      <c r="C429" s="12" t="s">
        <v>169</v>
      </c>
      <c r="D429" s="13">
        <v>0</v>
      </c>
    </row>
    <row r="430" spans="1:4" x14ac:dyDescent="0.35">
      <c r="A430" s="10">
        <v>2023</v>
      </c>
      <c r="B430" s="11">
        <v>3125705</v>
      </c>
      <c r="C430" s="12" t="s">
        <v>61</v>
      </c>
      <c r="D430" s="13">
        <v>2.7</v>
      </c>
    </row>
    <row r="431" spans="1:4" x14ac:dyDescent="0.35">
      <c r="A431" s="10">
        <v>2023</v>
      </c>
      <c r="B431" s="11">
        <v>3126604</v>
      </c>
      <c r="C431" s="12" t="s">
        <v>62</v>
      </c>
      <c r="D431" s="13">
        <v>0</v>
      </c>
    </row>
    <row r="432" spans="1:4" x14ac:dyDescent="0.35">
      <c r="A432" s="10">
        <v>2023</v>
      </c>
      <c r="B432" s="11">
        <v>3126703</v>
      </c>
      <c r="C432" s="12" t="s">
        <v>63</v>
      </c>
      <c r="D432" s="13">
        <v>1</v>
      </c>
    </row>
    <row r="433" spans="1:4" x14ac:dyDescent="0.35">
      <c r="A433" s="10">
        <v>2023</v>
      </c>
      <c r="B433" s="11">
        <v>3126901</v>
      </c>
      <c r="C433" s="12" t="s">
        <v>64</v>
      </c>
      <c r="D433" s="13">
        <v>2.8</v>
      </c>
    </row>
    <row r="434" spans="1:4" x14ac:dyDescent="0.35">
      <c r="A434" s="10">
        <v>2023</v>
      </c>
      <c r="B434" s="11">
        <v>3127073</v>
      </c>
      <c r="C434" s="12" t="s">
        <v>65</v>
      </c>
      <c r="D434" s="13">
        <v>1.8</v>
      </c>
    </row>
    <row r="435" spans="1:4" x14ac:dyDescent="0.35">
      <c r="A435" s="10">
        <v>2023</v>
      </c>
      <c r="B435" s="11">
        <v>3127354</v>
      </c>
      <c r="C435" s="12" t="s">
        <v>66</v>
      </c>
      <c r="D435" s="13">
        <v>0</v>
      </c>
    </row>
    <row r="436" spans="1:4" x14ac:dyDescent="0.35">
      <c r="A436" s="10">
        <v>2023</v>
      </c>
      <c r="B436" s="11">
        <v>3127503</v>
      </c>
      <c r="C436" s="12" t="s">
        <v>67</v>
      </c>
      <c r="D436" s="13">
        <v>1.5</v>
      </c>
    </row>
    <row r="437" spans="1:4" x14ac:dyDescent="0.35">
      <c r="A437" s="10">
        <v>2023</v>
      </c>
      <c r="B437" s="11">
        <v>3127602</v>
      </c>
      <c r="C437" s="12" t="s">
        <v>68</v>
      </c>
      <c r="D437" s="13">
        <v>0.7</v>
      </c>
    </row>
    <row r="438" spans="1:4" x14ac:dyDescent="0.35">
      <c r="A438" s="10">
        <v>2023</v>
      </c>
      <c r="B438" s="11">
        <v>3127701</v>
      </c>
      <c r="C438" s="12" t="s">
        <v>69</v>
      </c>
      <c r="D438" s="13">
        <v>6.1</v>
      </c>
    </row>
    <row r="439" spans="1:4" x14ac:dyDescent="0.35">
      <c r="A439" s="10">
        <v>2023</v>
      </c>
      <c r="B439" s="11">
        <v>3128006</v>
      </c>
      <c r="C439" s="12" t="s">
        <v>70</v>
      </c>
      <c r="D439" s="13">
        <v>1.5</v>
      </c>
    </row>
    <row r="440" spans="1:4" x14ac:dyDescent="0.35">
      <c r="A440" s="10">
        <v>2023</v>
      </c>
      <c r="B440" s="11">
        <v>3128253</v>
      </c>
      <c r="C440" s="12" t="s">
        <v>71</v>
      </c>
      <c r="D440" s="13">
        <v>0.9</v>
      </c>
    </row>
    <row r="441" spans="1:4" x14ac:dyDescent="0.35">
      <c r="A441" s="10">
        <v>2023</v>
      </c>
      <c r="B441" s="11">
        <v>3129657</v>
      </c>
      <c r="C441" s="12" t="s">
        <v>72</v>
      </c>
      <c r="D441" s="13">
        <v>1</v>
      </c>
    </row>
    <row r="442" spans="1:4" x14ac:dyDescent="0.35">
      <c r="A442" s="10">
        <v>2023</v>
      </c>
      <c r="B442" s="11">
        <v>3130051</v>
      </c>
      <c r="C442" s="12" t="s">
        <v>73</v>
      </c>
      <c r="D442" s="13">
        <v>0.7</v>
      </c>
    </row>
    <row r="443" spans="1:4" x14ac:dyDescent="0.35">
      <c r="A443" s="10">
        <v>2023</v>
      </c>
      <c r="B443" s="11">
        <v>3130556</v>
      </c>
      <c r="C443" s="12" t="s">
        <v>74</v>
      </c>
      <c r="D443" s="13">
        <v>2.1</v>
      </c>
    </row>
    <row r="444" spans="1:4" x14ac:dyDescent="0.35">
      <c r="A444" s="10">
        <v>2023</v>
      </c>
      <c r="B444" s="11">
        <v>3130655</v>
      </c>
      <c r="C444" s="12" t="s">
        <v>75</v>
      </c>
      <c r="D444" s="13">
        <v>1.3</v>
      </c>
    </row>
    <row r="445" spans="1:4" x14ac:dyDescent="0.35">
      <c r="A445" s="10">
        <v>2023</v>
      </c>
      <c r="B445" s="11">
        <v>3130903</v>
      </c>
      <c r="C445" s="12" t="s">
        <v>76</v>
      </c>
      <c r="D445" s="13">
        <v>1.1000000000000001</v>
      </c>
    </row>
    <row r="446" spans="1:4" x14ac:dyDescent="0.35">
      <c r="A446" s="10">
        <v>2023</v>
      </c>
      <c r="B446" s="11">
        <v>3131109</v>
      </c>
      <c r="C446" s="12" t="s">
        <v>77</v>
      </c>
      <c r="D446" s="13">
        <v>3.8</v>
      </c>
    </row>
    <row r="447" spans="1:4" x14ac:dyDescent="0.35">
      <c r="A447" s="10">
        <v>2023</v>
      </c>
      <c r="B447" s="11">
        <v>3131208</v>
      </c>
      <c r="C447" s="12" t="s">
        <v>78</v>
      </c>
      <c r="D447" s="13">
        <v>0.8</v>
      </c>
    </row>
    <row r="448" spans="1:4" x14ac:dyDescent="0.35">
      <c r="A448" s="10">
        <v>2023</v>
      </c>
      <c r="B448" s="11">
        <v>3131802</v>
      </c>
      <c r="C448" s="12" t="s">
        <v>79</v>
      </c>
      <c r="D448" s="13">
        <v>9.9</v>
      </c>
    </row>
    <row r="449" spans="1:4" x14ac:dyDescent="0.35">
      <c r="A449" s="10">
        <v>2023</v>
      </c>
      <c r="B449" s="11">
        <v>3132107</v>
      </c>
      <c r="C449" s="12" t="s">
        <v>80</v>
      </c>
      <c r="D449" s="13">
        <v>1.9</v>
      </c>
    </row>
    <row r="450" spans="1:4" x14ac:dyDescent="0.35">
      <c r="A450" s="10">
        <v>2023</v>
      </c>
      <c r="B450" s="11">
        <v>3132305</v>
      </c>
      <c r="C450" s="12" t="s">
        <v>81</v>
      </c>
      <c r="D450" s="13">
        <v>1.6</v>
      </c>
    </row>
    <row r="451" spans="1:4" x14ac:dyDescent="0.35">
      <c r="A451" s="10">
        <v>2023</v>
      </c>
      <c r="B451" s="11">
        <v>3132503</v>
      </c>
      <c r="C451" s="12" t="s">
        <v>82</v>
      </c>
      <c r="D451" s="13">
        <v>0.7</v>
      </c>
    </row>
    <row r="452" spans="1:4" x14ac:dyDescent="0.35">
      <c r="A452" s="10">
        <v>2023</v>
      </c>
      <c r="B452" s="11">
        <v>3132701</v>
      </c>
      <c r="C452" s="12" t="s">
        <v>83</v>
      </c>
      <c r="D452" s="13">
        <v>3.2</v>
      </c>
    </row>
    <row r="453" spans="1:4" x14ac:dyDescent="0.35">
      <c r="A453" s="10">
        <v>2023</v>
      </c>
      <c r="B453" s="11">
        <v>3133204</v>
      </c>
      <c r="C453" s="12" t="s">
        <v>84</v>
      </c>
      <c r="D453" s="13">
        <v>6.1</v>
      </c>
    </row>
    <row r="454" spans="1:4" x14ac:dyDescent="0.35">
      <c r="A454" s="10">
        <v>2023</v>
      </c>
      <c r="B454" s="11">
        <v>3133303</v>
      </c>
      <c r="C454" s="12" t="s">
        <v>85</v>
      </c>
      <c r="D454" s="13">
        <v>2.4</v>
      </c>
    </row>
    <row r="455" spans="1:4" x14ac:dyDescent="0.35">
      <c r="A455" s="10">
        <v>2023</v>
      </c>
      <c r="B455" s="11">
        <v>3134004</v>
      </c>
      <c r="C455" s="12" t="s">
        <v>86</v>
      </c>
      <c r="D455" s="13">
        <v>0.6</v>
      </c>
    </row>
    <row r="456" spans="1:4" x14ac:dyDescent="0.35">
      <c r="A456" s="10">
        <v>2023</v>
      </c>
      <c r="B456" s="11">
        <v>3134103</v>
      </c>
      <c r="C456" s="12" t="s">
        <v>87</v>
      </c>
      <c r="D456" s="13">
        <v>1.7</v>
      </c>
    </row>
    <row r="457" spans="1:4" x14ac:dyDescent="0.35">
      <c r="A457" s="10">
        <v>2023</v>
      </c>
      <c r="B457" s="11">
        <v>3134707</v>
      </c>
      <c r="C457" s="12" t="s">
        <v>88</v>
      </c>
      <c r="D457" s="13">
        <v>6.3</v>
      </c>
    </row>
    <row r="458" spans="1:4" x14ac:dyDescent="0.35">
      <c r="A458" s="10">
        <v>2023</v>
      </c>
      <c r="B458" s="11">
        <v>3135050</v>
      </c>
      <c r="C458" s="12" t="s">
        <v>89</v>
      </c>
      <c r="D458" s="13">
        <v>2.2000000000000002</v>
      </c>
    </row>
    <row r="459" spans="1:4" x14ac:dyDescent="0.35">
      <c r="A459" s="10">
        <v>2023</v>
      </c>
      <c r="B459" s="11">
        <v>3135100</v>
      </c>
      <c r="C459" s="12" t="s">
        <v>90</v>
      </c>
      <c r="D459" s="13">
        <v>1.7</v>
      </c>
    </row>
    <row r="460" spans="1:4" x14ac:dyDescent="0.35">
      <c r="A460" s="10">
        <v>2023</v>
      </c>
      <c r="B460" s="11">
        <v>3135209</v>
      </c>
      <c r="C460" s="12" t="s">
        <v>91</v>
      </c>
      <c r="D460" s="13">
        <v>4.7</v>
      </c>
    </row>
    <row r="461" spans="1:4" x14ac:dyDescent="0.35">
      <c r="A461" s="10">
        <v>2023</v>
      </c>
      <c r="B461" s="11">
        <v>3135357</v>
      </c>
      <c r="C461" s="12" t="s">
        <v>92</v>
      </c>
      <c r="D461" s="13">
        <v>0.4</v>
      </c>
    </row>
    <row r="462" spans="1:4" x14ac:dyDescent="0.35">
      <c r="A462" s="10">
        <v>2023</v>
      </c>
      <c r="B462" s="11">
        <v>3135605</v>
      </c>
      <c r="C462" s="12" t="s">
        <v>93</v>
      </c>
      <c r="D462" s="13">
        <v>1</v>
      </c>
    </row>
    <row r="463" spans="1:4" x14ac:dyDescent="0.35">
      <c r="A463" s="10">
        <v>2023</v>
      </c>
      <c r="B463" s="11">
        <v>3135803</v>
      </c>
      <c r="C463" s="12" t="s">
        <v>94</v>
      </c>
      <c r="D463" s="13">
        <v>2.8</v>
      </c>
    </row>
    <row r="464" spans="1:4" x14ac:dyDescent="0.35">
      <c r="A464" s="10">
        <v>2023</v>
      </c>
      <c r="B464" s="11">
        <v>3136009</v>
      </c>
      <c r="C464" s="12" t="s">
        <v>95</v>
      </c>
      <c r="D464" s="13">
        <v>2.4</v>
      </c>
    </row>
    <row r="465" spans="1:4" x14ac:dyDescent="0.35">
      <c r="A465" s="10">
        <v>2023</v>
      </c>
      <c r="B465" s="11">
        <v>3136405</v>
      </c>
      <c r="C465" s="12" t="s">
        <v>96</v>
      </c>
      <c r="D465" s="13">
        <v>4.9000000000000004</v>
      </c>
    </row>
    <row r="466" spans="1:4" x14ac:dyDescent="0.35">
      <c r="A466" s="10">
        <v>2023</v>
      </c>
      <c r="B466" s="11">
        <v>3136553</v>
      </c>
      <c r="C466" s="12" t="s">
        <v>97</v>
      </c>
      <c r="D466" s="13">
        <v>0.3</v>
      </c>
    </row>
    <row r="467" spans="1:4" x14ac:dyDescent="0.35">
      <c r="A467" s="10">
        <v>2023</v>
      </c>
      <c r="B467" s="11">
        <v>3136801</v>
      </c>
      <c r="C467" s="12" t="s">
        <v>98</v>
      </c>
      <c r="D467" s="13">
        <v>0.9</v>
      </c>
    </row>
    <row r="468" spans="1:4" x14ac:dyDescent="0.35">
      <c r="A468" s="10">
        <v>2023</v>
      </c>
      <c r="B468" s="11">
        <v>3136959</v>
      </c>
      <c r="C468" s="12" t="s">
        <v>99</v>
      </c>
      <c r="D468" s="13">
        <v>1.6</v>
      </c>
    </row>
    <row r="469" spans="1:4" x14ac:dyDescent="0.35">
      <c r="A469" s="10">
        <v>2023</v>
      </c>
      <c r="B469" s="11">
        <v>3137007</v>
      </c>
      <c r="C469" s="12" t="s">
        <v>100</v>
      </c>
      <c r="D469" s="13">
        <v>2</v>
      </c>
    </row>
    <row r="470" spans="1:4" x14ac:dyDescent="0.35">
      <c r="A470" s="10">
        <v>2023</v>
      </c>
      <c r="B470" s="11">
        <v>3137304</v>
      </c>
      <c r="C470" s="12" t="s">
        <v>101</v>
      </c>
      <c r="D470" s="13">
        <v>0.5</v>
      </c>
    </row>
    <row r="471" spans="1:4" x14ac:dyDescent="0.35">
      <c r="A471" s="10">
        <v>2023</v>
      </c>
      <c r="B471" s="11">
        <v>3138104</v>
      </c>
      <c r="C471" s="12" t="s">
        <v>102</v>
      </c>
      <c r="D471" s="13">
        <v>0.8</v>
      </c>
    </row>
    <row r="472" spans="1:4" x14ac:dyDescent="0.35">
      <c r="A472" s="10">
        <v>2023</v>
      </c>
      <c r="B472" s="11">
        <v>3138351</v>
      </c>
      <c r="C472" s="12" t="s">
        <v>103</v>
      </c>
      <c r="D472" s="13">
        <v>0.5</v>
      </c>
    </row>
    <row r="473" spans="1:4" x14ac:dyDescent="0.35">
      <c r="A473" s="10">
        <v>2023</v>
      </c>
      <c r="B473" s="11">
        <v>3138658</v>
      </c>
      <c r="C473" s="12" t="s">
        <v>104</v>
      </c>
      <c r="D473" s="13">
        <v>0.2</v>
      </c>
    </row>
    <row r="474" spans="1:4" x14ac:dyDescent="0.35">
      <c r="A474" s="10">
        <v>2023</v>
      </c>
      <c r="B474" s="11">
        <v>3138906</v>
      </c>
      <c r="C474" s="12" t="s">
        <v>105</v>
      </c>
      <c r="D474" s="13">
        <v>1.4</v>
      </c>
    </row>
    <row r="475" spans="1:4" x14ac:dyDescent="0.35">
      <c r="A475" s="10">
        <v>2023</v>
      </c>
      <c r="B475" s="11">
        <v>3139201</v>
      </c>
      <c r="C475" s="12" t="s">
        <v>106</v>
      </c>
      <c r="D475" s="13">
        <v>3.9</v>
      </c>
    </row>
    <row r="476" spans="1:4" x14ac:dyDescent="0.35">
      <c r="A476" s="10">
        <v>2023</v>
      </c>
      <c r="B476" s="11">
        <v>3139250</v>
      </c>
      <c r="C476" s="12" t="s">
        <v>107</v>
      </c>
      <c r="D476" s="13">
        <v>0.7</v>
      </c>
    </row>
    <row r="477" spans="1:4" x14ac:dyDescent="0.35">
      <c r="A477" s="10">
        <v>2023</v>
      </c>
      <c r="B477" s="11">
        <v>3139300</v>
      </c>
      <c r="C477" s="12" t="s">
        <v>108</v>
      </c>
      <c r="D477" s="13">
        <v>2.2000000000000002</v>
      </c>
    </row>
    <row r="478" spans="1:4" x14ac:dyDescent="0.35">
      <c r="A478" s="10">
        <v>2023</v>
      </c>
      <c r="B478" s="11">
        <v>3139607</v>
      </c>
      <c r="C478" s="12" t="s">
        <v>109</v>
      </c>
      <c r="D478" s="13">
        <v>2.4</v>
      </c>
    </row>
    <row r="479" spans="1:4" x14ac:dyDescent="0.35">
      <c r="A479" s="10">
        <v>2023</v>
      </c>
      <c r="B479" s="11">
        <v>3140100</v>
      </c>
      <c r="C479" s="12" t="s">
        <v>110</v>
      </c>
      <c r="D479" s="13">
        <v>4</v>
      </c>
    </row>
    <row r="480" spans="1:4" x14ac:dyDescent="0.35">
      <c r="A480" s="10">
        <v>2023</v>
      </c>
      <c r="B480" s="11">
        <v>3140605</v>
      </c>
      <c r="C480" s="12" t="s">
        <v>111</v>
      </c>
      <c r="D480" s="13">
        <v>0.4</v>
      </c>
    </row>
    <row r="481" spans="1:4" x14ac:dyDescent="0.35">
      <c r="A481" s="10">
        <v>2023</v>
      </c>
      <c r="B481" s="11">
        <v>3140852</v>
      </c>
      <c r="C481" s="12" t="s">
        <v>113</v>
      </c>
      <c r="D481" s="13">
        <v>2.8</v>
      </c>
    </row>
    <row r="482" spans="1:4" x14ac:dyDescent="0.35">
      <c r="A482" s="10">
        <v>2023</v>
      </c>
      <c r="B482" s="11">
        <v>3141009</v>
      </c>
      <c r="C482" s="12" t="s">
        <v>114</v>
      </c>
      <c r="D482" s="13">
        <v>0.8</v>
      </c>
    </row>
    <row r="483" spans="1:4" x14ac:dyDescent="0.35">
      <c r="A483" s="10">
        <v>2023</v>
      </c>
      <c r="B483" s="11">
        <v>3141405</v>
      </c>
      <c r="C483" s="12" t="s">
        <v>115</v>
      </c>
      <c r="D483" s="13">
        <v>0.9</v>
      </c>
    </row>
    <row r="484" spans="1:4" x14ac:dyDescent="0.35">
      <c r="A484" s="10">
        <v>2023</v>
      </c>
      <c r="B484" s="11">
        <v>3141504</v>
      </c>
      <c r="C484" s="12" t="s">
        <v>116</v>
      </c>
      <c r="D484" s="13">
        <v>0.4</v>
      </c>
    </row>
    <row r="485" spans="1:4" x14ac:dyDescent="0.35">
      <c r="A485" s="10">
        <v>2023</v>
      </c>
      <c r="B485" s="11">
        <v>3141801</v>
      </c>
      <c r="C485" s="12" t="s">
        <v>117</v>
      </c>
      <c r="D485" s="13">
        <v>0.8</v>
      </c>
    </row>
    <row r="486" spans="1:4" x14ac:dyDescent="0.35">
      <c r="A486" s="10">
        <v>2023</v>
      </c>
      <c r="B486" s="11">
        <v>3142007</v>
      </c>
      <c r="C486" s="12" t="s">
        <v>118</v>
      </c>
      <c r="D486" s="13">
        <v>1.2</v>
      </c>
    </row>
    <row r="487" spans="1:4" x14ac:dyDescent="0.35">
      <c r="A487" s="10">
        <v>2023</v>
      </c>
      <c r="B487" s="11">
        <v>3142254</v>
      </c>
      <c r="C487" s="12" t="s">
        <v>119</v>
      </c>
      <c r="D487" s="13">
        <v>0.8</v>
      </c>
    </row>
    <row r="488" spans="1:4" x14ac:dyDescent="0.35">
      <c r="A488" s="10">
        <v>2023</v>
      </c>
      <c r="B488" s="11">
        <v>3142502</v>
      </c>
      <c r="C488" s="12" t="s">
        <v>120</v>
      </c>
      <c r="D488" s="13">
        <v>0</v>
      </c>
    </row>
    <row r="489" spans="1:4" x14ac:dyDescent="0.35">
      <c r="A489" s="10">
        <v>2023</v>
      </c>
      <c r="B489" s="11">
        <v>3142700</v>
      </c>
      <c r="C489" s="12" t="s">
        <v>121</v>
      </c>
      <c r="D489" s="13">
        <v>1.1000000000000001</v>
      </c>
    </row>
    <row r="490" spans="1:4" x14ac:dyDescent="0.35">
      <c r="A490" s="10">
        <v>2023</v>
      </c>
      <c r="B490" s="11">
        <v>3143153</v>
      </c>
      <c r="C490" s="12" t="s">
        <v>122</v>
      </c>
      <c r="D490" s="13">
        <v>1.5</v>
      </c>
    </row>
    <row r="491" spans="1:4" x14ac:dyDescent="0.35">
      <c r="A491" s="10">
        <v>2023</v>
      </c>
      <c r="B491" s="11">
        <v>3143302</v>
      </c>
      <c r="C491" s="12" t="s">
        <v>123</v>
      </c>
      <c r="D491" s="13">
        <v>2.6</v>
      </c>
    </row>
    <row r="492" spans="1:4" x14ac:dyDescent="0.35">
      <c r="A492" s="10">
        <v>2023</v>
      </c>
      <c r="B492" s="11">
        <v>3143450</v>
      </c>
      <c r="C492" s="12" t="s">
        <v>124</v>
      </c>
      <c r="D492" s="13">
        <v>0.2</v>
      </c>
    </row>
    <row r="493" spans="1:4" x14ac:dyDescent="0.35">
      <c r="A493" s="10">
        <v>2023</v>
      </c>
      <c r="B493" s="11">
        <v>3143609</v>
      </c>
      <c r="C493" s="12" t="s">
        <v>125</v>
      </c>
      <c r="D493" s="13">
        <v>0.7</v>
      </c>
    </row>
    <row r="494" spans="1:4" x14ac:dyDescent="0.35">
      <c r="A494" s="10">
        <v>2023</v>
      </c>
      <c r="B494" s="11">
        <v>3144003</v>
      </c>
      <c r="C494" s="12" t="s">
        <v>126</v>
      </c>
      <c r="D494" s="13">
        <v>3.3</v>
      </c>
    </row>
    <row r="495" spans="1:4" x14ac:dyDescent="0.35">
      <c r="A495" s="10">
        <v>2023</v>
      </c>
      <c r="B495" s="11">
        <v>3144201</v>
      </c>
      <c r="C495" s="12" t="s">
        <v>127</v>
      </c>
      <c r="D495" s="13">
        <v>2.1</v>
      </c>
    </row>
    <row r="496" spans="1:4" x14ac:dyDescent="0.35">
      <c r="A496" s="10">
        <v>2023</v>
      </c>
      <c r="B496" s="11">
        <v>3144300</v>
      </c>
      <c r="C496" s="12" t="s">
        <v>128</v>
      </c>
      <c r="D496" s="13">
        <v>5.0999999999999996</v>
      </c>
    </row>
    <row r="497" spans="1:4" x14ac:dyDescent="0.35">
      <c r="A497" s="10">
        <v>2023</v>
      </c>
      <c r="B497" s="11">
        <v>3144359</v>
      </c>
      <c r="C497" s="12" t="s">
        <v>129</v>
      </c>
      <c r="D497" s="13">
        <v>0.8</v>
      </c>
    </row>
    <row r="498" spans="1:4" x14ac:dyDescent="0.35">
      <c r="A498" s="10">
        <v>2023</v>
      </c>
      <c r="B498" s="11">
        <v>3144375</v>
      </c>
      <c r="C498" s="12" t="s">
        <v>130</v>
      </c>
      <c r="D498" s="13">
        <v>0.4</v>
      </c>
    </row>
    <row r="499" spans="1:4" x14ac:dyDescent="0.35">
      <c r="A499" s="10">
        <v>2023</v>
      </c>
      <c r="B499" s="11">
        <v>3144656</v>
      </c>
      <c r="C499" s="12" t="s">
        <v>131</v>
      </c>
      <c r="D499" s="13">
        <v>0.9</v>
      </c>
    </row>
    <row r="500" spans="1:4" x14ac:dyDescent="0.35">
      <c r="A500" s="10">
        <v>2023</v>
      </c>
      <c r="B500" s="11">
        <v>3144672</v>
      </c>
      <c r="C500" s="12" t="s">
        <v>132</v>
      </c>
      <c r="D500" s="13">
        <v>3.1</v>
      </c>
    </row>
    <row r="501" spans="1:4" x14ac:dyDescent="0.35">
      <c r="A501" s="10">
        <v>2023</v>
      </c>
      <c r="B501" s="11">
        <v>3145059</v>
      </c>
      <c r="C501" s="12" t="s">
        <v>133</v>
      </c>
      <c r="D501" s="13">
        <v>1.2</v>
      </c>
    </row>
    <row r="502" spans="1:4" x14ac:dyDescent="0.35">
      <c r="A502" s="10">
        <v>2023</v>
      </c>
      <c r="B502" s="11">
        <v>3145356</v>
      </c>
      <c r="C502" s="12" t="s">
        <v>134</v>
      </c>
      <c r="D502" s="13">
        <v>4.7</v>
      </c>
    </row>
    <row r="503" spans="1:4" x14ac:dyDescent="0.35">
      <c r="A503" s="10">
        <v>2023</v>
      </c>
      <c r="B503" s="11">
        <v>3145372</v>
      </c>
      <c r="C503" s="12" t="s">
        <v>135</v>
      </c>
      <c r="D503" s="13">
        <v>0.4</v>
      </c>
    </row>
    <row r="504" spans="1:4" x14ac:dyDescent="0.35">
      <c r="A504" s="10">
        <v>2023</v>
      </c>
      <c r="B504" s="11">
        <v>3145455</v>
      </c>
      <c r="C504" s="12" t="s">
        <v>136</v>
      </c>
      <c r="D504" s="13">
        <v>0.8</v>
      </c>
    </row>
    <row r="505" spans="1:4" x14ac:dyDescent="0.35">
      <c r="A505" s="10">
        <v>2023</v>
      </c>
      <c r="B505" s="11">
        <v>3146305</v>
      </c>
      <c r="C505" s="12" t="s">
        <v>137</v>
      </c>
      <c r="D505" s="13">
        <v>3.7</v>
      </c>
    </row>
    <row r="506" spans="1:4" x14ac:dyDescent="0.35">
      <c r="A506" s="10">
        <v>2023</v>
      </c>
      <c r="B506" s="11">
        <v>3146552</v>
      </c>
      <c r="C506" s="12" t="s">
        <v>138</v>
      </c>
      <c r="D506" s="13">
        <v>2.6</v>
      </c>
    </row>
    <row r="507" spans="1:4" x14ac:dyDescent="0.35">
      <c r="A507" s="10">
        <v>2023</v>
      </c>
      <c r="B507" s="11">
        <v>3146750</v>
      </c>
      <c r="C507" s="12" t="s">
        <v>139</v>
      </c>
      <c r="D507" s="13">
        <v>2.2999999999999998</v>
      </c>
    </row>
    <row r="508" spans="1:4" x14ac:dyDescent="0.35">
      <c r="A508" s="10">
        <v>2023</v>
      </c>
      <c r="B508" s="11">
        <v>3147956</v>
      </c>
      <c r="C508" s="12" t="s">
        <v>140</v>
      </c>
      <c r="D508" s="13">
        <v>0.5</v>
      </c>
    </row>
    <row r="509" spans="1:4" x14ac:dyDescent="0.35">
      <c r="A509" s="10">
        <v>2023</v>
      </c>
      <c r="B509" s="11">
        <v>3148608</v>
      </c>
      <c r="C509" s="12" t="s">
        <v>141</v>
      </c>
      <c r="D509" s="13">
        <v>1.7</v>
      </c>
    </row>
    <row r="510" spans="1:4" x14ac:dyDescent="0.35">
      <c r="A510" s="10">
        <v>2023</v>
      </c>
      <c r="B510" s="11">
        <v>3148707</v>
      </c>
      <c r="C510" s="12" t="s">
        <v>142</v>
      </c>
      <c r="D510" s="13">
        <v>2.6</v>
      </c>
    </row>
    <row r="511" spans="1:4" x14ac:dyDescent="0.35">
      <c r="A511" s="10">
        <v>2023</v>
      </c>
      <c r="B511" s="11">
        <v>3149952</v>
      </c>
      <c r="C511" s="12" t="s">
        <v>143</v>
      </c>
      <c r="D511" s="13">
        <v>2.4</v>
      </c>
    </row>
    <row r="512" spans="1:4" x14ac:dyDescent="0.35">
      <c r="A512" s="10">
        <v>2023</v>
      </c>
      <c r="B512" s="11">
        <v>3150158</v>
      </c>
      <c r="C512" s="12" t="s">
        <v>144</v>
      </c>
      <c r="D512" s="13">
        <v>3</v>
      </c>
    </row>
    <row r="513" spans="1:4" x14ac:dyDescent="0.35">
      <c r="A513" s="10">
        <v>2023</v>
      </c>
      <c r="B513" s="11">
        <v>3150570</v>
      </c>
      <c r="C513" s="12" t="s">
        <v>145</v>
      </c>
      <c r="D513" s="13">
        <v>1.2</v>
      </c>
    </row>
    <row r="514" spans="1:4" x14ac:dyDescent="0.35">
      <c r="A514" s="10">
        <v>2023</v>
      </c>
      <c r="B514" s="11">
        <v>3151206</v>
      </c>
      <c r="C514" s="12" t="s">
        <v>146</v>
      </c>
      <c r="D514" s="13">
        <v>2.5</v>
      </c>
    </row>
    <row r="515" spans="1:4" x14ac:dyDescent="0.35">
      <c r="A515" s="10">
        <v>2023</v>
      </c>
      <c r="B515" s="11">
        <v>3152170</v>
      </c>
      <c r="C515" s="12" t="s">
        <v>147</v>
      </c>
      <c r="D515" s="13">
        <v>5.0999999999999996</v>
      </c>
    </row>
    <row r="516" spans="1:4" x14ac:dyDescent="0.35">
      <c r="A516" s="10">
        <v>2023</v>
      </c>
      <c r="B516" s="11">
        <v>3152402</v>
      </c>
      <c r="C516" s="12" t="s">
        <v>148</v>
      </c>
      <c r="D516" s="13">
        <v>4.8</v>
      </c>
    </row>
    <row r="517" spans="1:4" x14ac:dyDescent="0.35">
      <c r="A517" s="10">
        <v>2023</v>
      </c>
      <c r="B517" s="11">
        <v>3153301</v>
      </c>
      <c r="C517" s="12" t="s">
        <v>149</v>
      </c>
      <c r="D517" s="13">
        <v>0</v>
      </c>
    </row>
    <row r="518" spans="1:4" x14ac:dyDescent="0.35">
      <c r="A518" s="10">
        <v>2023</v>
      </c>
      <c r="B518" s="11">
        <v>3154309</v>
      </c>
      <c r="C518" s="12" t="s">
        <v>150</v>
      </c>
      <c r="D518" s="13">
        <v>6</v>
      </c>
    </row>
    <row r="519" spans="1:4" x14ac:dyDescent="0.35">
      <c r="A519" s="10">
        <v>2023</v>
      </c>
      <c r="B519" s="11">
        <v>3155108</v>
      </c>
      <c r="C519" s="12" t="s">
        <v>151</v>
      </c>
      <c r="D519" s="13">
        <v>0.8</v>
      </c>
    </row>
    <row r="520" spans="1:4" x14ac:dyDescent="0.35">
      <c r="A520" s="10">
        <v>2023</v>
      </c>
      <c r="B520" s="11">
        <v>3155603</v>
      </c>
      <c r="C520" s="12" t="s">
        <v>152</v>
      </c>
      <c r="D520" s="13">
        <v>0.8</v>
      </c>
    </row>
    <row r="521" spans="1:4" x14ac:dyDescent="0.35">
      <c r="A521" s="10">
        <v>2023</v>
      </c>
      <c r="B521" s="11">
        <v>3156502</v>
      </c>
      <c r="C521" s="12" t="s">
        <v>153</v>
      </c>
      <c r="D521" s="13">
        <v>0.7</v>
      </c>
    </row>
    <row r="522" spans="1:4" x14ac:dyDescent="0.35">
      <c r="A522" s="10">
        <v>2023</v>
      </c>
      <c r="B522" s="11">
        <v>3156601</v>
      </c>
      <c r="C522" s="12" t="s">
        <v>154</v>
      </c>
      <c r="D522" s="13">
        <v>5.0999999999999996</v>
      </c>
    </row>
    <row r="523" spans="1:4" x14ac:dyDescent="0.35">
      <c r="A523" s="10">
        <v>2023</v>
      </c>
      <c r="B523" s="11">
        <v>3156809</v>
      </c>
      <c r="C523" s="12" t="s">
        <v>155</v>
      </c>
      <c r="D523" s="13">
        <v>5.2</v>
      </c>
    </row>
    <row r="524" spans="1:4" x14ac:dyDescent="0.35">
      <c r="A524" s="10">
        <v>2023</v>
      </c>
      <c r="B524" s="11">
        <v>3157005</v>
      </c>
      <c r="C524" s="12" t="s">
        <v>156</v>
      </c>
      <c r="D524" s="13">
        <v>0.5</v>
      </c>
    </row>
    <row r="525" spans="1:4" x14ac:dyDescent="0.35">
      <c r="A525" s="10">
        <v>2023</v>
      </c>
      <c r="B525" s="11">
        <v>3157104</v>
      </c>
      <c r="C525" s="12" t="s">
        <v>157</v>
      </c>
      <c r="D525" s="13">
        <v>3.6</v>
      </c>
    </row>
    <row r="526" spans="1:4" x14ac:dyDescent="0.35">
      <c r="A526" s="10">
        <v>2023</v>
      </c>
      <c r="B526" s="11">
        <v>3157252</v>
      </c>
      <c r="C526" s="12" t="s">
        <v>158</v>
      </c>
      <c r="D526" s="13">
        <v>5.2</v>
      </c>
    </row>
    <row r="527" spans="1:4" x14ac:dyDescent="0.35">
      <c r="A527" s="10">
        <v>2023</v>
      </c>
      <c r="B527" s="11">
        <v>3157377</v>
      </c>
      <c r="C527" s="12" t="s">
        <v>159</v>
      </c>
      <c r="D527" s="13">
        <v>0.5</v>
      </c>
    </row>
    <row r="528" spans="1:4" x14ac:dyDescent="0.35">
      <c r="A528" s="10">
        <v>2023</v>
      </c>
      <c r="B528" s="11">
        <v>3157500</v>
      </c>
      <c r="C528" s="12" t="s">
        <v>160</v>
      </c>
      <c r="D528" s="13">
        <v>0.7</v>
      </c>
    </row>
    <row r="529" spans="1:4" x14ac:dyDescent="0.35">
      <c r="A529" s="10">
        <v>2023</v>
      </c>
      <c r="B529" s="11">
        <v>3157658</v>
      </c>
      <c r="C529" s="12" t="s">
        <v>161</v>
      </c>
      <c r="D529" s="13">
        <v>1.5</v>
      </c>
    </row>
    <row r="530" spans="1:4" x14ac:dyDescent="0.35">
      <c r="A530" s="10">
        <v>2023</v>
      </c>
      <c r="B530" s="11">
        <v>3158201</v>
      </c>
      <c r="C530" s="12" t="s">
        <v>162</v>
      </c>
      <c r="D530" s="13">
        <v>1.1000000000000001</v>
      </c>
    </row>
    <row r="531" spans="1:4" x14ac:dyDescent="0.35">
      <c r="A531" s="10">
        <v>2023</v>
      </c>
      <c r="B531" s="11">
        <v>3159357</v>
      </c>
      <c r="C531" s="12" t="s">
        <v>163</v>
      </c>
      <c r="D531" s="13">
        <v>2.2000000000000002</v>
      </c>
    </row>
    <row r="532" spans="1:4" x14ac:dyDescent="0.35">
      <c r="A532" s="10">
        <v>2023</v>
      </c>
      <c r="B532" s="11">
        <v>3159506</v>
      </c>
      <c r="C532" s="12" t="s">
        <v>164</v>
      </c>
      <c r="D532" s="13">
        <v>1.9</v>
      </c>
    </row>
    <row r="533" spans="1:4" x14ac:dyDescent="0.35">
      <c r="A533" s="10">
        <v>2023</v>
      </c>
      <c r="B533" s="11">
        <v>3160454</v>
      </c>
      <c r="C533" s="12" t="s">
        <v>165</v>
      </c>
      <c r="D533" s="13">
        <v>1.3</v>
      </c>
    </row>
    <row r="534" spans="1:4" x14ac:dyDescent="0.35">
      <c r="A534" s="10">
        <v>2023</v>
      </c>
      <c r="B534" s="11">
        <v>3160603</v>
      </c>
      <c r="C534" s="12" t="s">
        <v>166</v>
      </c>
      <c r="D534" s="13">
        <v>3.3</v>
      </c>
    </row>
    <row r="535" spans="1:4" x14ac:dyDescent="0.35">
      <c r="A535" s="10">
        <v>2023</v>
      </c>
      <c r="B535" s="11">
        <v>3160959</v>
      </c>
      <c r="C535" s="12" t="s">
        <v>167</v>
      </c>
      <c r="D535" s="13">
        <v>0.5</v>
      </c>
    </row>
    <row r="536" spans="1:4" x14ac:dyDescent="0.35">
      <c r="A536" s="10">
        <v>2023</v>
      </c>
      <c r="B536" s="11">
        <v>3161601</v>
      </c>
      <c r="C536" s="12" t="s">
        <v>168</v>
      </c>
      <c r="D536" s="13">
        <v>2.4</v>
      </c>
    </row>
    <row r="537" spans="1:4" x14ac:dyDescent="0.35">
      <c r="A537" s="10">
        <v>2023</v>
      </c>
      <c r="B537" s="11">
        <v>3162252</v>
      </c>
      <c r="C537" s="12" t="s">
        <v>170</v>
      </c>
      <c r="D537" s="13">
        <v>1.7</v>
      </c>
    </row>
    <row r="538" spans="1:4" x14ac:dyDescent="0.35">
      <c r="A538" s="10">
        <v>2023</v>
      </c>
      <c r="B538" s="11">
        <v>3162401</v>
      </c>
      <c r="C538" s="12" t="s">
        <v>171</v>
      </c>
      <c r="D538" s="13">
        <v>1.4</v>
      </c>
    </row>
    <row r="539" spans="1:4" x14ac:dyDescent="0.35">
      <c r="A539" s="10">
        <v>2023</v>
      </c>
      <c r="B539" s="11">
        <v>3162575</v>
      </c>
      <c r="C539" s="12" t="s">
        <v>172</v>
      </c>
      <c r="D539" s="13">
        <v>1.8</v>
      </c>
    </row>
    <row r="540" spans="1:4" x14ac:dyDescent="0.35">
      <c r="A540" s="10">
        <v>2023</v>
      </c>
      <c r="B540" s="11">
        <v>3162807</v>
      </c>
      <c r="C540" s="12" t="s">
        <v>173</v>
      </c>
      <c r="D540" s="13">
        <v>1.4</v>
      </c>
    </row>
    <row r="541" spans="1:4" x14ac:dyDescent="0.35">
      <c r="A541" s="10">
        <v>2023</v>
      </c>
      <c r="B541" s="11">
        <v>3163508</v>
      </c>
      <c r="C541" s="12" t="s">
        <v>174</v>
      </c>
      <c r="D541" s="13">
        <v>1.5</v>
      </c>
    </row>
    <row r="542" spans="1:4" x14ac:dyDescent="0.35">
      <c r="A542" s="10">
        <v>2023</v>
      </c>
      <c r="B542" s="11">
        <v>3164100</v>
      </c>
      <c r="C542" s="12" t="s">
        <v>175</v>
      </c>
      <c r="D542" s="13">
        <v>2.1</v>
      </c>
    </row>
    <row r="543" spans="1:4" x14ac:dyDescent="0.35">
      <c r="A543" s="10">
        <v>2023</v>
      </c>
      <c r="B543" s="11">
        <v>3164472</v>
      </c>
      <c r="C543" s="12" t="s">
        <v>176</v>
      </c>
      <c r="D543" s="13">
        <v>0.8</v>
      </c>
    </row>
    <row r="544" spans="1:4" x14ac:dyDescent="0.35">
      <c r="A544" s="10">
        <v>2023</v>
      </c>
      <c r="B544" s="11">
        <v>3165503</v>
      </c>
      <c r="C544" s="12" t="s">
        <v>177</v>
      </c>
      <c r="D544" s="13">
        <v>3.9</v>
      </c>
    </row>
    <row r="545" spans="1:4" x14ac:dyDescent="0.35">
      <c r="A545" s="10">
        <v>2023</v>
      </c>
      <c r="B545" s="11">
        <v>3165909</v>
      </c>
      <c r="C545" s="12" t="s">
        <v>178</v>
      </c>
      <c r="D545" s="13">
        <v>0.5</v>
      </c>
    </row>
    <row r="546" spans="1:4" x14ac:dyDescent="0.35">
      <c r="A546" s="10">
        <v>2023</v>
      </c>
      <c r="B546" s="11">
        <v>3166105</v>
      </c>
      <c r="C546" s="12" t="s">
        <v>179</v>
      </c>
      <c r="D546" s="13">
        <v>1.6</v>
      </c>
    </row>
    <row r="547" spans="1:4" x14ac:dyDescent="0.35">
      <c r="A547" s="10">
        <v>2023</v>
      </c>
      <c r="B547" s="11">
        <v>3166709</v>
      </c>
      <c r="C547" s="12" t="s">
        <v>180</v>
      </c>
      <c r="D547" s="13">
        <v>3.8</v>
      </c>
    </row>
    <row r="548" spans="1:4" x14ac:dyDescent="0.35">
      <c r="A548" s="10">
        <v>2023</v>
      </c>
      <c r="B548" s="11">
        <v>3166956</v>
      </c>
      <c r="C548" s="12" t="s">
        <v>181</v>
      </c>
      <c r="D548" s="13">
        <v>0.8</v>
      </c>
    </row>
    <row r="549" spans="1:4" x14ac:dyDescent="0.35">
      <c r="A549" s="10">
        <v>2023</v>
      </c>
      <c r="B549" s="11">
        <v>3168002</v>
      </c>
      <c r="C549" s="12" t="s">
        <v>182</v>
      </c>
      <c r="D549" s="13">
        <v>0.6</v>
      </c>
    </row>
    <row r="550" spans="1:4" x14ac:dyDescent="0.35">
      <c r="A550" s="10">
        <v>2023</v>
      </c>
      <c r="B550" s="11">
        <v>3168051</v>
      </c>
      <c r="C550" s="12" t="s">
        <v>183</v>
      </c>
      <c r="D550" s="13">
        <v>0.5</v>
      </c>
    </row>
    <row r="551" spans="1:4" x14ac:dyDescent="0.35">
      <c r="A551" s="10">
        <v>2023</v>
      </c>
      <c r="B551" s="11">
        <v>3168408</v>
      </c>
      <c r="C551" s="12" t="s">
        <v>184</v>
      </c>
      <c r="D551" s="13">
        <v>1.7</v>
      </c>
    </row>
    <row r="552" spans="1:4" x14ac:dyDescent="0.35">
      <c r="A552" s="10">
        <v>2023</v>
      </c>
      <c r="B552" s="11">
        <v>3168606</v>
      </c>
      <c r="C552" s="12" t="s">
        <v>185</v>
      </c>
      <c r="D552" s="13">
        <v>4.5</v>
      </c>
    </row>
    <row r="553" spans="1:4" x14ac:dyDescent="0.35">
      <c r="A553" s="10">
        <v>2023</v>
      </c>
      <c r="B553" s="11">
        <v>3169505</v>
      </c>
      <c r="C553" s="12" t="s">
        <v>186</v>
      </c>
      <c r="D553" s="13">
        <v>5</v>
      </c>
    </row>
    <row r="554" spans="1:4" x14ac:dyDescent="0.35">
      <c r="A554" s="10">
        <v>2023</v>
      </c>
      <c r="B554" s="11">
        <v>3169703</v>
      </c>
      <c r="C554" s="12" t="s">
        <v>187</v>
      </c>
      <c r="D554" s="13">
        <v>0.2</v>
      </c>
    </row>
    <row r="555" spans="1:4" x14ac:dyDescent="0.35">
      <c r="A555" s="10">
        <v>2023</v>
      </c>
      <c r="B555" s="11">
        <v>3170057</v>
      </c>
      <c r="C555" s="12" t="s">
        <v>188</v>
      </c>
      <c r="D555" s="13">
        <v>2.1</v>
      </c>
    </row>
    <row r="556" spans="1:4" x14ac:dyDescent="0.35">
      <c r="A556" s="10">
        <v>2023</v>
      </c>
      <c r="B556" s="11">
        <v>3170305</v>
      </c>
      <c r="C556" s="12" t="s">
        <v>189</v>
      </c>
      <c r="D556" s="13">
        <v>3.3</v>
      </c>
    </row>
    <row r="557" spans="1:4" x14ac:dyDescent="0.35">
      <c r="A557" s="10">
        <v>2023</v>
      </c>
      <c r="B557" s="11">
        <v>3170479</v>
      </c>
      <c r="C557" s="12" t="s">
        <v>190</v>
      </c>
      <c r="D557" s="13">
        <v>1.6</v>
      </c>
    </row>
    <row r="558" spans="1:4" x14ac:dyDescent="0.35">
      <c r="A558" s="10">
        <v>2023</v>
      </c>
      <c r="B558" s="11">
        <v>3170529</v>
      </c>
      <c r="C558" s="12" t="s">
        <v>191</v>
      </c>
      <c r="D558" s="13">
        <v>0.6</v>
      </c>
    </row>
    <row r="559" spans="1:4" x14ac:dyDescent="0.35">
      <c r="A559" s="10">
        <v>2023</v>
      </c>
      <c r="B559" s="11">
        <v>3170651</v>
      </c>
      <c r="C559" s="12" t="s">
        <v>192</v>
      </c>
      <c r="D559" s="13">
        <v>0.7</v>
      </c>
    </row>
    <row r="560" spans="1:4" x14ac:dyDescent="0.35">
      <c r="A560" s="10">
        <v>2023</v>
      </c>
      <c r="B560" s="11">
        <v>3170800</v>
      </c>
      <c r="C560" s="12" t="s">
        <v>193</v>
      </c>
      <c r="D560" s="13">
        <v>2</v>
      </c>
    </row>
    <row r="561" spans="1:4" x14ac:dyDescent="0.35">
      <c r="A561" s="10">
        <v>2023</v>
      </c>
      <c r="B561" s="11">
        <v>3171071</v>
      </c>
      <c r="C561" s="12" t="s">
        <v>194</v>
      </c>
      <c r="D561" s="13">
        <v>0</v>
      </c>
    </row>
    <row r="562" spans="1:4" x14ac:dyDescent="0.35">
      <c r="A562" s="10">
        <v>2023</v>
      </c>
      <c r="B562" s="11">
        <v>3171501</v>
      </c>
      <c r="C562" s="12" t="s">
        <v>112</v>
      </c>
      <c r="D562" s="13">
        <v>5.9</v>
      </c>
    </row>
    <row r="563" spans="1:4" x14ac:dyDescent="0.35">
      <c r="A563" s="10">
        <v>2023</v>
      </c>
      <c r="B563" s="11">
        <v>3171600</v>
      </c>
      <c r="C563" s="12" t="s">
        <v>195</v>
      </c>
      <c r="D563" s="13">
        <v>0.9</v>
      </c>
    </row>
    <row r="564" spans="1:4" x14ac:dyDescent="0.35">
      <c r="A564" s="10">
        <v>2023</v>
      </c>
      <c r="B564" s="11">
        <v>3171808</v>
      </c>
      <c r="C564" s="12" t="s">
        <v>196</v>
      </c>
      <c r="D564" s="13">
        <v>14.2</v>
      </c>
    </row>
    <row r="565" spans="1:4" x14ac:dyDescent="0.35">
      <c r="A565" s="10">
        <v>2023</v>
      </c>
      <c r="B565" s="11">
        <v>3171907</v>
      </c>
      <c r="C565" s="12" t="s">
        <v>197</v>
      </c>
      <c r="D565" s="13">
        <v>0.4</v>
      </c>
    </row>
  </sheetData>
  <autoFilter ref="A1:D565" xr:uid="{A490EC19-7319-419C-ADED-1826A4664726}"/>
  <conditionalFormatting sqref="A189:A565">
    <cfRule type="expression" dxfId="2" priority="2">
      <formula>AND($D189="Total",$E189="Total")</formula>
    </cfRule>
  </conditionalFormatting>
  <conditionalFormatting sqref="A2:D188">
    <cfRule type="expression" dxfId="1" priority="5">
      <formula>AND(#REF!="Total",#REF!="Total")</formula>
    </cfRule>
  </conditionalFormatting>
  <conditionalFormatting sqref="B189:D565">
    <cfRule type="expression" dxfId="0" priority="7">
      <formula>AND(#REF!="Total",$D189="Total")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SAEB</vt:lpstr>
      <vt:lpstr>GASTO</vt:lpstr>
      <vt:lpstr>INSE</vt:lpstr>
      <vt:lpstr>MATRÍCULAS</vt:lpstr>
      <vt:lpstr>TDI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2026-07-07T23:52:09Z</dcterms:created>
  <dcterms:modified xsi:type="dcterms:W3CDTF">2026-08-03T22:27:53Z</dcterms:modified>
</cp:coreProperties>
</file>